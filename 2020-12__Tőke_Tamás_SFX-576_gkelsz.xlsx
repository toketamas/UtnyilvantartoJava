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D:\TT_GIT\UtnyilvantartoJava\"/>
    </mc:Choice>
  </mc:AlternateContent>
  <xr:revisionPtr revIDLastSave="0" documentId="13_ncr:1_{E1278416-46E5-4EEB-A868-A54CF2274BFE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4" l="1"/>
  <c r="L104" i="4" l="1"/>
  <c r="L103" i="4"/>
  <c r="L105" i="4" s="1"/>
  <c r="G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<sst xmlns="http://schemas.openxmlformats.org/spreadsheetml/2006/main" count="49" uniqueCount="44">
  <si>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</si>
  <si>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</si>
  <si>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</si>
  <si>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</si>
  <si>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</si>
  <si>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</si>
  <si>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</si>
  <si>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</si>
  <si>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</si>
  <si>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</si>
  <si>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</si>
  <si>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</si>
  <si>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</si>
  <si>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</si>
  <si>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</si>
  <si>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</si>
  <si>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</si>
  <si>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</si>
  <si>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</si>
  <si>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</si>
  <si>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</si>
  <si>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</si>
  <si>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</si>
  <si>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</si>
  <si>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</si>
  <si>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</si>
  <si>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</si>
  <si>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</si>
  <si>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2020-12</t>
  </si>
  <si>
    <t>KiaCeed</t>
  </si>
  <si>
    <t>SFX-576</t>
  </si>
  <si>
    <t>8086</t>
  </si>
  <si>
    <t>8636</t>
  </si>
  <si>
    <t xml:space="preserve"> Tőke Tamás</t>
  </si>
  <si>
    <t>1596</t>
  </si>
  <si>
    <t>6,7</t>
  </si>
  <si>
    <t>0.0</t>
  </si>
  <si>
    <t>2020-12-01</t>
  </si>
  <si>
    <t>Hibajavítás</t>
  </si>
  <si>
    <t>Székesfehérvár Udvardi utca 1/A</t>
  </si>
  <si>
    <t>Boldva Mátyás kir. u. 76.</t>
  </si>
  <si>
    <t>S6T54304/MTB Magyar Takarékszövetkezeti Bank</t>
  </si>
  <si>
    <t>C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</si>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</sst>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zoomScale="110" zoomScaleNormal="110" workbookViewId="0">
      <selection activeCell="G7" sqref="G7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2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1"/>
    </row>
    <row r="4" spans="1:13" s="5" customFormat="1" ht="15.6" x14ac:dyDescent="0.3">
      <c r="A4" s="5" t="s">
        <v>19</v>
      </c>
      <c r="B4" s="6"/>
      <c r="C4" s="8" t="s">
        <v>30</v>
      </c>
      <c r="D4" s="31" t="s">
        <v>33</v>
      </c>
      <c r="F4" s="5" t="s">
        <v>20</v>
      </c>
      <c r="G4" s="8" t="s">
        <v>35</v>
      </c>
      <c r="J4" s="31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tr">
        <f>SUM(I10:I105)</f>
        <v>550</v>
      </c>
      <c r="J5" s="31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tr">
        <f>100*G7/G5</f>
        <v/>
      </c>
      <c r="H6" s="27"/>
      <c r="I6" s="27"/>
      <c r="J6" s="33"/>
    </row>
    <row r="7" spans="1:13" s="5" customFormat="1" ht="15.6" x14ac:dyDescent="0.3">
      <c r="B7" s="6"/>
      <c r="F7" s="5" t="s">
        <v>21</v>
      </c>
      <c r="G7" s="30" t="s">
        <v>36</v>
      </c>
      <c r="H7" s="27"/>
      <c r="I7" s="27"/>
      <c r="J7" s="33"/>
    </row>
    <row r="8" spans="1:13" s="5" customFormat="1" ht="15.6" x14ac:dyDescent="0.3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5" t="s">
        <v>37</v>
      </c>
      <c r="C10" s="20" t="s">
        <v>38</v>
      </c>
      <c r="D10" s="20" t="s">
        <v>39</v>
      </c>
      <c r="E10" s="20" t="s">
        <v>40</v>
      </c>
      <c r="F10" s="21" t="s">
        <v>41</v>
      </c>
      <c r="G10" s="26" t="n">
        <f>IF(B10&lt;&gt;"",$C$5+I10,"")</f>
        <v>8361.0</v>
      </c>
      <c r="H10" s="21" t="n">
        <v>0.0</v>
      </c>
      <c r="I10" s="21" t="n">
        <v>275.0</v>
      </c>
      <c r="J10" s="19" t="s">
        <v>42</v>
      </c>
    </row>
    <row r="11" spans="1:13" x14ac:dyDescent="0.25">
      <c r="A11" s="19">
        <v>2</v>
      </c>
      <c r="B11" s="25" t="s">
        <v>37</v>
      </c>
      <c r="C11" s="20" t="s">
        <v>38</v>
      </c>
      <c r="D11" s="20" t="s">
        <v>40</v>
      </c>
      <c r="E11" s="20" t="s">
        <v>39</v>
      </c>
      <c r="F11" s="21" t="s">
        <v>43</v>
      </c>
      <c r="G11" s="26" t="n">
        <f>IF(B11&lt;&gt;"",G10+I11,"")</f>
        <v>8636.0</v>
      </c>
      <c r="H11" s="21" t="n">
        <v>0.0</v>
      </c>
      <c r="I11" s="21" t="n">
        <v>275.0</v>
      </c>
      <c r="J11" s="19" t="s">
        <v>42</v>
      </c>
    </row>
    <row r="12" spans="1:13" x14ac:dyDescent="0.25">
      <c r="A12" s="19">
        <v>3</v>
      </c>
      <c r="B12" s="25"/>
      <c r="C12" s="20"/>
      <c r="D12" s="20"/>
      <c r="E12" s="20"/>
      <c r="F12" s="21"/>
      <c r="G12" s="26" t="str">
        <f t="shared" ref="G12:G54" si="0">IF(B12&lt;&gt;"",G11+I12,"")</f>
        <v/>
      </c>
      <c r="H12" s="21"/>
      <c r="I12" s="21"/>
      <c r="J12" s="19"/>
      <c r="K12" s="43"/>
      <c r="L12" s="43"/>
      <c r="M12" s="43"/>
    </row>
    <row r="13" spans="1:13" x14ac:dyDescent="0.25">
      <c r="A13" s="19">
        <v>4</v>
      </c>
      <c r="B13" s="25"/>
      <c r="C13" s="20"/>
      <c r="D13" s="20"/>
      <c r="E13" s="20"/>
      <c r="F13" s="21"/>
      <c r="G13" s="26" t="str">
        <f t="shared" si="0"/>
        <v/>
      </c>
      <c r="H13" s="21"/>
      <c r="I13" s="21"/>
      <c r="J13" s="19"/>
      <c r="K13" s="43"/>
      <c r="L13" s="43"/>
      <c r="M13" s="44"/>
    </row>
    <row r="14" spans="1:13" x14ac:dyDescent="0.25">
      <c r="A14" s="19">
        <v>5</v>
      </c>
      <c r="B14" s="25"/>
      <c r="C14" s="20"/>
      <c r="D14" s="20"/>
      <c r="E14" s="20"/>
      <c r="F14" s="21"/>
      <c r="G14" s="26" t="str">
        <f t="shared" si="0"/>
        <v/>
      </c>
      <c r="H14" s="21"/>
      <c r="I14" s="21"/>
      <c r="J14" s="19"/>
    </row>
    <row r="15" spans="1:13" x14ac:dyDescent="0.25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5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5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5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5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5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5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5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5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5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5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5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5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5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5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5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5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5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5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5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5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5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5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5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5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5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5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5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5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5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5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5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5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5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5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5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5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5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5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5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5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5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5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5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5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5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5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5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5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5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5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5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5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5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5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5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5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5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5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5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5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5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5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5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5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5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5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5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5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5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5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5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5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5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5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5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5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5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5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5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5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5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5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5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5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 t="str">
        <f>SUM(I10:I105)</f>
        <v>550</v>
      </c>
      <c r="M103" s="36"/>
    </row>
    <row r="104" spans="1:13" x14ac:dyDescent="0.25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 t="str">
        <f>SUMIF(J10:J105,"M",I10:I105)</f>
        <v>0</v>
      </c>
      <c r="M104" s="39" t="str">
        <f>L104/L103</f>
        <v>0.%</v>
      </c>
    </row>
    <row r="105" spans="1:13" x14ac:dyDescent="0.25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 t="str">
        <f>C5+L103</f>
        <v>8636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2020-06-15T12:01:05Z</cp:lastPrinted>
  <dcterms:modified xsi:type="dcterms:W3CDTF">2020-08-07T20:07:31Z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