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<sst xmlns="http://schemas.openxmlformats.org/spreadsheetml/2006/main" count="133" uniqueCount="70">
  <si>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</si>
  <si>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</si>
  <si>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</si>
  <si>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</si>
  <si>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</si>
  <si>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</si>
  <si>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</si>
  <si>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</si>
  <si>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</si>
  <si>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</si>
  <si>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</si>
  <si>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</si>
  <si>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</si>
  <si>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</si>
  <si>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</si>
  <si>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</si>
  <si>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</si>
  <si>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</si>
  <si>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</si>
  <si>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</si>
  <si>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</si>
  <si>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</si>
  <si>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</si>
  <si>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</si>
  <si>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</si>
  <si>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</si>
  <si>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</si>
  <si>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</si>
  <si>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2020-12</t>
  </si>
  <si>
    <t>KiaCeed</t>
  </si>
  <si>
    <t>SFX-576</t>
  </si>
  <si>
    <t>8086</t>
  </si>
  <si>
    <t>9239</t>
  </si>
  <si>
    <t xml:space="preserve"> Tőke Tamás</t>
  </si>
  <si>
    <t>1596</t>
  </si>
  <si>
    <t>6,7</t>
  </si>
  <si>
    <t>0.0</t>
  </si>
  <si>
    <t>2020-12-01</t>
  </si>
  <si>
    <t>Hibajavítás</t>
  </si>
  <si>
    <t>Székesfehérvár Udvardi utca 1/A</t>
  </si>
  <si>
    <t>Veszprém Ady Endre u. 1.</t>
  </si>
  <si>
    <t>CA38_ENA/UniCredit Bank Hungary Zrt.</t>
  </si>
  <si>
    <t>C</t>
  </si>
  <si>
    <t>Veszprém Szeglethy u. 1.</t>
  </si>
  <si>
    <t>CIB - ATM012/CIB Bank Zrt</t>
  </si>
  <si>
    <t>Veszprém Egyetem ut 18</t>
  </si>
  <si>
    <t>S6T73912/MTB Magyar Takarékszövetkezeti Bank</t>
  </si>
  <si>
    <t>telephely/telephely</t>
  </si>
  <si>
    <t>2020-12-02</t>
  </si>
  <si>
    <t>Mór Wekerle Sándor u. 34/a</t>
  </si>
  <si>
    <t>AKHK2451/K &amp; H BANK ZRT.</t>
  </si>
  <si>
    <t>Súr Petőfi u. 65.</t>
  </si>
  <si>
    <t>S6T62904/MTB Magyar Takarékszövetkezeti Bank</t>
  </si>
  <si>
    <t>2020-12-03</t>
  </si>
  <si>
    <t>Lovasberény Rákóczi u. 1/a.</t>
  </si>
  <si>
    <t>S6T73615/MTB Magyar Takarékszövetkezeti Bank</t>
  </si>
  <si>
    <t>Siófok Fő út 186-188.</t>
  </si>
  <si>
    <t>S02044/ERSTE BANK HUNGARY Zrt</t>
  </si>
  <si>
    <t>Pázmánd Fő utca 87.</t>
  </si>
  <si>
    <t>S6T57812/MTB Magyar Takarékszövetkezeti Bank</t>
  </si>
  <si>
    <t>2020-12-04</t>
  </si>
  <si>
    <t>Székesfehérvár Holland fasor 2.</t>
  </si>
  <si>
    <t>DBD82220047/OTP BANK Nyrt.</t>
  </si>
  <si>
    <t>2020-12-05</t>
  </si>
  <si>
    <t>Magán</t>
  </si>
  <si>
    <t>Magánhasználat</t>
  </si>
  <si>
    <t>Nyíregyháza Hősök tere 7.</t>
  </si>
  <si>
    <t>CIB - ATM007/CIB Bank Zrt</t>
  </si>
  <si>
    <t>Székesfehérvár Udvardi utca 1A</t>
  </si>
  <si>
    <t>Vani lak/Baby Yoda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</si>
</sst>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1153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/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8135.0</v>
      </c>
      <c r="H10" s="21" t="n">
        <v>0.0</v>
      </c>
      <c r="I10" s="21" t="n">
        <v>49.0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43</v>
      </c>
      <c r="F11" s="21" t="s">
        <v>44</v>
      </c>
      <c r="G11" s="26" t="n">
        <f>IF(B11&lt;&gt;"",G10+I11,"")</f>
        <v>8136.0</v>
      </c>
      <c r="H11" s="21" t="n">
        <v>0.0</v>
      </c>
      <c r="I11" s="21" t="n">
        <v>1.0</v>
      </c>
      <c r="J11" s="19" t="s">
        <v>42</v>
      </c>
    </row>
    <row r="12" spans="1:13" x14ac:dyDescent="0.25">
      <c r="A12" s="19">
        <v>3</v>
      </c>
      <c r="B12" s="25" t="s">
        <v>37</v>
      </c>
      <c r="C12" s="20" t="s">
        <v>38</v>
      </c>
      <c r="D12" s="20" t="s">
        <v>43</v>
      </c>
      <c r="E12" s="20" t="s">
        <v>45</v>
      </c>
      <c r="F12" s="21" t="s">
        <v>46</v>
      </c>
      <c r="G12" s="26" t="n">
        <f t="shared" ref="G12:G54" si="0">IF(B12&lt;&gt;"",G11+I12,"")</f>
        <v>8137.0</v>
      </c>
      <c r="H12" s="21" t="n">
        <v>0.0</v>
      </c>
      <c r="I12" s="21" t="n">
        <v>1.0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37</v>
      </c>
      <c r="C13" s="20" t="s">
        <v>38</v>
      </c>
      <c r="D13" s="20" t="s">
        <v>45</v>
      </c>
      <c r="E13" s="20" t="s">
        <v>39</v>
      </c>
      <c r="F13" s="21" t="s">
        <v>47</v>
      </c>
      <c r="G13" s="26" t="n">
        <f t="shared" si="0"/>
        <v>8188.0</v>
      </c>
      <c r="H13" s="21" t="n">
        <v>0.0</v>
      </c>
      <c r="I13" s="21" t="n">
        <v>51.0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48</v>
      </c>
      <c r="C14" s="20" t="s">
        <v>38</v>
      </c>
      <c r="D14" s="20" t="s">
        <v>39</v>
      </c>
      <c r="E14" s="20" t="s">
        <v>49</v>
      </c>
      <c r="F14" s="21" t="s">
        <v>50</v>
      </c>
      <c r="G14" s="26" t="n">
        <f t="shared" si="0"/>
        <v>8219.0</v>
      </c>
      <c r="H14" s="21" t="n">
        <v>0.0</v>
      </c>
      <c r="I14" s="21" t="n">
        <v>31.0</v>
      </c>
      <c r="J14" s="19" t="s">
        <v>42</v>
      </c>
    </row>
    <row r="15" spans="1:13" x14ac:dyDescent="0.25">
      <c r="A15" s="19">
        <v>6</v>
      </c>
      <c r="B15" s="25" t="s">
        <v>48</v>
      </c>
      <c r="C15" s="20" t="s">
        <v>38</v>
      </c>
      <c r="D15" s="20" t="s">
        <v>49</v>
      </c>
      <c r="E15" s="20" t="s">
        <v>51</v>
      </c>
      <c r="F15" s="21" t="s">
        <v>52</v>
      </c>
      <c r="G15" s="26" t="n">
        <f t="shared" si="0"/>
        <v>8241.0</v>
      </c>
      <c r="H15" s="21" t="n">
        <v>0.0</v>
      </c>
      <c r="I15" s="21" t="n">
        <v>22.0</v>
      </c>
      <c r="J15" s="19" t="s">
        <v>42</v>
      </c>
    </row>
    <row r="16" spans="1:13" x14ac:dyDescent="0.25">
      <c r="A16" s="19">
        <v>7</v>
      </c>
      <c r="B16" s="25" t="s">
        <v>48</v>
      </c>
      <c r="C16" s="20" t="s">
        <v>38</v>
      </c>
      <c r="D16" s="20" t="s">
        <v>51</v>
      </c>
      <c r="E16" s="20" t="s">
        <v>39</v>
      </c>
      <c r="F16" s="21" t="s">
        <v>47</v>
      </c>
      <c r="G16" s="26" t="n">
        <f t="shared" si="0"/>
        <v>8288.0</v>
      </c>
      <c r="H16" s="21" t="n">
        <v>0.0</v>
      </c>
      <c r="I16" s="21" t="n">
        <v>47.0</v>
      </c>
      <c r="J16" s="19" t="s">
        <v>42</v>
      </c>
    </row>
    <row r="17" spans="1:10" x14ac:dyDescent="0.25">
      <c r="A17" s="19">
        <v>8</v>
      </c>
      <c r="B17" s="25" t="s">
        <v>53</v>
      </c>
      <c r="C17" s="20" t="s">
        <v>38</v>
      </c>
      <c r="D17" s="20" t="s">
        <v>39</v>
      </c>
      <c r="E17" s="20" t="s">
        <v>54</v>
      </c>
      <c r="F17" s="21" t="s">
        <v>55</v>
      </c>
      <c r="G17" s="26" t="n">
        <f t="shared" si="0"/>
        <v>8304.0</v>
      </c>
      <c r="H17" s="21" t="n">
        <v>0.0</v>
      </c>
      <c r="I17" s="21" t="n">
        <v>16.0</v>
      </c>
      <c r="J17" s="19" t="s">
        <v>42</v>
      </c>
    </row>
    <row r="18" spans="1:10" x14ac:dyDescent="0.25">
      <c r="A18" s="19">
        <v>9</v>
      </c>
      <c r="B18" s="25" t="s">
        <v>53</v>
      </c>
      <c r="C18" s="20" t="s">
        <v>38</v>
      </c>
      <c r="D18" s="20" t="s">
        <v>54</v>
      </c>
      <c r="E18" s="20" t="s">
        <v>56</v>
      </c>
      <c r="F18" s="21" t="s">
        <v>57</v>
      </c>
      <c r="G18" s="26" t="n">
        <f t="shared" si="0"/>
        <v>8371.0</v>
      </c>
      <c r="H18" s="21" t="n">
        <v>0.0</v>
      </c>
      <c r="I18" s="21" t="n">
        <v>67.0</v>
      </c>
      <c r="J18" s="19" t="s">
        <v>42</v>
      </c>
    </row>
    <row r="19" spans="1:10" x14ac:dyDescent="0.25">
      <c r="A19" s="19">
        <v>10</v>
      </c>
      <c r="B19" s="25" t="s">
        <v>53</v>
      </c>
      <c r="C19" s="20" t="s">
        <v>38</v>
      </c>
      <c r="D19" s="20" t="s">
        <v>56</v>
      </c>
      <c r="E19" s="20" t="s">
        <v>58</v>
      </c>
      <c r="F19" s="21" t="s">
        <v>59</v>
      </c>
      <c r="G19" s="26" t="n">
        <f t="shared" si="0"/>
        <v>8439.0</v>
      </c>
      <c r="H19" s="21" t="n">
        <v>0.0</v>
      </c>
      <c r="I19" s="21" t="n">
        <v>68.0</v>
      </c>
      <c r="J19" s="19" t="s">
        <v>42</v>
      </c>
    </row>
    <row r="20" spans="1:10" x14ac:dyDescent="0.25">
      <c r="A20" s="19">
        <v>12</v>
      </c>
      <c r="B20" s="25" t="s">
        <v>53</v>
      </c>
      <c r="C20" s="20" t="s">
        <v>38</v>
      </c>
      <c r="D20" s="20" t="s">
        <v>58</v>
      </c>
      <c r="E20" s="20" t="s">
        <v>39</v>
      </c>
      <c r="F20" s="21" t="s">
        <v>47</v>
      </c>
      <c r="G20" s="26" t="n">
        <f t="shared" si="0"/>
        <v>8461.0</v>
      </c>
      <c r="H20" s="21" t="n">
        <v>0.0</v>
      </c>
      <c r="I20" s="21" t="n">
        <v>22.0</v>
      </c>
      <c r="J20" s="19" t="s">
        <v>42</v>
      </c>
    </row>
    <row r="21" spans="1:10" x14ac:dyDescent="0.25">
      <c r="A21" s="19">
        <v>13</v>
      </c>
      <c r="B21" s="25" t="s">
        <v>60</v>
      </c>
      <c r="C21" s="20" t="s">
        <v>38</v>
      </c>
      <c r="D21" s="20" t="s">
        <v>39</v>
      </c>
      <c r="E21" s="20" t="s">
        <v>61</v>
      </c>
      <c r="F21" s="21" t="s">
        <v>62</v>
      </c>
      <c r="G21" s="26" t="n">
        <f t="shared" si="0"/>
        <v>8473.0</v>
      </c>
      <c r="H21" s="21" t="n">
        <v>0.0</v>
      </c>
      <c r="I21" s="21" t="n">
        <v>12.0</v>
      </c>
      <c r="J21" s="19" t="s">
        <v>42</v>
      </c>
    </row>
    <row r="22" spans="1:10" x14ac:dyDescent="0.25">
      <c r="A22" s="19">
        <v>14</v>
      </c>
      <c r="B22" s="25" t="s">
        <v>60</v>
      </c>
      <c r="C22" s="20" t="s">
        <v>38</v>
      </c>
      <c r="D22" s="20" t="s">
        <v>61</v>
      </c>
      <c r="E22" s="20" t="s">
        <v>39</v>
      </c>
      <c r="F22" s="21" t="s">
        <v>47</v>
      </c>
      <c r="G22" s="26" t="n">
        <f t="shared" si="0"/>
        <v>8485.0</v>
      </c>
      <c r="H22" s="21" t="n">
        <v>0.0</v>
      </c>
      <c r="I22" s="21" t="n">
        <v>12.0</v>
      </c>
      <c r="J22" s="19" t="s">
        <v>42</v>
      </c>
    </row>
    <row r="23" spans="1:10" x14ac:dyDescent="0.25">
      <c r="A23" s="19">
        <v>15</v>
      </c>
      <c r="B23" s="25" t="s">
        <v>63</v>
      </c>
      <c r="C23" s="20" t="s">
        <v>64</v>
      </c>
      <c r="D23" s="20" t="s">
        <v>65</v>
      </c>
      <c r="E23" s="20" t="s">
        <v>65</v>
      </c>
      <c r="F23" s="21" t="s">
        <v>65</v>
      </c>
      <c r="G23" s="26" t="n">
        <f t="shared" si="0"/>
        <v>8612.0</v>
      </c>
      <c r="H23" s="21" t="n">
        <v>0.0</v>
      </c>
      <c r="I23" s="21" t="n">
        <v>127.0</v>
      </c>
      <c r="J23" s="19" t="s">
        <v>23</v>
      </c>
    </row>
    <row r="24" spans="1:10" x14ac:dyDescent="0.25">
      <c r="A24" s="19">
        <v>16</v>
      </c>
      <c r="B24" s="25" t="s">
        <v>63</v>
      </c>
      <c r="C24" s="20" t="s">
        <v>38</v>
      </c>
      <c r="D24" s="20" t="s">
        <v>39</v>
      </c>
      <c r="E24" s="20" t="s">
        <v>66</v>
      </c>
      <c r="F24" s="21" t="s">
        <v>67</v>
      </c>
      <c r="G24" s="26" t="n">
        <f t="shared" si="0"/>
        <v>8925.0</v>
      </c>
      <c r="H24" s="21" t="n">
        <v>0.0</v>
      </c>
      <c r="I24" s="21" t="n">
        <v>313.0</v>
      </c>
      <c r="J24" s="19" t="s">
        <v>42</v>
      </c>
    </row>
    <row r="25" spans="1:10" x14ac:dyDescent="0.25">
      <c r="A25" s="19">
        <v>17</v>
      </c>
      <c r="B25" s="25" t="s">
        <v>63</v>
      </c>
      <c r="C25" s="20" t="s">
        <v>38</v>
      </c>
      <c r="D25" s="20" t="s">
        <v>66</v>
      </c>
      <c r="E25" s="20" t="s">
        <v>68</v>
      </c>
      <c r="F25" s="21" t="s">
        <v>69</v>
      </c>
      <c r="G25" s="26" t="n">
        <f t="shared" si="0"/>
        <v>9239.0</v>
      </c>
      <c r="H25" s="21" t="n">
        <v>0.0</v>
      </c>
      <c r="I25" s="21" t="n">
        <v>314.0</v>
      </c>
      <c r="J25" s="19" t="s">
        <v>42</v>
      </c>
    </row>
    <row r="26" spans="1:10" x14ac:dyDescent="0.25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5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5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5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5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5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5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5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5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5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5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5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5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5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5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5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5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5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 t="str">
        <f>SUM(I10:I105)</f>
        <v>1153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 t="str">
        <f>SUMIF(J10:J105,"M",I10:I105)</f>
        <v>127</v>
      </c>
      <c r="M104" s="39" t="str">
        <f>L104/L103</f>
        <v>11%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 t="str">
        <f>C5+L103</f>
        <v>9239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