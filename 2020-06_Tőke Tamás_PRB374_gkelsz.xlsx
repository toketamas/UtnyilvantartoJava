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/>
  <mc:AlternateContent>
    <mc:Choice Requires="x15">
      <x15ac:absPath xmlns:x15ac="http://schemas.microsoft.com/office/spreadsheetml/2010/11/ac" url="B:\TT_GIT\Útnyilvántartó Projekt\UtnyilvantartoJava\"/>
    </mc:Choice>
  </mc:AlternateContent>
  <xr:revisionPtr revIDLastSave="0" documentId="13_ncr:1_{67076C0C-E507-453A-AC58-A288AAD2E2DF}" xr6:coauthVersionLast="44" xr6:coauthVersionMax="44" xr10:uidLastSave="{00000000-0000-0000-0000-000000000000}"/>
  <bookViews>
    <workbookView xWindow="-120" yWindow="-120" windowWidth="29040" windowHeight="15840" tabRatio="453" xr2:uid="{00000000-000D-0000-FFFF-FFFF00000000}"/>
  </bookViews>
  <sheets>
    <sheet name="Nyomtat" sheetId="4" r:id="rId1"/>
  </sheets>
  <definedNames>
    <definedName name="_xlnm._FilterDatabase" localSheetId="0" hidden="1">Nyomtat!$A$9:$J$57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05" i="4" l="1"/>
  <c r="L104" i="4"/>
  <c r="L103" i="4"/>
  <c r="G6" i="4"/>
  <c r="G5" i="4"/>
  <c r="G7" i="4"/>
  <c r="C6" i="4"/>
  <c r="G63" i="4" l="1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55" i="4"/>
  <c r="G56" i="4"/>
  <c r="G57" i="4"/>
  <c r="G58" i="4"/>
  <c r="G59" i="4"/>
  <c r="G60" i="4"/>
  <c r="G61" i="4"/>
  <c r="G62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M104" i="4"/>
</calcChain>
</file>

<file path=xl/sharedStrings.xml><?xml version="1.0" encoding="utf-8"?>
<sst xmlns="http://schemas.openxmlformats.org/spreadsheetml/2006/main" count="347" uniqueCount="119">
  <si>
    <t>ÚTNYILVÁNTARTÁS</t>
  </si>
  <si>
    <t>Lökettérfogat:</t>
  </si>
  <si>
    <t>Megtett km :</t>
  </si>
  <si>
    <t>Záró km-óra állása:</t>
  </si>
  <si>
    <t>Havi átlag (liter/100 km):</t>
  </si>
  <si>
    <t>Sorszám</t>
  </si>
  <si>
    <t>Az utazás</t>
  </si>
  <si>
    <t>Útvonal</t>
  </si>
  <si>
    <t>Felkeresett</t>
  </si>
  <si>
    <t>km-óra</t>
  </si>
  <si>
    <t>Üzemanyag</t>
  </si>
  <si>
    <t>célja</t>
  </si>
  <si>
    <t>honnan</t>
  </si>
  <si>
    <t>hová</t>
  </si>
  <si>
    <t>partnerek</t>
  </si>
  <si>
    <t>állása</t>
  </si>
  <si>
    <t>liter</t>
  </si>
  <si>
    <t>időpontja</t>
  </si>
  <si>
    <t>A gépjármű típusa:</t>
  </si>
  <si>
    <t>A gépjármű rendszáma:</t>
  </si>
  <si>
    <t>Átalány (liter/100 km) :</t>
  </si>
  <si>
    <t>Össz. üzemanyag:</t>
  </si>
  <si>
    <t>Kezdő km-óra állása:</t>
  </si>
  <si>
    <t>M</t>
  </si>
  <si>
    <t>megtett km</t>
  </si>
  <si>
    <t>M/C</t>
  </si>
  <si>
    <t>total</t>
  </si>
  <si>
    <t>grand total</t>
  </si>
  <si>
    <t>2020-06</t>
  </si>
  <si>
    <t>KiaCeed</t>
  </si>
  <si>
    <t>PRB374</t>
  </si>
  <si>
    <t>95420</t>
  </si>
  <si>
    <t>Tőke Tamás</t>
  </si>
  <si>
    <t>1396</t>
  </si>
  <si>
    <t>5,7</t>
  </si>
  <si>
    <t>2020-06-03</t>
  </si>
  <si>
    <t>Hibajavítás</t>
  </si>
  <si>
    <t>Székesfehérvár Udvardi utca 1A</t>
  </si>
  <si>
    <t>Velence Gerle u. 2.</t>
  </si>
  <si>
    <t>S6T57802/MTB Magyar Takarékszövetkezeti Bank</t>
  </si>
  <si>
    <t>C</t>
  </si>
  <si>
    <t>telephely/telephely</t>
  </si>
  <si>
    <t>2020-06-04</t>
  </si>
  <si>
    <t>Veszprém Szeglethy u. 1.</t>
  </si>
  <si>
    <t>CIB - ATM012/CIB Bank Zrt</t>
  </si>
  <si>
    <t>Veszprém Szabadság tér 8.</t>
  </si>
  <si>
    <t>S6T17614/Sopron Bank Zrt.</t>
  </si>
  <si>
    <t>2020-06-05</t>
  </si>
  <si>
    <t>Siófok Fő út 186-188.</t>
  </si>
  <si>
    <t>S02044/ERSTE BANK HUNGARY Zrt</t>
  </si>
  <si>
    <t>2020-06-08</t>
  </si>
  <si>
    <t>Balatonfüred Arácsi u.16.</t>
  </si>
  <si>
    <t>S6T17606</t>
  </si>
  <si>
    <t>Tihany Rév u.3.</t>
  </si>
  <si>
    <t>AKHB2967/K &amp; H BANK ZRT.</t>
  </si>
  <si>
    <t>Balatonfüred Petőfi S. u. 8.</t>
  </si>
  <si>
    <t>DBD82220071/OTP BANK Nyrt.</t>
  </si>
  <si>
    <t>2020-06-09</t>
  </si>
  <si>
    <t>Mór Deák F. u. 28.</t>
  </si>
  <si>
    <t>S6T73612/MTB Magyar Takarékszövetkezeti Bank</t>
  </si>
  <si>
    <t>Székesfehérvár Balatoni út 44-46.</t>
  </si>
  <si>
    <t>S06069/ERSTE BANK HUNGARY Zrt</t>
  </si>
  <si>
    <t>2020-06-10</t>
  </si>
  <si>
    <t>Veszprém Cserhát ltp. 8.</t>
  </si>
  <si>
    <t>CASH2283/K &amp; H BANK ZRT.</t>
  </si>
  <si>
    <t>2020-06-11</t>
  </si>
  <si>
    <t>Bodajk Petőfi Sándor u. 60.</t>
  </si>
  <si>
    <t>AKHK2921/K &amp; H BANK ZRT.</t>
  </si>
  <si>
    <t>2020-06-12</t>
  </si>
  <si>
    <t>Székesfehérvár Távirda u. 2/b</t>
  </si>
  <si>
    <t>CIB - ATM014/CIB Bank Zrt</t>
  </si>
  <si>
    <t>Balatonföldvár Balatonszentgyörgyi út 1.</t>
  </si>
  <si>
    <t>S6T50823/MTB Magyar Takarékszövetkezeti Bank</t>
  </si>
  <si>
    <t>2020-06-15</t>
  </si>
  <si>
    <t>Seregélyes Fő u. 169.</t>
  </si>
  <si>
    <t>S6T57804/MTB Magyar Takarékszövetkezeti Bank</t>
  </si>
  <si>
    <t>2020-06-16</t>
  </si>
  <si>
    <t>Polgárdi Batthyány u.115.</t>
  </si>
  <si>
    <t>CASH2563/K &amp; H BANK ZRT.</t>
  </si>
  <si>
    <t>telephely</t>
  </si>
  <si>
    <t>2020-06-17</t>
  </si>
  <si>
    <t>Székesfehérvár Liszt Ferenc u. 11.</t>
  </si>
  <si>
    <t>CASH2265_R/K &amp; H BANK ZRT.</t>
  </si>
  <si>
    <t>Balatonfüred Kossuth Lajos u. 20.</t>
  </si>
  <si>
    <t>S6T73613/MTB Magyar Takarékszövetkezeti Bank</t>
  </si>
  <si>
    <t>Balatonalmádi Baross G. u 11</t>
  </si>
  <si>
    <t>S6T72901/MTB Magyar Takarékszövetkezeti Bank</t>
  </si>
  <si>
    <t>Balatonfűzfő Bugyogó Forrás u. 1.</t>
  </si>
  <si>
    <t>S6T73906/MTB Magyar Takarékszövetkezeti Bank</t>
  </si>
  <si>
    <t>2020-06-18</t>
  </si>
  <si>
    <t>Székesfehérvár Udvardi utca 1/A</t>
  </si>
  <si>
    <t>Székesfehérvár Kossuth u. 14.</t>
  </si>
  <si>
    <t>MGND2401/MagNet Magyar Közösségi Bank Zrt.</t>
  </si>
  <si>
    <t>2020-06-19</t>
  </si>
  <si>
    <t>Vecsés Lőrinci út 59-61</t>
  </si>
  <si>
    <t>DieboldNixdorf/DieboldNixdorf</t>
  </si>
  <si>
    <t>AKHB2123/K &amp; H BANK ZRT.</t>
  </si>
  <si>
    <t>2020-06-20</t>
  </si>
  <si>
    <t>Magán</t>
  </si>
  <si>
    <t>Magánhasználat</t>
  </si>
  <si>
    <t>2020-06-22</t>
  </si>
  <si>
    <t>Enying Deák F. u. 1.</t>
  </si>
  <si>
    <t>S6T57807/MTB Magyar Takarékszövetkezeti Bank</t>
  </si>
  <si>
    <t>Siófok Fő u. 174-176.</t>
  </si>
  <si>
    <t>CA114_ENA/UniCredit Bank Hungary Zrt.</t>
  </si>
  <si>
    <t>Tab Kossuth Lajos u. 80.</t>
  </si>
  <si>
    <t>S6T50829/MTB Magyar Takarékszövetkezeti Bank</t>
  </si>
  <si>
    <t>2020-06-23</t>
  </si>
  <si>
    <t>Veszprém Ádám Iván u. 2.</t>
  </si>
  <si>
    <t>S06041_ENA/ERSTE BANK HUNGARY Zrt</t>
  </si>
  <si>
    <t>Balatonszárszó Ady Endre u. 2.</t>
  </si>
  <si>
    <t>S6T67011/MTB Magyar Takarékszövetkezeti Bank</t>
  </si>
  <si>
    <t>2020-06-24</t>
  </si>
  <si>
    <t>Székesfehérvár Vörösmarty tér 1.</t>
  </si>
  <si>
    <t>S6T72906/MTB Magyar Takarékszövetkezeti Bank</t>
  </si>
  <si>
    <t>2020-06-25</t>
  </si>
  <si>
    <t>Velence Béke út</t>
  </si>
  <si>
    <t>CIB - ATM668/CIB Bank Zrt</t>
  </si>
  <si>
    <t>2020-06-27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</si>
</sst>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/mmmm/dd"/>
    <numFmt numFmtId="165" formatCode="yyyy/mmmm"/>
    <numFmt numFmtId="166" formatCode="yyyy/mmm/dd/"/>
    <numFmt numFmtId="167" formatCode="[$-40E]yyyy/\ mmmm;@"/>
  </numFmts>
  <fonts count="6" x14ac:knownFonts="1">
    <font>
      <sz val="10"/>
      <name val="Arial"/>
    </font>
    <font>
      <sz val="10"/>
      <name val="Arial"/>
      <family val="2"/>
      <charset val="238"/>
    </font>
    <font>
      <sz val="10"/>
      <name val="Times New Roman CE"/>
      <family val="1"/>
      <charset val="238"/>
    </font>
    <font>
      <b/>
      <sz val="12"/>
      <name val="Times New Roman CE"/>
      <family val="1"/>
      <charset val="238"/>
    </font>
    <font>
      <sz val="12"/>
      <name val="Times New Roman CE"/>
      <family val="1"/>
      <charset val="238"/>
    </font>
    <font>
      <b/>
      <sz val="14"/>
      <name val="Times New Roman CE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165" fontId="4" fillId="0" borderId="0" xfId="0" applyNumberFormat="1" applyFont="1" applyAlignment="1">
      <alignment horizontal="centerContinuous"/>
    </xf>
    <xf numFmtId="0" fontId="4" fillId="0" borderId="0" xfId="0" applyFont="1"/>
    <xf numFmtId="164" fontId="4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0" fontId="4" fillId="0" borderId="3" xfId="0" applyFont="1" applyBorder="1" applyAlignment="1">
      <alignment horizontal="centerContinuous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Continuous"/>
    </xf>
    <xf numFmtId="164" fontId="4" fillId="0" borderId="5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2" fillId="0" borderId="8" xfId="0" applyFont="1" applyBorder="1"/>
    <xf numFmtId="164" fontId="2" fillId="0" borderId="0" xfId="0" applyNumberFormat="1" applyFont="1"/>
    <xf numFmtId="0" fontId="5" fillId="0" borderId="0" xfId="0" applyFont="1" applyAlignment="1">
      <alignment horizontal="centerContinuous"/>
    </xf>
    <xf numFmtId="0" fontId="2" fillId="0" borderId="10" xfId="0" applyFont="1" applyBorder="1" applyAlignment="1">
      <alignment horizontal="center"/>
    </xf>
    <xf numFmtId="166" fontId="2" fillId="0" borderId="11" xfId="0" applyNumberFormat="1" applyFont="1" applyBorder="1" applyAlignment="1">
      <alignment horizontal="left"/>
    </xf>
    <xf numFmtId="0" fontId="2" fillId="0" borderId="12" xfId="0" applyFont="1" applyBorder="1"/>
    <xf numFmtId="0" fontId="4" fillId="0" borderId="0" xfId="0" applyFont="1" applyBorder="1"/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13" xfId="0" applyFont="1" applyBorder="1"/>
    <xf numFmtId="0" fontId="2" fillId="0" borderId="3" xfId="0" applyFont="1" applyBorder="1"/>
    <xf numFmtId="0" fontId="2" fillId="0" borderId="15" xfId="0" applyFont="1" applyBorder="1"/>
    <xf numFmtId="0" fontId="2" fillId="2" borderId="16" xfId="0" applyFont="1" applyFill="1" applyBorder="1"/>
    <xf numFmtId="0" fontId="2" fillId="2" borderId="17" xfId="0" applyFont="1" applyFill="1" applyBorder="1"/>
    <xf numFmtId="9" fontId="2" fillId="2" borderId="18" xfId="1" applyFont="1" applyFill="1" applyBorder="1"/>
    <xf numFmtId="0" fontId="2" fillId="0" borderId="14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0" xfId="0" applyFont="1" applyFill="1" applyBorder="1"/>
    <xf numFmtId="9" fontId="2" fillId="0" borderId="0" xfId="1" applyFont="1" applyFill="1" applyBorder="1"/>
    <xf numFmtId="167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21" xfId="0" applyNumberFormat="1" applyFont="1" applyBorder="1" applyAlignment="1">
      <alignment horizontal="center"/>
    </xf>
    <xf numFmtId="164" fontId="4" fillId="0" borderId="22" xfId="0" applyNumberFormat="1" applyFont="1" applyBorder="1" applyAlignment="1">
      <alignment horizont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Relationship Id="rId6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4">
    <pageSetUpPr fitToPage="1"/>
  </sheetPr>
  <dimension ref="A1:M105"/>
  <sheetViews>
    <sheetView showGridLines="0" tabSelected="1" topLeftCell="A70" zoomScale="110" zoomScaleNormal="110" workbookViewId="0">
      <selection activeCell="L106" sqref="L106"/>
    </sheetView>
  </sheetViews>
  <sheetFormatPr defaultRowHeight="12.75" x14ac:dyDescent="0.2"/>
  <cols>
    <col min="1" max="1" customWidth="true" style="1" width="9.42578125" collapsed="true"/>
    <col min="2" max="2" customWidth="true" style="22" width="19.7109375" collapsed="true"/>
    <col min="3" max="3" customWidth="true" style="1" width="14.140625" collapsed="true"/>
    <col min="4" max="4" customWidth="true" style="1" width="26.0" collapsed="true"/>
    <col min="5" max="5" customWidth="true" style="1" width="26.42578125" collapsed="true"/>
    <col min="6" max="6" bestFit="true" customWidth="true" style="1" width="27.28515625" collapsed="true"/>
    <col min="7" max="7" bestFit="true" customWidth="true" style="1" width="17.0" collapsed="true"/>
    <col min="8" max="9" bestFit="true" customWidth="true" style="1" width="12.28515625" collapsed="true"/>
    <col min="10" max="10" bestFit="true" customWidth="true" style="32" width="12.28515625" collapsed="true"/>
    <col min="11" max="16384" style="1" width="9.140625" collapsed="true"/>
  </cols>
  <sheetData>
    <row r="1" spans="1:13" ht="18.75" x14ac:dyDescent="0.3">
      <c r="A1" s="23"/>
      <c r="B1" s="2"/>
      <c r="C1" s="3"/>
      <c r="D1" s="46" t="s">
        <v>0</v>
      </c>
      <c r="E1" s="46"/>
      <c r="F1" s="3"/>
      <c r="G1" s="3"/>
      <c r="H1" s="3"/>
      <c r="I1" s="3"/>
    </row>
    <row r="2" spans="1:13" ht="22.9" customHeight="1" x14ac:dyDescent="0.25">
      <c r="A2" s="4"/>
      <c r="B2" s="2"/>
      <c r="C2" s="3"/>
      <c r="D2" s="45" t="s">
        <v>28</v>
      </c>
      <c r="E2" s="45"/>
      <c r="F2" s="3"/>
      <c r="G2" s="3"/>
      <c r="H2" s="3"/>
      <c r="I2" s="3"/>
    </row>
    <row r="3" spans="1:13" s="5" customFormat="1" ht="23.25" customHeight="1" x14ac:dyDescent="0.25">
      <c r="A3" s="5" t="s">
        <v>18</v>
      </c>
      <c r="B3" s="6"/>
      <c r="C3" s="7" t="s">
        <v>29</v>
      </c>
      <c r="F3" s="5" t="s">
        <v>1</v>
      </c>
      <c r="G3" s="8" t="s">
        <v>33</v>
      </c>
      <c r="J3" s="31"/>
    </row>
    <row r="4" spans="1:13" s="5" customFormat="1" ht="15.75" x14ac:dyDescent="0.25">
      <c r="A4" s="5" t="s">
        <v>19</v>
      </c>
      <c r="B4" s="6"/>
      <c r="C4" s="8" t="s">
        <v>30</v>
      </c>
      <c r="D4" s="31" t="s">
        <v>32</v>
      </c>
      <c r="F4" s="5" t="s">
        <v>20</v>
      </c>
      <c r="G4" s="8" t="s">
        <v>34</v>
      </c>
      <c r="J4" s="31"/>
    </row>
    <row r="5" spans="1:13" s="5" customFormat="1" ht="15.75" x14ac:dyDescent="0.25">
      <c r="A5" s="5" t="s">
        <v>22</v>
      </c>
      <c r="B5" s="6"/>
      <c r="C5" s="8" t="s">
        <v>31</v>
      </c>
      <c r="F5" s="5" t="s">
        <v>2</v>
      </c>
      <c r="G5" s="8" t="str">
        <f>SUM(I10:I57)</f>
        <v>2144</v>
      </c>
      <c r="J5" s="31"/>
    </row>
    <row r="6" spans="1:13" s="5" customFormat="1" ht="15.75" x14ac:dyDescent="0.25">
      <c r="A6" s="5" t="s">
        <v>3</v>
      </c>
      <c r="B6" s="6"/>
      <c r="C6" s="8" t="str">
        <f>C5+G5</f>
        <v>95420</v>
      </c>
      <c r="F6" s="5" t="s">
        <v>4</v>
      </c>
      <c r="G6" s="9" t="e">
        <f>100*G7/G5</f>
        <v>#DIV/0!</v>
      </c>
      <c r="H6" s="27"/>
      <c r="I6" s="27"/>
      <c r="J6" s="33"/>
    </row>
    <row r="7" spans="1:13" s="5" customFormat="1" ht="15.75" x14ac:dyDescent="0.25">
      <c r="B7" s="6"/>
      <c r="F7" s="5" t="s">
        <v>21</v>
      </c>
      <c r="G7" s="30">
        <f>SUM(H10:H57)</f>
        <v>0</v>
      </c>
      <c r="H7" s="27"/>
      <c r="I7" s="27"/>
      <c r="J7" s="33"/>
    </row>
    <row r="8" spans="1:13" s="5" customFormat="1" ht="15.75" x14ac:dyDescent="0.25">
      <c r="A8" s="10" t="s">
        <v>5</v>
      </c>
      <c r="B8" s="47" t="s">
        <v>6</v>
      </c>
      <c r="C8" s="48"/>
      <c r="D8" s="11" t="s">
        <v>7</v>
      </c>
      <c r="E8" s="11"/>
      <c r="F8" s="12" t="s">
        <v>8</v>
      </c>
      <c r="G8" s="28" t="s">
        <v>9</v>
      </c>
      <c r="H8" s="12" t="s">
        <v>10</v>
      </c>
      <c r="I8" s="12" t="s">
        <v>24</v>
      </c>
      <c r="J8" s="12" t="s">
        <v>25</v>
      </c>
    </row>
    <row r="9" spans="1:13" s="5" customFormat="1" ht="15.75" x14ac:dyDescent="0.25">
      <c r="A9" s="13"/>
      <c r="B9" s="14" t="s">
        <v>17</v>
      </c>
      <c r="C9" s="15" t="s">
        <v>11</v>
      </c>
      <c r="D9" s="16" t="s">
        <v>12</v>
      </c>
      <c r="E9" s="17" t="s">
        <v>13</v>
      </c>
      <c r="F9" s="18" t="s">
        <v>14</v>
      </c>
      <c r="G9" s="29" t="s">
        <v>15</v>
      </c>
      <c r="H9" s="18" t="s">
        <v>16</v>
      </c>
      <c r="I9" s="18"/>
      <c r="J9" s="18"/>
    </row>
    <row r="10" spans="1:13" x14ac:dyDescent="0.2">
      <c r="A10" s="19">
        <v>1</v>
      </c>
      <c r="B10" s="25" t="s">
        <v>35</v>
      </c>
      <c r="C10" s="20" t="s">
        <v>36</v>
      </c>
      <c r="D10" s="20" t="s">
        <v>37</v>
      </c>
      <c r="E10" s="20" t="s">
        <v>38</v>
      </c>
      <c r="F10" s="21" t="s">
        <v>39</v>
      </c>
      <c r="G10" s="26" t="n">
        <f>IF(B10&lt;&gt;"",$C$5+I10,"")</f>
        <v>95442.0</v>
      </c>
      <c r="H10" s="21" t="n">
        <v>0.0</v>
      </c>
      <c r="I10" s="21" t="n">
        <v>22.0</v>
      </c>
      <c r="J10" s="19" t="s">
        <v>40</v>
      </c>
    </row>
    <row r="11" spans="1:13" x14ac:dyDescent="0.2">
      <c r="A11" s="19">
        <v>2</v>
      </c>
      <c r="B11" s="25" t="s">
        <v>35</v>
      </c>
      <c r="C11" s="20" t="s">
        <v>36</v>
      </c>
      <c r="D11" s="20" t="s">
        <v>38</v>
      </c>
      <c r="E11" s="20" t="s">
        <v>37</v>
      </c>
      <c r="F11" s="21" t="s">
        <v>41</v>
      </c>
      <c r="G11" s="26" t="n">
        <f>IF(B11&lt;&gt;"",G10+I11,"")</f>
        <v>95464.0</v>
      </c>
      <c r="H11" s="21" t="n">
        <v>0.0</v>
      </c>
      <c r="I11" s="21" t="n">
        <v>22.0</v>
      </c>
      <c r="J11" s="19" t="s">
        <v>40</v>
      </c>
    </row>
    <row r="12" spans="1:13" x14ac:dyDescent="0.2">
      <c r="A12" s="19">
        <v>3</v>
      </c>
      <c r="B12" s="25" t="s">
        <v>42</v>
      </c>
      <c r="C12" s="20" t="s">
        <v>36</v>
      </c>
      <c r="D12" s="20" t="s">
        <v>37</v>
      </c>
      <c r="E12" s="20" t="s">
        <v>43</v>
      </c>
      <c r="F12" s="21" t="s">
        <v>44</v>
      </c>
      <c r="G12" s="26" t="n">
        <f t="shared" ref="G12:G54" si="0">IF(B12&lt;&gt;"",G11+I12,"")</f>
        <v>95513.0</v>
      </c>
      <c r="H12" s="21" t="n">
        <v>0.0</v>
      </c>
      <c r="I12" s="21" t="n">
        <v>49.0</v>
      </c>
      <c r="J12" s="19" t="s">
        <v>40</v>
      </c>
      <c r="K12" s="43"/>
      <c r="L12" s="43"/>
      <c r="M12" s="43"/>
    </row>
    <row r="13" spans="1:13" x14ac:dyDescent="0.2">
      <c r="A13" s="19">
        <v>4</v>
      </c>
      <c r="B13" s="25" t="s">
        <v>42</v>
      </c>
      <c r="C13" s="20" t="s">
        <v>36</v>
      </c>
      <c r="D13" s="20" t="s">
        <v>43</v>
      </c>
      <c r="E13" s="20" t="s">
        <v>45</v>
      </c>
      <c r="F13" s="21" t="s">
        <v>46</v>
      </c>
      <c r="G13" s="26" t="n">
        <f t="shared" si="0"/>
        <v>95562.0</v>
      </c>
      <c r="H13" s="21" t="n">
        <v>0.0</v>
      </c>
      <c r="I13" s="21" t="n">
        <v>49.0</v>
      </c>
      <c r="J13" s="19" t="s">
        <v>40</v>
      </c>
      <c r="K13" s="43"/>
      <c r="L13" s="43"/>
      <c r="M13" s="44"/>
    </row>
    <row r="14" spans="1:13" x14ac:dyDescent="0.2">
      <c r="A14" s="19">
        <v>5</v>
      </c>
      <c r="B14" s="25" t="s">
        <v>42</v>
      </c>
      <c r="C14" s="20" t="s">
        <v>36</v>
      </c>
      <c r="D14" s="20" t="s">
        <v>45</v>
      </c>
      <c r="E14" s="20" t="s">
        <v>37</v>
      </c>
      <c r="F14" s="21" t="s">
        <v>41</v>
      </c>
      <c r="G14" s="26" t="n">
        <f t="shared" si="0"/>
        <v>95612.0</v>
      </c>
      <c r="H14" s="21" t="n">
        <v>0.0</v>
      </c>
      <c r="I14" s="21" t="n">
        <v>50.0</v>
      </c>
      <c r="J14" s="19" t="s">
        <v>40</v>
      </c>
    </row>
    <row r="15" spans="1:13" x14ac:dyDescent="0.2">
      <c r="A15" s="19">
        <v>6</v>
      </c>
      <c r="B15" s="25" t="s">
        <v>47</v>
      </c>
      <c r="C15" s="20" t="s">
        <v>36</v>
      </c>
      <c r="D15" s="20" t="s">
        <v>37</v>
      </c>
      <c r="E15" s="20" t="s">
        <v>48</v>
      </c>
      <c r="F15" s="21" t="s">
        <v>49</v>
      </c>
      <c r="G15" s="26" t="n">
        <f t="shared" si="0"/>
        <v>95664.0</v>
      </c>
      <c r="H15" s="21" t="n">
        <v>0.0</v>
      </c>
      <c r="I15" s="21" t="n">
        <v>52.0</v>
      </c>
      <c r="J15" s="19" t="s">
        <v>40</v>
      </c>
    </row>
    <row r="16" spans="1:13" x14ac:dyDescent="0.2">
      <c r="A16" s="19">
        <v>7</v>
      </c>
      <c r="B16" s="25" t="s">
        <v>47</v>
      </c>
      <c r="C16" s="20" t="s">
        <v>36</v>
      </c>
      <c r="D16" s="20" t="s">
        <v>48</v>
      </c>
      <c r="E16" s="20" t="s">
        <v>45</v>
      </c>
      <c r="F16" s="21" t="s">
        <v>46</v>
      </c>
      <c r="G16" s="26" t="n">
        <f t="shared" si="0"/>
        <v>95711.0</v>
      </c>
      <c r="H16" s="21" t="n">
        <v>0.0</v>
      </c>
      <c r="I16" s="21" t="n">
        <v>47.0</v>
      </c>
      <c r="J16" s="19" t="s">
        <v>40</v>
      </c>
    </row>
    <row r="17" spans="1:10" x14ac:dyDescent="0.2">
      <c r="A17" s="19">
        <v>8</v>
      </c>
      <c r="B17" s="25" t="s">
        <v>47</v>
      </c>
      <c r="C17" s="20" t="s">
        <v>36</v>
      </c>
      <c r="D17" s="20" t="s">
        <v>45</v>
      </c>
      <c r="E17" s="20" t="s">
        <v>37</v>
      </c>
      <c r="F17" s="21" t="s">
        <v>41</v>
      </c>
      <c r="G17" s="26" t="n">
        <f t="shared" si="0"/>
        <v>95761.0</v>
      </c>
      <c r="H17" s="21" t="n">
        <v>0.0</v>
      </c>
      <c r="I17" s="21" t="n">
        <v>50.0</v>
      </c>
      <c r="J17" s="19" t="s">
        <v>40</v>
      </c>
    </row>
    <row r="18" spans="1:10" x14ac:dyDescent="0.2">
      <c r="A18" s="19">
        <v>9</v>
      </c>
      <c r="B18" s="25" t="s">
        <v>50</v>
      </c>
      <c r="C18" s="20" t="s">
        <v>36</v>
      </c>
      <c r="D18" s="20" t="s">
        <v>37</v>
      </c>
      <c r="E18" s="20" t="s">
        <v>51</v>
      </c>
      <c r="F18" s="21" t="s">
        <v>52</v>
      </c>
      <c r="G18" s="26" t="n">
        <f t="shared" si="0"/>
        <v>95836.0</v>
      </c>
      <c r="H18" s="21" t="n">
        <v>45.77</v>
      </c>
      <c r="I18" s="21" t="n">
        <v>75.0</v>
      </c>
      <c r="J18" s="19" t="s">
        <v>40</v>
      </c>
    </row>
    <row r="19" spans="1:10" x14ac:dyDescent="0.2">
      <c r="A19" s="19">
        <v>10</v>
      </c>
      <c r="B19" s="25" t="s">
        <v>50</v>
      </c>
      <c r="C19" s="20" t="s">
        <v>36</v>
      </c>
      <c r="D19" s="20" t="s">
        <v>51</v>
      </c>
      <c r="E19" s="20" t="s">
        <v>53</v>
      </c>
      <c r="F19" s="21" t="s">
        <v>54</v>
      </c>
      <c r="G19" s="26" t="n">
        <f t="shared" si="0"/>
        <v>95847.0</v>
      </c>
      <c r="H19" s="21" t="n">
        <v>0.0</v>
      </c>
      <c r="I19" s="21" t="n">
        <v>11.0</v>
      </c>
      <c r="J19" s="19" t="s">
        <v>40</v>
      </c>
    </row>
    <row r="20" spans="1:10" x14ac:dyDescent="0.2">
      <c r="A20" s="19">
        <v>12</v>
      </c>
      <c r="B20" s="25" t="s">
        <v>50</v>
      </c>
      <c r="C20" s="20" t="s">
        <v>36</v>
      </c>
      <c r="D20" s="20" t="s">
        <v>53</v>
      </c>
      <c r="E20" s="20" t="s">
        <v>55</v>
      </c>
      <c r="F20" s="21" t="s">
        <v>56</v>
      </c>
      <c r="G20" s="26" t="n">
        <f t="shared" si="0"/>
        <v>95857.0</v>
      </c>
      <c r="H20" s="21" t="n">
        <v>0.0</v>
      </c>
      <c r="I20" s="21" t="n">
        <v>10.0</v>
      </c>
      <c r="J20" s="19" t="s">
        <v>40</v>
      </c>
    </row>
    <row r="21" spans="1:10" x14ac:dyDescent="0.2">
      <c r="A21" s="19">
        <v>13</v>
      </c>
      <c r="B21" s="25" t="s">
        <v>50</v>
      </c>
      <c r="C21" s="20" t="s">
        <v>36</v>
      </c>
      <c r="D21" s="20" t="s">
        <v>55</v>
      </c>
      <c r="E21" s="20" t="s">
        <v>37</v>
      </c>
      <c r="F21" s="21" t="s">
        <v>41</v>
      </c>
      <c r="G21" s="26" t="n">
        <f t="shared" si="0"/>
        <v>95923.0</v>
      </c>
      <c r="H21" s="21" t="n">
        <v>0.0</v>
      </c>
      <c r="I21" s="21" t="n">
        <v>66.0</v>
      </c>
      <c r="J21" s="19" t="s">
        <v>40</v>
      </c>
    </row>
    <row r="22" spans="1:10" x14ac:dyDescent="0.2">
      <c r="A22" s="19">
        <v>14</v>
      </c>
      <c r="B22" s="25" t="s">
        <v>57</v>
      </c>
      <c r="C22" s="20" t="s">
        <v>36</v>
      </c>
      <c r="D22" s="20" t="s">
        <v>37</v>
      </c>
      <c r="E22" s="20" t="s">
        <v>58</v>
      </c>
      <c r="F22" s="21" t="s">
        <v>59</v>
      </c>
      <c r="G22" s="26" t="n">
        <f t="shared" si="0"/>
        <v>95954.0</v>
      </c>
      <c r="H22" s="21" t="n">
        <v>0.0</v>
      </c>
      <c r="I22" s="21" t="n">
        <v>31.0</v>
      </c>
      <c r="J22" s="19" t="s">
        <v>40</v>
      </c>
    </row>
    <row r="23" spans="1:10" x14ac:dyDescent="0.2">
      <c r="A23" s="19">
        <v>15</v>
      </c>
      <c r="B23" s="25" t="s">
        <v>57</v>
      </c>
      <c r="C23" s="20" t="s">
        <v>36</v>
      </c>
      <c r="D23" s="20" t="s">
        <v>58</v>
      </c>
      <c r="E23" s="20" t="s">
        <v>60</v>
      </c>
      <c r="F23" s="21" t="s">
        <v>61</v>
      </c>
      <c r="G23" s="26" t="n">
        <f t="shared" si="0"/>
        <v>95990.0</v>
      </c>
      <c r="H23" s="21" t="n">
        <v>0.0</v>
      </c>
      <c r="I23" s="21" t="n">
        <v>36.0</v>
      </c>
      <c r="J23" s="19" t="s">
        <v>40</v>
      </c>
    </row>
    <row r="24" spans="1:10" x14ac:dyDescent="0.2">
      <c r="A24" s="19">
        <v>16</v>
      </c>
      <c r="B24" s="25" t="s">
        <v>57</v>
      </c>
      <c r="C24" s="20" t="s">
        <v>36</v>
      </c>
      <c r="D24" s="20" t="s">
        <v>60</v>
      </c>
      <c r="E24" s="20" t="s">
        <v>37</v>
      </c>
      <c r="F24" s="21" t="s">
        <v>41</v>
      </c>
      <c r="G24" s="26" t="n">
        <f t="shared" si="0"/>
        <v>95998.0</v>
      </c>
      <c r="H24" s="21" t="n">
        <v>0.0</v>
      </c>
      <c r="I24" s="21" t="n">
        <v>8.0</v>
      </c>
      <c r="J24" s="19" t="s">
        <v>40</v>
      </c>
    </row>
    <row r="25" spans="1:10" x14ac:dyDescent="0.2">
      <c r="A25" s="19">
        <v>17</v>
      </c>
      <c r="B25" s="25" t="s">
        <v>62</v>
      </c>
      <c r="C25" s="20" t="s">
        <v>36</v>
      </c>
      <c r="D25" s="20" t="s">
        <v>37</v>
      </c>
      <c r="E25" s="20" t="s">
        <v>63</v>
      </c>
      <c r="F25" s="21" t="s">
        <v>64</v>
      </c>
      <c r="G25" s="26" t="n">
        <f t="shared" si="0"/>
        <v>96048.0</v>
      </c>
      <c r="H25" s="21" t="n">
        <v>0.0</v>
      </c>
      <c r="I25" s="21" t="n">
        <v>50.0</v>
      </c>
      <c r="J25" s="19" t="s">
        <v>40</v>
      </c>
    </row>
    <row r="26" spans="1:10" x14ac:dyDescent="0.2">
      <c r="A26" s="19">
        <v>19</v>
      </c>
      <c r="B26" s="25" t="s">
        <v>62</v>
      </c>
      <c r="C26" s="20" t="s">
        <v>36</v>
      </c>
      <c r="D26" s="20" t="s">
        <v>63</v>
      </c>
      <c r="E26" s="20" t="s">
        <v>37</v>
      </c>
      <c r="F26" s="21" t="s">
        <v>41</v>
      </c>
      <c r="G26" s="26" t="n">
        <f t="shared" si="0"/>
        <v>96098.0</v>
      </c>
      <c r="H26" s="21" t="n">
        <v>0.0</v>
      </c>
      <c r="I26" s="21" t="n">
        <v>50.0</v>
      </c>
      <c r="J26" s="19" t="s">
        <v>40</v>
      </c>
    </row>
    <row r="27" spans="1:10" x14ac:dyDescent="0.2">
      <c r="A27" s="19">
        <v>20</v>
      </c>
      <c r="B27" s="25" t="s">
        <v>65</v>
      </c>
      <c r="C27" s="20" t="s">
        <v>36</v>
      </c>
      <c r="D27" s="20" t="s">
        <v>37</v>
      </c>
      <c r="E27" s="20" t="s">
        <v>66</v>
      </c>
      <c r="F27" s="21" t="s">
        <v>67</v>
      </c>
      <c r="G27" s="26" t="n">
        <f t="shared" si="0"/>
        <v>96125.0</v>
      </c>
      <c r="H27" s="21" t="n">
        <v>0.0</v>
      </c>
      <c r="I27" s="21" t="n">
        <v>27.0</v>
      </c>
      <c r="J27" s="19" t="s">
        <v>40</v>
      </c>
    </row>
    <row r="28" spans="1:10" x14ac:dyDescent="0.2">
      <c r="A28" s="19">
        <v>21</v>
      </c>
      <c r="B28" s="25" t="s">
        <v>65</v>
      </c>
      <c r="C28" s="20" t="s">
        <v>36</v>
      </c>
      <c r="D28" s="20" t="s">
        <v>66</v>
      </c>
      <c r="E28" s="20" t="s">
        <v>37</v>
      </c>
      <c r="F28" s="21" t="s">
        <v>41</v>
      </c>
      <c r="G28" s="26" t="n">
        <f t="shared" si="0"/>
        <v>96152.0</v>
      </c>
      <c r="H28" s="21" t="n">
        <v>0.0</v>
      </c>
      <c r="I28" s="21" t="n">
        <v>27.0</v>
      </c>
      <c r="J28" s="19" t="s">
        <v>40</v>
      </c>
    </row>
    <row r="29" spans="1:10" x14ac:dyDescent="0.2">
      <c r="A29" s="19">
        <v>22</v>
      </c>
      <c r="B29" s="25" t="s">
        <v>68</v>
      </c>
      <c r="C29" s="20" t="s">
        <v>36</v>
      </c>
      <c r="D29" s="20" t="s">
        <v>37</v>
      </c>
      <c r="E29" s="20" t="s">
        <v>69</v>
      </c>
      <c r="F29" s="21" t="s">
        <v>70</v>
      </c>
      <c r="G29" s="26" t="n">
        <f t="shared" si="0"/>
        <v>96157.0</v>
      </c>
      <c r="H29" s="21" t="n">
        <v>0.0</v>
      </c>
      <c r="I29" s="21" t="n">
        <v>5.0</v>
      </c>
      <c r="J29" s="19" t="s">
        <v>40</v>
      </c>
    </row>
    <row r="30" spans="1:10" x14ac:dyDescent="0.2">
      <c r="A30" s="19">
        <v>23</v>
      </c>
      <c r="B30" s="25" t="s">
        <v>68</v>
      </c>
      <c r="C30" s="20" t="s">
        <v>36</v>
      </c>
      <c r="D30" s="20" t="s">
        <v>69</v>
      </c>
      <c r="E30" s="20" t="s">
        <v>71</v>
      </c>
      <c r="F30" s="21" t="s">
        <v>72</v>
      </c>
      <c r="G30" s="26" t="n">
        <f t="shared" si="0"/>
        <v>96220.0</v>
      </c>
      <c r="H30" s="21" t="n">
        <v>0.0</v>
      </c>
      <c r="I30" s="21" t="n">
        <v>63.0</v>
      </c>
      <c r="J30" s="19" t="s">
        <v>40</v>
      </c>
    </row>
    <row r="31" spans="1:10" x14ac:dyDescent="0.2">
      <c r="A31" s="19">
        <v>24</v>
      </c>
      <c r="B31" s="25" t="s">
        <v>68</v>
      </c>
      <c r="C31" s="20" t="s">
        <v>36</v>
      </c>
      <c r="D31" s="20" t="s">
        <v>71</v>
      </c>
      <c r="E31" s="20" t="s">
        <v>37</v>
      </c>
      <c r="F31" s="21" t="s">
        <v>41</v>
      </c>
      <c r="G31" s="26" t="n">
        <f t="shared" si="0"/>
        <v>96288.0</v>
      </c>
      <c r="H31" s="21" t="n">
        <v>0.0</v>
      </c>
      <c r="I31" s="21" t="n">
        <v>68.0</v>
      </c>
      <c r="J31" s="19" t="s">
        <v>40</v>
      </c>
    </row>
    <row r="32" spans="1:10" x14ac:dyDescent="0.2">
      <c r="A32" s="19">
        <v>25</v>
      </c>
      <c r="B32" s="25" t="s">
        <v>73</v>
      </c>
      <c r="C32" s="20" t="s">
        <v>36</v>
      </c>
      <c r="D32" s="20" t="s">
        <v>37</v>
      </c>
      <c r="E32" s="20" t="s">
        <v>74</v>
      </c>
      <c r="F32" s="21" t="s">
        <v>75</v>
      </c>
      <c r="G32" s="26" t="n">
        <f t="shared" si="0"/>
        <v>96306.0</v>
      </c>
      <c r="H32" s="21" t="n">
        <v>0.0</v>
      </c>
      <c r="I32" s="21" t="n">
        <v>18.0</v>
      </c>
      <c r="J32" s="19" t="s">
        <v>40</v>
      </c>
    </row>
    <row r="33" spans="1:10" x14ac:dyDescent="0.2">
      <c r="A33" s="19">
        <v>26</v>
      </c>
      <c r="B33" s="25" t="s">
        <v>73</v>
      </c>
      <c r="C33" s="20" t="s">
        <v>36</v>
      </c>
      <c r="D33" s="20" t="s">
        <v>74</v>
      </c>
      <c r="E33" s="20" t="s">
        <v>37</v>
      </c>
      <c r="F33" s="21" t="s">
        <v>41</v>
      </c>
      <c r="G33" s="26" t="n">
        <f t="shared" si="0"/>
        <v>96324.0</v>
      </c>
      <c r="H33" s="21" t="n">
        <v>0.0</v>
      </c>
      <c r="I33" s="21" t="n">
        <v>18.0</v>
      </c>
      <c r="J33" s="19" t="s">
        <v>40</v>
      </c>
    </row>
    <row r="34" spans="1:10" x14ac:dyDescent="0.2">
      <c r="A34" s="19">
        <v>29</v>
      </c>
      <c r="B34" s="25" t="s">
        <v>76</v>
      </c>
      <c r="C34" s="20" t="s">
        <v>36</v>
      </c>
      <c r="D34" s="20" t="s">
        <v>37</v>
      </c>
      <c r="E34" s="20" t="s">
        <v>77</v>
      </c>
      <c r="F34" s="21" t="s">
        <v>78</v>
      </c>
      <c r="G34" s="26" t="n">
        <f t="shared" si="0"/>
        <v>96354.0</v>
      </c>
      <c r="H34" s="21" t="n">
        <v>0.0</v>
      </c>
      <c r="I34" s="21" t="n">
        <v>30.0</v>
      </c>
      <c r="J34" s="19" t="s">
        <v>40</v>
      </c>
    </row>
    <row r="35" spans="1:10" x14ac:dyDescent="0.2">
      <c r="A35" s="24">
        <v>30</v>
      </c>
      <c r="B35" s="25" t="s">
        <v>76</v>
      </c>
      <c r="C35" s="20" t="s">
        <v>36</v>
      </c>
      <c r="D35" s="20" t="s">
        <v>77</v>
      </c>
      <c r="E35" s="20" t="s">
        <v>53</v>
      </c>
      <c r="F35" s="21" t="s">
        <v>54</v>
      </c>
      <c r="G35" s="26" t="n">
        <f t="shared" si="0"/>
        <v>96413.0</v>
      </c>
      <c r="H35" s="21" t="n">
        <v>0.0</v>
      </c>
      <c r="I35" s="21" t="n">
        <v>59.0</v>
      </c>
      <c r="J35" s="19" t="s">
        <v>40</v>
      </c>
    </row>
    <row r="36" spans="1:10" x14ac:dyDescent="0.2">
      <c r="A36" s="19">
        <v>31</v>
      </c>
      <c r="B36" s="25" t="s">
        <v>76</v>
      </c>
      <c r="C36" s="20" t="s">
        <v>36</v>
      </c>
      <c r="D36" s="20" t="s">
        <v>53</v>
      </c>
      <c r="E36" s="20" t="s">
        <v>37</v>
      </c>
      <c r="F36" s="21" t="s">
        <v>79</v>
      </c>
      <c r="G36" s="26" t="n">
        <f t="shared" si="0"/>
        <v>96490.0</v>
      </c>
      <c r="H36" s="21" t="n">
        <v>44.19</v>
      </c>
      <c r="I36" s="21" t="n">
        <v>77.0</v>
      </c>
      <c r="J36" s="19" t="s">
        <v>40</v>
      </c>
    </row>
    <row r="37" spans="1:10" x14ac:dyDescent="0.2">
      <c r="A37" s="19">
        <v>32</v>
      </c>
      <c r="B37" s="25" t="s">
        <v>80</v>
      </c>
      <c r="C37" s="20" t="s">
        <v>36</v>
      </c>
      <c r="D37" s="20" t="s">
        <v>37</v>
      </c>
      <c r="E37" s="20" t="s">
        <v>81</v>
      </c>
      <c r="F37" s="21" t="s">
        <v>82</v>
      </c>
      <c r="G37" s="26" t="n">
        <f t="shared" si="0"/>
        <v>96496.0</v>
      </c>
      <c r="H37" s="21" t="n">
        <v>0.0</v>
      </c>
      <c r="I37" s="21" t="n">
        <v>6.0</v>
      </c>
      <c r="J37" s="19" t="s">
        <v>40</v>
      </c>
    </row>
    <row r="38" spans="1:10" x14ac:dyDescent="0.2">
      <c r="A38" s="19">
        <v>33</v>
      </c>
      <c r="B38" s="25" t="s">
        <v>80</v>
      </c>
      <c r="C38" s="20" t="s">
        <v>36</v>
      </c>
      <c r="D38" s="20" t="s">
        <v>81</v>
      </c>
      <c r="E38" s="20" t="s">
        <v>83</v>
      </c>
      <c r="F38" s="21" t="s">
        <v>84</v>
      </c>
      <c r="G38" s="26" t="n">
        <f t="shared" si="0"/>
        <v>96560.0</v>
      </c>
      <c r="H38" s="21" t="n">
        <v>0.0</v>
      </c>
      <c r="I38" s="21" t="n">
        <v>64.0</v>
      </c>
      <c r="J38" s="19" t="s">
        <v>40</v>
      </c>
    </row>
    <row r="39" spans="1:10" x14ac:dyDescent="0.2">
      <c r="A39" s="19">
        <v>34</v>
      </c>
      <c r="B39" s="25" t="s">
        <v>80</v>
      </c>
      <c r="C39" s="20" t="s">
        <v>36</v>
      </c>
      <c r="D39" s="20" t="s">
        <v>83</v>
      </c>
      <c r="E39" s="20" t="s">
        <v>43</v>
      </c>
      <c r="F39" s="21" t="s">
        <v>44</v>
      </c>
      <c r="G39" s="26" t="n">
        <f t="shared" si="0"/>
        <v>96579.0</v>
      </c>
      <c r="H39" s="21" t="n">
        <v>0.0</v>
      </c>
      <c r="I39" s="21" t="n">
        <v>19.0</v>
      </c>
      <c r="J39" s="19" t="s">
        <v>40</v>
      </c>
    </row>
    <row r="40" spans="1:10" x14ac:dyDescent="0.2">
      <c r="A40" s="19">
        <v>35</v>
      </c>
      <c r="B40" s="25" t="s">
        <v>80</v>
      </c>
      <c r="C40" s="20" t="s">
        <v>36</v>
      </c>
      <c r="D40" s="20" t="s">
        <v>43</v>
      </c>
      <c r="E40" s="20" t="s">
        <v>85</v>
      </c>
      <c r="F40" s="21" t="s">
        <v>86</v>
      </c>
      <c r="G40" s="26" t="n">
        <f t="shared" si="0"/>
        <v>96592.0</v>
      </c>
      <c r="H40" s="21" t="n">
        <v>0.0</v>
      </c>
      <c r="I40" s="21" t="n">
        <v>13.0</v>
      </c>
      <c r="J40" s="19" t="s">
        <v>40</v>
      </c>
    </row>
    <row r="41" spans="1:10" x14ac:dyDescent="0.2">
      <c r="A41" s="19">
        <v>36</v>
      </c>
      <c r="B41" s="25" t="s">
        <v>80</v>
      </c>
      <c r="C41" s="20" t="s">
        <v>36</v>
      </c>
      <c r="D41" s="20" t="s">
        <v>85</v>
      </c>
      <c r="E41" s="20" t="s">
        <v>87</v>
      </c>
      <c r="F41" s="21" t="s">
        <v>88</v>
      </c>
      <c r="G41" s="26" t="n">
        <f t="shared" si="0"/>
        <v>96600.0</v>
      </c>
      <c r="H41" s="21" t="n">
        <v>0.0</v>
      </c>
      <c r="I41" s="21" t="n">
        <v>8.0</v>
      </c>
      <c r="J41" s="19" t="s">
        <v>40</v>
      </c>
    </row>
    <row r="42" spans="1:10" x14ac:dyDescent="0.2">
      <c r="A42" s="19">
        <v>37</v>
      </c>
      <c r="B42" s="25" t="s">
        <v>80</v>
      </c>
      <c r="C42" s="20" t="s">
        <v>36</v>
      </c>
      <c r="D42" s="20" t="s">
        <v>87</v>
      </c>
      <c r="E42" s="20" t="s">
        <v>37</v>
      </c>
      <c r="F42" s="21" t="s">
        <v>41</v>
      </c>
      <c r="G42" s="26" t="n">
        <f t="shared" si="0"/>
        <v>96656.0</v>
      </c>
      <c r="H42" s="21" t="n">
        <v>0.0</v>
      </c>
      <c r="I42" s="21" t="n">
        <v>56.0</v>
      </c>
      <c r="J42" s="19" t="s">
        <v>40</v>
      </c>
    </row>
    <row r="43" spans="1:10" x14ac:dyDescent="0.2">
      <c r="A43" s="19">
        <v>38</v>
      </c>
      <c r="B43" s="25" t="s">
        <v>89</v>
      </c>
      <c r="C43" s="20" t="s">
        <v>36</v>
      </c>
      <c r="D43" s="20" t="s">
        <v>90</v>
      </c>
      <c r="E43" s="20" t="s">
        <v>91</v>
      </c>
      <c r="F43" s="21" t="s">
        <v>92</v>
      </c>
      <c r="G43" s="26" t="n">
        <f t="shared" si="0"/>
        <v>95425.0</v>
      </c>
      <c r="H43" s="21" t="n">
        <v>0.0</v>
      </c>
      <c r="I43" s="21" t="n">
        <v>5.0</v>
      </c>
      <c r="J43" s="19" t="s">
        <v>40</v>
      </c>
    </row>
    <row r="44" spans="1:10" x14ac:dyDescent="0.2">
      <c r="A44" s="19">
        <v>39</v>
      </c>
      <c r="B44" s="25" t="s">
        <v>89</v>
      </c>
      <c r="C44" s="20" t="s">
        <v>36</v>
      </c>
      <c r="D44" s="20" t="s">
        <v>91</v>
      </c>
      <c r="E44" s="20" t="s">
        <v>90</v>
      </c>
      <c r="F44" s="21" t="s">
        <v>41</v>
      </c>
      <c r="G44" s="26" t="n">
        <f t="shared" si="0"/>
        <v>95425.0</v>
      </c>
      <c r="H44" s="21" t="n">
        <v>0.0</v>
      </c>
      <c r="I44" s="21" t="n">
        <v>5.0</v>
      </c>
      <c r="J44" s="19" t="s">
        <v>40</v>
      </c>
    </row>
    <row r="45" spans="1:10" x14ac:dyDescent="0.2">
      <c r="A45" s="19">
        <v>40</v>
      </c>
      <c r="B45" s="25" t="s">
        <v>93</v>
      </c>
      <c r="C45" s="20" t="s">
        <v>36</v>
      </c>
      <c r="D45" s="20" t="s">
        <v>90</v>
      </c>
      <c r="E45" s="20" t="s">
        <v>94</v>
      </c>
      <c r="F45" s="21" t="s">
        <v>95</v>
      </c>
      <c r="G45" s="26" t="n">
        <f t="shared" si="0"/>
        <v>95420.0</v>
      </c>
      <c r="H45" s="21" t="n">
        <v>0.0</v>
      </c>
      <c r="I45" s="21" t="n">
        <v>84.0</v>
      </c>
      <c r="J45" s="19" t="s">
        <v>40</v>
      </c>
    </row>
    <row r="46" spans="1:10" x14ac:dyDescent="0.2">
      <c r="A46" s="19">
        <v>41</v>
      </c>
      <c r="B46" s="25" t="s">
        <v>93</v>
      </c>
      <c r="C46" s="20" t="s">
        <v>36</v>
      </c>
      <c r="D46" s="20" t="s">
        <v>94</v>
      </c>
      <c r="E46" s="20" t="s">
        <v>90</v>
      </c>
      <c r="F46" s="21" t="s">
        <v>96</v>
      </c>
      <c r="G46" s="26" t="n">
        <f t="shared" si="0"/>
        <v>95420.0</v>
      </c>
      <c r="H46" s="21" t="n">
        <v>0.0</v>
      </c>
      <c r="I46" s="21" t="n">
        <v>84.0</v>
      </c>
      <c r="J46" s="19" t="s">
        <v>40</v>
      </c>
    </row>
    <row r="47" spans="1:10" x14ac:dyDescent="0.2">
      <c r="A47" s="19">
        <v>42</v>
      </c>
      <c r="B47" s="25" t="s">
        <v>97</v>
      </c>
      <c r="C47" s="20" t="s">
        <v>98</v>
      </c>
      <c r="D47" s="20" t="s">
        <v>99</v>
      </c>
      <c r="E47" s="20" t="s">
        <v>99</v>
      </c>
      <c r="F47" s="21" t="s">
        <v>99</v>
      </c>
      <c r="G47" s="26" t="n">
        <f t="shared" si="0"/>
        <v>95420.0</v>
      </c>
      <c r="H47" s="21" t="n">
        <v>0.0</v>
      </c>
      <c r="I47" s="21" t="n">
        <v>128.0</v>
      </c>
      <c r="J47" s="19" t="s">
        <v>23</v>
      </c>
    </row>
    <row r="48" spans="1:10" x14ac:dyDescent="0.2">
      <c r="A48" s="19">
        <v>43</v>
      </c>
      <c r="B48" s="25" t="s">
        <v>100</v>
      </c>
      <c r="C48" s="20" t="s">
        <v>36</v>
      </c>
      <c r="D48" s="20" t="s">
        <v>90</v>
      </c>
      <c r="E48" s="20" t="s">
        <v>101</v>
      </c>
      <c r="F48" s="21" t="s">
        <v>102</v>
      </c>
      <c r="G48" s="26" t="n">
        <f t="shared" si="0"/>
        <v>95420.0</v>
      </c>
      <c r="H48" s="21" t="n">
        <v>0.0</v>
      </c>
      <c r="I48" s="21" t="n">
        <v>46.0</v>
      </c>
      <c r="J48" s="19" t="s">
        <v>40</v>
      </c>
    </row>
    <row r="49" spans="1:10" x14ac:dyDescent="0.2">
      <c r="A49" s="19">
        <v>44</v>
      </c>
      <c r="B49" s="25" t="s">
        <v>100</v>
      </c>
      <c r="C49" s="20" t="s">
        <v>36</v>
      </c>
      <c r="D49" s="20" t="s">
        <v>101</v>
      </c>
      <c r="E49" s="20" t="s">
        <v>103</v>
      </c>
      <c r="F49" s="21" t="s">
        <v>104</v>
      </c>
      <c r="G49" s="26" t="n">
        <f t="shared" si="0"/>
        <v>95420.0</v>
      </c>
      <c r="H49" s="21" t="n">
        <v>0.0</v>
      </c>
      <c r="I49" s="21" t="n">
        <v>20.0</v>
      </c>
      <c r="J49" s="19" t="s">
        <v>40</v>
      </c>
    </row>
    <row r="50" spans="1:10" x14ac:dyDescent="0.2">
      <c r="A50" s="19">
        <v>45</v>
      </c>
      <c r="B50" s="25" t="s">
        <v>100</v>
      </c>
      <c r="C50" s="20" t="s">
        <v>36</v>
      </c>
      <c r="D50" s="20" t="s">
        <v>103</v>
      </c>
      <c r="E50" s="20" t="s">
        <v>105</v>
      </c>
      <c r="F50" s="21" t="s">
        <v>106</v>
      </c>
      <c r="G50" s="26" t="n">
        <f t="shared" si="0"/>
        <v>95420.0</v>
      </c>
      <c r="H50" s="21" t="n">
        <v>0.0</v>
      </c>
      <c r="I50" s="21" t="n">
        <v>28.0</v>
      </c>
      <c r="J50" s="19" t="s">
        <v>40</v>
      </c>
    </row>
    <row r="51" spans="1:10" x14ac:dyDescent="0.2">
      <c r="A51" s="19">
        <v>46</v>
      </c>
      <c r="B51" s="25" t="s">
        <v>107</v>
      </c>
      <c r="C51" s="20" t="s">
        <v>36</v>
      </c>
      <c r="D51" s="20" t="s">
        <v>90</v>
      </c>
      <c r="E51" s="20" t="s">
        <v>108</v>
      </c>
      <c r="F51" s="21" t="s">
        <v>109</v>
      </c>
      <c r="G51" s="26" t="n">
        <f t="shared" si="0"/>
        <v>95420.0</v>
      </c>
      <c r="H51" s="21" t="n">
        <v>0.0</v>
      </c>
      <c r="I51" s="21" t="n">
        <v>49.0</v>
      </c>
      <c r="J51" s="19" t="s">
        <v>40</v>
      </c>
    </row>
    <row r="52" spans="1:10" x14ac:dyDescent="0.2">
      <c r="A52" s="19">
        <v>47</v>
      </c>
      <c r="B52" s="25" t="s">
        <v>107</v>
      </c>
      <c r="C52" s="20" t="s">
        <v>36</v>
      </c>
      <c r="D52" s="20" t="s">
        <v>108</v>
      </c>
      <c r="E52" s="20" t="s">
        <v>90</v>
      </c>
      <c r="F52" s="21" t="s">
        <v>41</v>
      </c>
      <c r="G52" s="26" t="n">
        <f t="shared" si="0"/>
        <v>95420.0</v>
      </c>
      <c r="H52" s="21" t="n">
        <v>0.0</v>
      </c>
      <c r="I52" s="21" t="n">
        <v>49.0</v>
      </c>
      <c r="J52" s="19" t="s">
        <v>40</v>
      </c>
    </row>
    <row r="53" spans="1:10" x14ac:dyDescent="0.2">
      <c r="A53" s="19">
        <v>48</v>
      </c>
      <c r="B53" s="25" t="s">
        <v>107</v>
      </c>
      <c r="C53" s="20" t="s">
        <v>36</v>
      </c>
      <c r="D53" s="20" t="s">
        <v>90</v>
      </c>
      <c r="E53" s="20" t="s">
        <v>110</v>
      </c>
      <c r="F53" s="21" t="s">
        <v>111</v>
      </c>
      <c r="G53" s="26" t="n">
        <f t="shared" si="0"/>
        <v>95420.0</v>
      </c>
      <c r="H53" s="21" t="n">
        <v>0.0</v>
      </c>
      <c r="I53" s="21" t="n">
        <v>78.0</v>
      </c>
      <c r="J53" s="19" t="s">
        <v>40</v>
      </c>
    </row>
    <row r="54" spans="1:10" x14ac:dyDescent="0.2">
      <c r="A54" s="19">
        <v>49</v>
      </c>
      <c r="B54" s="25" t="s">
        <v>107</v>
      </c>
      <c r="C54" s="20" t="s">
        <v>36</v>
      </c>
      <c r="D54" s="20" t="s">
        <v>110</v>
      </c>
      <c r="E54" s="20" t="s">
        <v>90</v>
      </c>
      <c r="F54" s="21" t="s">
        <v>41</v>
      </c>
      <c r="G54" s="26" t="n">
        <f t="shared" si="0"/>
        <v>95420.0</v>
      </c>
      <c r="H54" s="21" t="n">
        <v>0.0</v>
      </c>
      <c r="I54" s="21" t="n">
        <v>78.0</v>
      </c>
      <c r="J54" s="19" t="s">
        <v>40</v>
      </c>
    </row>
    <row r="55" spans="1:10" x14ac:dyDescent="0.2">
      <c r="A55" s="19">
        <v>50</v>
      </c>
      <c r="B55" s="25" t="s">
        <v>112</v>
      </c>
      <c r="C55" s="20" t="s">
        <v>36</v>
      </c>
      <c r="D55" s="20" t="s">
        <v>90</v>
      </c>
      <c r="E55" s="20" t="s">
        <v>113</v>
      </c>
      <c r="F55" s="21" t="s">
        <v>114</v>
      </c>
      <c r="G55" s="26" t="n">
        <f t="shared" ref="G55:G65" si="1">IF(B55&lt;&gt;"",G54+I55,"")</f>
        <v>95420.0</v>
      </c>
      <c r="H55" s="21" t="n">
        <v>0.0</v>
      </c>
      <c r="I55" s="21" t="n">
        <v>5.0</v>
      </c>
      <c r="J55" s="19" t="s">
        <v>40</v>
      </c>
    </row>
    <row r="56" spans="1:10" x14ac:dyDescent="0.2">
      <c r="A56" s="19">
        <v>51</v>
      </c>
      <c r="B56" s="25" t="s">
        <v>112</v>
      </c>
      <c r="C56" s="20" t="s">
        <v>36</v>
      </c>
      <c r="D56" s="20" t="s">
        <v>113</v>
      </c>
      <c r="E56" s="20" t="s">
        <v>90</v>
      </c>
      <c r="F56" s="21" t="s">
        <v>41</v>
      </c>
      <c r="G56" s="26" t="n">
        <f t="shared" si="1"/>
        <v>95420.0</v>
      </c>
      <c r="H56" s="21" t="n">
        <v>0.0</v>
      </c>
      <c r="I56" s="21" t="n">
        <v>5.0</v>
      </c>
      <c r="J56" s="19" t="s">
        <v>40</v>
      </c>
    </row>
    <row r="57" spans="1:10" x14ac:dyDescent="0.2">
      <c r="A57" s="19">
        <v>52</v>
      </c>
      <c r="B57" s="25" t="s">
        <v>115</v>
      </c>
      <c r="C57" s="20" t="s">
        <v>36</v>
      </c>
      <c r="D57" s="20" t="s">
        <v>90</v>
      </c>
      <c r="E57" s="20" t="s">
        <v>116</v>
      </c>
      <c r="F57" s="21" t="s">
        <v>117</v>
      </c>
      <c r="G57" s="26" t="n">
        <f t="shared" si="1"/>
        <v>95420.0</v>
      </c>
      <c r="H57" s="21" t="n">
        <v>0.0</v>
      </c>
      <c r="I57" s="21" t="n">
        <v>17.0</v>
      </c>
      <c r="J57" s="19" t="s">
        <v>40</v>
      </c>
    </row>
    <row r="58" spans="1:10" x14ac:dyDescent="0.2">
      <c r="A58" s="19">
        <v>53</v>
      </c>
      <c r="B58" s="25" t="s">
        <v>115</v>
      </c>
      <c r="C58" s="20" t="s">
        <v>36</v>
      </c>
      <c r="D58" s="20" t="s">
        <v>116</v>
      </c>
      <c r="E58" s="20" t="s">
        <v>90</v>
      </c>
      <c r="F58" s="21" t="s">
        <v>41</v>
      </c>
      <c r="G58" s="26" t="n">
        <f t="shared" si="1"/>
        <v>95420.0</v>
      </c>
      <c r="H58" s="21" t="n">
        <v>0.0</v>
      </c>
      <c r="I58" s="21" t="n">
        <v>17.0</v>
      </c>
      <c r="J58" s="19" t="s">
        <v>40</v>
      </c>
    </row>
    <row r="59" spans="1:10" x14ac:dyDescent="0.2">
      <c r="A59" s="19">
        <v>54</v>
      </c>
      <c r="B59" s="25" t="s">
        <v>115</v>
      </c>
      <c r="C59" s="20" t="s">
        <v>36</v>
      </c>
      <c r="D59" s="20" t="s">
        <v>90</v>
      </c>
      <c r="E59" s="20" t="s">
        <v>108</v>
      </c>
      <c r="F59" s="21" t="s">
        <v>109</v>
      </c>
      <c r="G59" s="26" t="n">
        <f t="shared" si="1"/>
        <v>95420.0</v>
      </c>
      <c r="H59" s="21" t="n">
        <v>0.0</v>
      </c>
      <c r="I59" s="21" t="n">
        <v>49.0</v>
      </c>
      <c r="J59" s="19" t="s">
        <v>40</v>
      </c>
    </row>
    <row r="60" spans="1:10" x14ac:dyDescent="0.2">
      <c r="A60" s="19">
        <v>55</v>
      </c>
      <c r="B60" s="25" t="s">
        <v>115</v>
      </c>
      <c r="C60" s="20" t="s">
        <v>36</v>
      </c>
      <c r="D60" s="20" t="s">
        <v>108</v>
      </c>
      <c r="E60" s="20" t="s">
        <v>90</v>
      </c>
      <c r="F60" s="21" t="s">
        <v>79</v>
      </c>
      <c r="G60" s="26" t="n">
        <f t="shared" si="1"/>
        <v>95420.0</v>
      </c>
      <c r="H60" s="21" t="n">
        <v>44.99</v>
      </c>
      <c r="I60" s="21" t="n">
        <v>49.0</v>
      </c>
      <c r="J60" s="19" t="s">
        <v>40</v>
      </c>
    </row>
    <row r="61" spans="1:10" x14ac:dyDescent="0.2">
      <c r="A61" s="19">
        <v>56</v>
      </c>
      <c r="B61" s="25" t="s">
        <v>118</v>
      </c>
      <c r="C61" s="20" t="s">
        <v>98</v>
      </c>
      <c r="D61" s="20" t="s">
        <v>99</v>
      </c>
      <c r="E61" s="20" t="s">
        <v>99</v>
      </c>
      <c r="F61" s="21" t="s">
        <v>99</v>
      </c>
      <c r="G61" s="26" t="n">
        <f t="shared" si="1"/>
        <v>95420.0</v>
      </c>
      <c r="H61" s="21" t="n">
        <v>0.0</v>
      </c>
      <c r="I61" s="21" t="n">
        <v>112.0</v>
      </c>
      <c r="J61" s="19" t="s">
        <v>23</v>
      </c>
    </row>
    <row r="62" spans="1:10" x14ac:dyDescent="0.2">
      <c r="A62" s="19">
        <v>57</v>
      </c>
      <c r="B62" s="25"/>
      <c r="C62" s="20"/>
      <c r="D62" s="20"/>
      <c r="E62" s="20"/>
      <c r="F62" s="21"/>
      <c r="G62" s="26" t="str">
        <f t="shared" si="1"/>
        <v/>
      </c>
      <c r="H62" s="21"/>
      <c r="I62" s="21"/>
      <c r="J62" s="19"/>
    </row>
    <row r="63" spans="1:10" x14ac:dyDescent="0.2">
      <c r="A63" s="19">
        <v>58</v>
      </c>
      <c r="B63" s="25"/>
      <c r="C63" s="20"/>
      <c r="D63" s="20"/>
      <c r="E63" s="20"/>
      <c r="F63" s="21"/>
      <c r="G63" s="26" t="str">
        <f t="shared" si="1"/>
        <v/>
      </c>
      <c r="H63" s="21"/>
      <c r="I63" s="21"/>
      <c r="J63" s="19"/>
    </row>
    <row r="64" spans="1:10" x14ac:dyDescent="0.2">
      <c r="A64" s="19">
        <v>59</v>
      </c>
      <c r="B64" s="25"/>
      <c r="C64" s="20"/>
      <c r="D64" s="20"/>
      <c r="E64" s="20"/>
      <c r="F64" s="21"/>
      <c r="G64" s="26" t="str">
        <f t="shared" si="1"/>
        <v/>
      </c>
      <c r="H64" s="21"/>
      <c r="I64" s="21"/>
      <c r="J64" s="19"/>
    </row>
    <row r="65" spans="1:10" x14ac:dyDescent="0.2">
      <c r="A65" s="19">
        <v>60</v>
      </c>
      <c r="B65" s="25"/>
      <c r="C65" s="20"/>
      <c r="D65" s="20"/>
      <c r="E65" s="20"/>
      <c r="F65" s="21"/>
      <c r="G65" s="26" t="str">
        <f t="shared" si="1"/>
        <v/>
      </c>
      <c r="H65" s="21"/>
      <c r="I65" s="21"/>
      <c r="J65" s="19"/>
    </row>
    <row r="66" spans="1:10" x14ac:dyDescent="0.2">
      <c r="A66" s="19">
        <v>61</v>
      </c>
      <c r="B66" s="25"/>
      <c r="C66" s="20"/>
      <c r="D66" s="20"/>
      <c r="E66" s="20"/>
      <c r="F66" s="21"/>
      <c r="G66" s="26" t="str">
        <f t="shared" ref="G66:G105" si="2">IF(B66&lt;&gt;"",G65+I66,"")</f>
        <v/>
      </c>
      <c r="H66" s="21"/>
      <c r="I66" s="21"/>
      <c r="J66" s="19"/>
    </row>
    <row r="67" spans="1:10" x14ac:dyDescent="0.2">
      <c r="A67" s="19">
        <v>62</v>
      </c>
      <c r="B67" s="25"/>
      <c r="C67" s="20"/>
      <c r="D67" s="20"/>
      <c r="E67" s="20"/>
      <c r="F67" s="21"/>
      <c r="G67" s="26" t="str">
        <f t="shared" si="2"/>
        <v/>
      </c>
      <c r="H67" s="21"/>
      <c r="I67" s="21"/>
      <c r="J67" s="19"/>
    </row>
    <row r="68" spans="1:10" x14ac:dyDescent="0.2">
      <c r="A68" s="19">
        <v>63</v>
      </c>
      <c r="B68" s="25"/>
      <c r="C68" s="20"/>
      <c r="D68" s="20"/>
      <c r="E68" s="20"/>
      <c r="F68" s="21"/>
      <c r="G68" s="26" t="str">
        <f t="shared" si="2"/>
        <v/>
      </c>
      <c r="H68" s="21"/>
      <c r="I68" s="21"/>
      <c r="J68" s="19"/>
    </row>
    <row r="69" spans="1:10" x14ac:dyDescent="0.2">
      <c r="A69" s="19">
        <v>64</v>
      </c>
      <c r="B69" s="25"/>
      <c r="C69" s="20"/>
      <c r="D69" s="20"/>
      <c r="E69" s="20"/>
      <c r="F69" s="21"/>
      <c r="G69" s="26" t="str">
        <f t="shared" si="2"/>
        <v/>
      </c>
      <c r="H69" s="21"/>
      <c r="I69" s="21"/>
      <c r="J69" s="19"/>
    </row>
    <row r="70" spans="1:10" x14ac:dyDescent="0.2">
      <c r="A70" s="19">
        <v>65</v>
      </c>
      <c r="B70" s="25"/>
      <c r="C70" s="20"/>
      <c r="D70" s="20"/>
      <c r="E70" s="20"/>
      <c r="F70" s="21"/>
      <c r="G70" s="26" t="str">
        <f t="shared" si="2"/>
        <v/>
      </c>
      <c r="H70" s="21"/>
      <c r="I70" s="21"/>
      <c r="J70" s="19"/>
    </row>
    <row r="71" spans="1:10" x14ac:dyDescent="0.2">
      <c r="A71" s="19">
        <v>66</v>
      </c>
      <c r="B71" s="25"/>
      <c r="C71" s="20"/>
      <c r="D71" s="20"/>
      <c r="E71" s="20"/>
      <c r="F71" s="21"/>
      <c r="G71" s="26" t="str">
        <f t="shared" si="2"/>
        <v/>
      </c>
      <c r="H71" s="21"/>
      <c r="I71" s="21"/>
      <c r="J71" s="19"/>
    </row>
    <row r="72" spans="1:10" x14ac:dyDescent="0.2">
      <c r="A72" s="19">
        <v>67</v>
      </c>
      <c r="B72" s="25"/>
      <c r="C72" s="20"/>
      <c r="D72" s="20"/>
      <c r="E72" s="20"/>
      <c r="F72" s="21"/>
      <c r="G72" s="26" t="str">
        <f t="shared" si="2"/>
        <v/>
      </c>
      <c r="H72" s="21"/>
      <c r="I72" s="21"/>
      <c r="J72" s="19"/>
    </row>
    <row r="73" spans="1:10" x14ac:dyDescent="0.2">
      <c r="A73" s="19">
        <v>68</v>
      </c>
      <c r="B73" s="25"/>
      <c r="C73" s="20"/>
      <c r="D73" s="20"/>
      <c r="E73" s="20"/>
      <c r="F73" s="21"/>
      <c r="G73" s="26" t="str">
        <f t="shared" si="2"/>
        <v/>
      </c>
      <c r="H73" s="21"/>
      <c r="I73" s="21"/>
      <c r="J73" s="19"/>
    </row>
    <row r="74" spans="1:10" x14ac:dyDescent="0.2">
      <c r="A74" s="19">
        <v>69</v>
      </c>
      <c r="B74" s="25"/>
      <c r="C74" s="20"/>
      <c r="D74" s="20"/>
      <c r="E74" s="20"/>
      <c r="F74" s="21"/>
      <c r="G74" s="26" t="str">
        <f t="shared" si="2"/>
        <v/>
      </c>
      <c r="H74" s="21"/>
      <c r="I74" s="21"/>
      <c r="J74" s="19"/>
    </row>
    <row r="75" spans="1:10" x14ac:dyDescent="0.2">
      <c r="A75" s="19">
        <v>70</v>
      </c>
      <c r="B75" s="25"/>
      <c r="C75" s="20"/>
      <c r="D75" s="20"/>
      <c r="E75" s="20"/>
      <c r="F75" s="21"/>
      <c r="G75" s="26" t="str">
        <f t="shared" si="2"/>
        <v/>
      </c>
      <c r="H75" s="21"/>
      <c r="I75" s="21"/>
      <c r="J75" s="19"/>
    </row>
    <row r="76" spans="1:10" x14ac:dyDescent="0.2">
      <c r="A76" s="19">
        <v>71</v>
      </c>
      <c r="B76" s="25"/>
      <c r="C76" s="20"/>
      <c r="D76" s="20"/>
      <c r="E76" s="20"/>
      <c r="F76" s="21"/>
      <c r="G76" s="26" t="str">
        <f t="shared" si="2"/>
        <v/>
      </c>
      <c r="H76" s="21"/>
      <c r="I76" s="21"/>
      <c r="J76" s="19"/>
    </row>
    <row r="77" spans="1:10" x14ac:dyDescent="0.2">
      <c r="A77" s="19">
        <v>72</v>
      </c>
      <c r="B77" s="25"/>
      <c r="C77" s="20"/>
      <c r="D77" s="20"/>
      <c r="E77" s="20"/>
      <c r="F77" s="21"/>
      <c r="G77" s="26" t="str">
        <f t="shared" si="2"/>
        <v/>
      </c>
      <c r="H77" s="21"/>
      <c r="I77" s="21"/>
      <c r="J77" s="19"/>
    </row>
    <row r="78" spans="1:10" x14ac:dyDescent="0.2">
      <c r="A78" s="19">
        <v>73</v>
      </c>
      <c r="B78" s="25"/>
      <c r="C78" s="20"/>
      <c r="D78" s="20"/>
      <c r="E78" s="20"/>
      <c r="F78" s="21"/>
      <c r="G78" s="26" t="str">
        <f t="shared" si="2"/>
        <v/>
      </c>
      <c r="H78" s="21"/>
      <c r="I78" s="21"/>
      <c r="J78" s="19"/>
    </row>
    <row r="79" spans="1:10" x14ac:dyDescent="0.2">
      <c r="A79" s="19">
        <v>74</v>
      </c>
      <c r="B79" s="25"/>
      <c r="C79" s="20"/>
      <c r="D79" s="20"/>
      <c r="E79" s="20"/>
      <c r="F79" s="21"/>
      <c r="G79" s="26" t="str">
        <f t="shared" si="2"/>
        <v/>
      </c>
      <c r="H79" s="21"/>
      <c r="I79" s="21"/>
      <c r="J79" s="19"/>
    </row>
    <row r="80" spans="1:10" x14ac:dyDescent="0.2">
      <c r="A80" s="19">
        <v>75</v>
      </c>
      <c r="B80" s="25"/>
      <c r="C80" s="20"/>
      <c r="D80" s="20"/>
      <c r="E80" s="20"/>
      <c r="F80" s="21"/>
      <c r="G80" s="26" t="str">
        <f t="shared" si="2"/>
        <v/>
      </c>
      <c r="H80" s="21"/>
      <c r="I80" s="21"/>
      <c r="J80" s="19"/>
    </row>
    <row r="81" spans="1:10" x14ac:dyDescent="0.2">
      <c r="A81" s="19">
        <v>76</v>
      </c>
      <c r="B81" s="25"/>
      <c r="C81" s="20"/>
      <c r="D81" s="20"/>
      <c r="E81" s="20"/>
      <c r="F81" s="21"/>
      <c r="G81" s="26" t="str">
        <f t="shared" si="2"/>
        <v/>
      </c>
      <c r="H81" s="21"/>
      <c r="I81" s="21"/>
      <c r="J81" s="19"/>
    </row>
    <row r="82" spans="1:10" x14ac:dyDescent="0.2">
      <c r="A82" s="19">
        <v>77</v>
      </c>
      <c r="B82" s="25"/>
      <c r="C82" s="20"/>
      <c r="D82" s="20"/>
      <c r="E82" s="20"/>
      <c r="F82" s="21"/>
      <c r="G82" s="26" t="str">
        <f t="shared" si="2"/>
        <v/>
      </c>
      <c r="H82" s="21"/>
      <c r="I82" s="21"/>
      <c r="J82" s="19"/>
    </row>
    <row r="83" spans="1:10" x14ac:dyDescent="0.2">
      <c r="A83" s="19">
        <v>78</v>
      </c>
      <c r="B83" s="25"/>
      <c r="C83" s="20"/>
      <c r="D83" s="20"/>
      <c r="E83" s="20"/>
      <c r="F83" s="21"/>
      <c r="G83" s="26" t="str">
        <f t="shared" si="2"/>
        <v/>
      </c>
      <c r="H83" s="21"/>
      <c r="I83" s="21"/>
      <c r="J83" s="19"/>
    </row>
    <row r="84" spans="1:10" x14ac:dyDescent="0.2">
      <c r="A84" s="19">
        <v>79</v>
      </c>
      <c r="B84" s="25"/>
      <c r="C84" s="20"/>
      <c r="D84" s="20"/>
      <c r="E84" s="20"/>
      <c r="F84" s="21"/>
      <c r="G84" s="26" t="str">
        <f t="shared" si="2"/>
        <v/>
      </c>
      <c r="H84" s="21"/>
      <c r="I84" s="21"/>
      <c r="J84" s="19"/>
    </row>
    <row r="85" spans="1:10" x14ac:dyDescent="0.2">
      <c r="A85" s="19">
        <v>80</v>
      </c>
      <c r="B85" s="25"/>
      <c r="C85" s="20"/>
      <c r="D85" s="20"/>
      <c r="E85" s="20"/>
      <c r="F85" s="21"/>
      <c r="G85" s="26" t="str">
        <f t="shared" si="2"/>
        <v/>
      </c>
      <c r="H85" s="21"/>
      <c r="I85" s="21"/>
      <c r="J85" s="19"/>
    </row>
    <row r="86" spans="1:10" x14ac:dyDescent="0.2">
      <c r="A86" s="19">
        <v>81</v>
      </c>
      <c r="B86" s="25"/>
      <c r="C86" s="20"/>
      <c r="D86" s="20"/>
      <c r="E86" s="20"/>
      <c r="F86" s="21"/>
      <c r="G86" s="26" t="str">
        <f t="shared" si="2"/>
        <v/>
      </c>
      <c r="H86" s="21"/>
      <c r="I86" s="21"/>
      <c r="J86" s="19"/>
    </row>
    <row r="87" spans="1:10" x14ac:dyDescent="0.2">
      <c r="A87" s="19">
        <v>82</v>
      </c>
      <c r="B87" s="25"/>
      <c r="C87" s="20"/>
      <c r="D87" s="20"/>
      <c r="E87" s="20"/>
      <c r="F87" s="21"/>
      <c r="G87" s="26" t="str">
        <f t="shared" si="2"/>
        <v/>
      </c>
      <c r="H87" s="21"/>
      <c r="I87" s="21"/>
      <c r="J87" s="19"/>
    </row>
    <row r="88" spans="1:10" x14ac:dyDescent="0.2">
      <c r="A88" s="19">
        <v>83</v>
      </c>
      <c r="B88" s="25"/>
      <c r="C88" s="20"/>
      <c r="D88" s="20"/>
      <c r="E88" s="20"/>
      <c r="F88" s="21"/>
      <c r="G88" s="26" t="str">
        <f t="shared" si="2"/>
        <v/>
      </c>
      <c r="H88" s="21"/>
      <c r="I88" s="21"/>
      <c r="J88" s="19"/>
    </row>
    <row r="89" spans="1:10" x14ac:dyDescent="0.2">
      <c r="A89" s="19">
        <v>84</v>
      </c>
      <c r="B89" s="25"/>
      <c r="C89" s="20"/>
      <c r="D89" s="20"/>
      <c r="E89" s="20"/>
      <c r="F89" s="21"/>
      <c r="G89" s="26" t="str">
        <f t="shared" si="2"/>
        <v/>
      </c>
      <c r="H89" s="21"/>
      <c r="I89" s="21"/>
      <c r="J89" s="19"/>
    </row>
    <row r="90" spans="1:10" x14ac:dyDescent="0.2">
      <c r="A90" s="19">
        <v>85</v>
      </c>
      <c r="B90" s="25"/>
      <c r="C90" s="20"/>
      <c r="D90" s="20"/>
      <c r="E90" s="20"/>
      <c r="F90" s="21"/>
      <c r="G90" s="26" t="str">
        <f t="shared" si="2"/>
        <v/>
      </c>
      <c r="H90" s="21"/>
      <c r="I90" s="21"/>
      <c r="J90" s="19"/>
    </row>
    <row r="91" spans="1:10" x14ac:dyDescent="0.2">
      <c r="A91" s="19">
        <v>86</v>
      </c>
      <c r="B91" s="25"/>
      <c r="C91" s="20"/>
      <c r="D91" s="20"/>
      <c r="E91" s="20"/>
      <c r="F91" s="21"/>
      <c r="G91" s="26" t="str">
        <f t="shared" si="2"/>
        <v/>
      </c>
      <c r="H91" s="21"/>
      <c r="I91" s="21"/>
      <c r="J91" s="19"/>
    </row>
    <row r="92" spans="1:10" x14ac:dyDescent="0.2">
      <c r="A92" s="19">
        <v>87</v>
      </c>
      <c r="B92" s="25"/>
      <c r="C92" s="20"/>
      <c r="D92" s="20"/>
      <c r="E92" s="20"/>
      <c r="F92" s="21"/>
      <c r="G92" s="26" t="str">
        <f t="shared" si="2"/>
        <v/>
      </c>
      <c r="H92" s="21"/>
      <c r="I92" s="21"/>
      <c r="J92" s="19"/>
    </row>
    <row r="93" spans="1:10" x14ac:dyDescent="0.2">
      <c r="A93" s="19">
        <v>88</v>
      </c>
      <c r="B93" s="25"/>
      <c r="C93" s="20"/>
      <c r="D93" s="20"/>
      <c r="E93" s="20"/>
      <c r="F93" s="21"/>
      <c r="G93" s="26" t="str">
        <f t="shared" si="2"/>
        <v/>
      </c>
      <c r="H93" s="21"/>
      <c r="I93" s="21"/>
      <c r="J93" s="19"/>
    </row>
    <row r="94" spans="1:10" x14ac:dyDescent="0.2">
      <c r="A94" s="19">
        <v>89</v>
      </c>
      <c r="B94" s="25"/>
      <c r="C94" s="20"/>
      <c r="D94" s="20"/>
      <c r="E94" s="20"/>
      <c r="F94" s="21"/>
      <c r="G94" s="26" t="str">
        <f t="shared" si="2"/>
        <v/>
      </c>
      <c r="H94" s="21"/>
      <c r="I94" s="21"/>
      <c r="J94" s="19"/>
    </row>
    <row r="95" spans="1:10" x14ac:dyDescent="0.2">
      <c r="A95" s="19">
        <v>90</v>
      </c>
      <c r="B95" s="25"/>
      <c r="C95" s="20"/>
      <c r="D95" s="20"/>
      <c r="E95" s="20"/>
      <c r="F95" s="21"/>
      <c r="G95" s="26" t="str">
        <f t="shared" si="2"/>
        <v/>
      </c>
      <c r="H95" s="21"/>
      <c r="I95" s="21"/>
      <c r="J95" s="19"/>
    </row>
    <row r="96" spans="1:10" x14ac:dyDescent="0.2">
      <c r="A96" s="19">
        <v>91</v>
      </c>
      <c r="B96" s="25"/>
      <c r="C96" s="20"/>
      <c r="D96" s="20"/>
      <c r="E96" s="20"/>
      <c r="F96" s="21"/>
      <c r="G96" s="26" t="str">
        <f t="shared" si="2"/>
        <v/>
      </c>
      <c r="H96" s="21"/>
      <c r="I96" s="21"/>
      <c r="J96" s="19"/>
    </row>
    <row r="97" spans="1:13" x14ac:dyDescent="0.2">
      <c r="A97" s="19">
        <v>92</v>
      </c>
      <c r="B97" s="25"/>
      <c r="C97" s="20"/>
      <c r="D97" s="20"/>
      <c r="E97" s="20"/>
      <c r="F97" s="21"/>
      <c r="G97" s="26" t="str">
        <f t="shared" si="2"/>
        <v/>
      </c>
      <c r="H97" s="21"/>
      <c r="I97" s="21"/>
      <c r="J97" s="19"/>
    </row>
    <row r="98" spans="1:13" x14ac:dyDescent="0.2">
      <c r="A98" s="19">
        <v>93</v>
      </c>
      <c r="B98" s="25"/>
      <c r="C98" s="20"/>
      <c r="D98" s="20"/>
      <c r="E98" s="20"/>
      <c r="F98" s="21"/>
      <c r="G98" s="26" t="str">
        <f t="shared" si="2"/>
        <v/>
      </c>
      <c r="H98" s="21"/>
      <c r="I98" s="21"/>
      <c r="J98" s="19"/>
    </row>
    <row r="99" spans="1:13" x14ac:dyDescent="0.2">
      <c r="A99" s="19">
        <v>94</v>
      </c>
      <c r="B99" s="25"/>
      <c r="C99" s="20"/>
      <c r="D99" s="20"/>
      <c r="E99" s="20"/>
      <c r="F99" s="21"/>
      <c r="G99" s="26" t="str">
        <f t="shared" si="2"/>
        <v/>
      </c>
      <c r="H99" s="21"/>
      <c r="I99" s="21"/>
      <c r="J99" s="19"/>
    </row>
    <row r="100" spans="1:13" x14ac:dyDescent="0.2">
      <c r="A100" s="19">
        <v>95</v>
      </c>
      <c r="B100" s="25"/>
      <c r="C100" s="20"/>
      <c r="D100" s="20"/>
      <c r="E100" s="20"/>
      <c r="F100" s="21"/>
      <c r="G100" s="26" t="str">
        <f t="shared" si="2"/>
        <v/>
      </c>
      <c r="H100" s="21"/>
      <c r="I100" s="21"/>
      <c r="J100" s="19"/>
    </row>
    <row r="101" spans="1:13" x14ac:dyDescent="0.2">
      <c r="A101" s="19">
        <v>96</v>
      </c>
      <c r="B101" s="25"/>
      <c r="C101" s="20"/>
      <c r="D101" s="20"/>
      <c r="E101" s="20"/>
      <c r="F101" s="21"/>
      <c r="G101" s="26" t="str">
        <f t="shared" si="2"/>
        <v/>
      </c>
      <c r="H101" s="21"/>
      <c r="I101" s="21"/>
      <c r="J101" s="19"/>
    </row>
    <row r="102" spans="1:13" x14ac:dyDescent="0.2">
      <c r="A102" s="19">
        <v>97</v>
      </c>
      <c r="B102" s="25"/>
      <c r="C102" s="20"/>
      <c r="D102" s="20"/>
      <c r="E102" s="20"/>
      <c r="F102" s="21"/>
      <c r="G102" s="26" t="str">
        <f t="shared" si="2"/>
        <v/>
      </c>
      <c r="H102" s="21"/>
      <c r="I102" s="21"/>
      <c r="J102" s="19"/>
    </row>
    <row r="103" spans="1:13" x14ac:dyDescent="0.2">
      <c r="A103" s="19">
        <v>98</v>
      </c>
      <c r="B103" s="25"/>
      <c r="C103" s="20"/>
      <c r="D103" s="20"/>
      <c r="E103" s="20"/>
      <c r="F103" s="21"/>
      <c r="G103" s="26" t="str">
        <f t="shared" si="2"/>
        <v/>
      </c>
      <c r="H103" s="21"/>
      <c r="I103" s="21"/>
      <c r="J103" s="19"/>
      <c r="K103" s="34" t="s">
        <v>26</v>
      </c>
      <c r="L103" s="35">
        <f>SUM(I10:I105)</f>
        <v>0</v>
      </c>
      <c r="M103" s="36"/>
    </row>
    <row r="104" spans="1:13" x14ac:dyDescent="0.2">
      <c r="A104" s="19">
        <v>99</v>
      </c>
      <c r="B104" s="25"/>
      <c r="C104" s="20"/>
      <c r="D104" s="20"/>
      <c r="E104" s="20"/>
      <c r="F104" s="21"/>
      <c r="G104" s="26" t="str">
        <f t="shared" si="2"/>
        <v/>
      </c>
      <c r="H104" s="21"/>
      <c r="I104" s="21"/>
      <c r="J104" s="19"/>
      <c r="K104" s="37" t="s">
        <v>23</v>
      </c>
      <c r="L104" s="38">
        <f>SUMIF(J10:J105,"M",I10:I105)</f>
        <v>0</v>
      </c>
      <c r="M104" s="39" t="e">
        <f>L104/L103</f>
        <v>#DIV/0!</v>
      </c>
    </row>
    <row r="105" spans="1:13" x14ac:dyDescent="0.2">
      <c r="A105" s="19">
        <v>100</v>
      </c>
      <c r="B105" s="25"/>
      <c r="C105" s="20"/>
      <c r="D105" s="20"/>
      <c r="E105" s="20"/>
      <c r="F105" s="21"/>
      <c r="G105" s="26" t="str">
        <f t="shared" si="2"/>
        <v/>
      </c>
      <c r="H105" s="21"/>
      <c r="I105" s="21"/>
      <c r="J105" s="19"/>
      <c r="K105" s="40" t="s">
        <v>27</v>
      </c>
      <c r="L105" s="41">
        <f>C5+L103</f>
        <v>0</v>
      </c>
      <c r="M105" s="42"/>
    </row>
  </sheetData>
  <autoFilter ref="A9:J57" xr:uid="{00000000-0009-0000-0000-000000000000}"/>
  <mergeCells count="3">
    <mergeCell ref="D2:E2"/>
    <mergeCell ref="D1:E1"/>
    <mergeCell ref="B8:C8"/>
  </mergeCells>
  <phoneticPr fontId="0" type="noConversion"/>
  <printOptions gridLinesSet="0"/>
  <pageMargins left="0.27" right="0.25" top="0.39370078740157483" bottom="0.39370078740157483" header="0.35433070866141736" footer="0.35433070866141736"/>
  <pageSetup paperSize="9" scale="73" fitToHeight="0" orientation="landscape" horizontalDpi="300" verticalDpi="300" r:id="rId1"/>
  <headerFooter alignWithMargins="0">
    <oddFooter>&amp;C&amp;P / &amp;N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��
</file>

<file path=customXml/itemProps1.xml><?xml version="1.0" encoding="utf-8"?>
<ds:datastoreItem xmlns:ds="http://schemas.openxmlformats.org/officeDocument/2006/customXml" ds:itemID="{A4890B16-3C04-4E5C-8A8A-8419A6BA74A9}">
  <ds:schemaRefs>
    <ds:schemaRef ds:uri="http://schemas.datacontract.org/2004/07/Longview.Office.Excel.Model"/>
    <ds:schemaRef ds:uri="http://schemas.datacontract.org/2004/07/Longview.Office.AddIn.Mode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Nyomtat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1996-06-05T08:53:14Z</dcterms:created>
  <dc:creator>Kerémi András</dc:creator>
  <cp:lastModifiedBy>Tamas</cp:lastModifiedBy>
  <cp:lastPrinted>2020-06-15T12:01:05Z</cp:lastPrinted>
  <dcterms:modified xsi:type="dcterms:W3CDTF">2020-07-12T19:55:13Z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ongview.Workbook">
    <vt:lpwstr>{A4890B16-3C04-4E5C-8A8A-8419A6BA74A9}</vt:lpwstr>
  </property>
</Properties>
</file>