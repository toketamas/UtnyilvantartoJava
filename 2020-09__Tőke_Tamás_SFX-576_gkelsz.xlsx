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E1278416-46E5-4EEB-A868-A54CF2274BFE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4" l="1"/>
  <c r="L104" i="4" l="1"/>
  <c r="L103" i="4"/>
  <c r="L105" i="4" s="1"/>
  <c r="G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<sst xmlns="http://schemas.openxmlformats.org/spreadsheetml/2006/main" count="67" uniqueCount="50">
  <si>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</si>
  <si>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</si>
  <si>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</si>
  <si>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</si>
  <si>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</si>
  <si>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</si>
  <si>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</si>
  <si>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</si>
  <si>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</si>
  <si>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</si>
  <si>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</si>
  <si>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</si>
  <si>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</si>
  <si>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</si>
  <si>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</si>
  <si>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</si>
  <si>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</si>
  <si>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</si>
  <si>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</si>
  <si>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</si>
  <si>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</si>
  <si>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</si>
  <si>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</si>
  <si>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</si>
  <si>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</si>
  <si>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</si>
  <si>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</si>
  <si>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</si>
  <si>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2020-09</t>
  </si>
  <si>
    <t>KiaCeed</t>
  </si>
  <si>
    <t>SFX-576</t>
  </si>
  <si>
    <t>873</t>
  </si>
  <si>
    <t>2141</t>
  </si>
  <si>
    <t xml:space="preserve"> Tőke Tamás</t>
  </si>
  <si>
    <t>1596</t>
  </si>
  <si>
    <t>6,7</t>
  </si>
  <si>
    <t>0.0</t>
  </si>
  <si>
    <t>2020-09-18</t>
  </si>
  <si>
    <t>Hibajavítás</t>
  </si>
  <si>
    <t>Székesfehérvár Udvardi utca 1/A</t>
  </si>
  <si>
    <t>Pécs Kincses út 1</t>
  </si>
  <si>
    <t>AKHB2102/K &amp; H BANK ZRT.</t>
  </si>
  <si>
    <t>C</t>
  </si>
  <si>
    <t>Mezőberény Kossuth tér 13.</t>
  </si>
  <si>
    <t>AKHB2092/K &amp; H BANK ZRT.</t>
  </si>
  <si>
    <t>Kőszeg Rákóczi F. u.</t>
  </si>
  <si>
    <t>AKHB2402/K &amp; H BANK ZRT.</t>
  </si>
  <si>
    <t>Budapest Salak út 12.</t>
  </si>
  <si>
    <t>AKHB2472/K &amp; H BANK ZRT.</t>
  </si>
  <si>
    <t>telephely/telephely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</si>
</sst>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zoomScale="110" zoomScaleNormal="110" workbookViewId="0">
      <selection activeCell="G7" sqref="G7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2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1"/>
    </row>
    <row r="4" spans="1:13" s="5" customFormat="1" ht="15.6" x14ac:dyDescent="0.3">
      <c r="A4" s="5" t="s">
        <v>19</v>
      </c>
      <c r="B4" s="6"/>
      <c r="C4" s="8" t="s">
        <v>30</v>
      </c>
      <c r="D4" s="31" t="s">
        <v>33</v>
      </c>
      <c r="F4" s="5" t="s">
        <v>20</v>
      </c>
      <c r="G4" s="8" t="s">
        <v>35</v>
      </c>
      <c r="J4" s="31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tr">
        <f>SUM(I10:I105)</f>
        <v>1268</v>
      </c>
      <c r="J5" s="31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tr">
        <f>100*G7/G5</f>
        <v/>
      </c>
      <c r="H6" s="27"/>
      <c r="I6" s="27"/>
      <c r="J6" s="33"/>
    </row>
    <row r="7" spans="1:13" s="5" customFormat="1" ht="15.6" x14ac:dyDescent="0.3">
      <c r="B7" s="6"/>
      <c r="F7" s="5" t="s">
        <v>21</v>
      </c>
      <c r="G7" s="30" t="s">
        <v>36</v>
      </c>
      <c r="H7" s="27"/>
      <c r="I7" s="27"/>
      <c r="J7" s="33"/>
    </row>
    <row r="8" spans="1:13" s="5" customFormat="1" ht="15.6" x14ac:dyDescent="0.3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5" t="s">
        <v>37</v>
      </c>
      <c r="C10" s="20" t="s">
        <v>38</v>
      </c>
      <c r="D10" s="20" t="s">
        <v>39</v>
      </c>
      <c r="E10" s="20" t="s">
        <v>40</v>
      </c>
      <c r="F10" s="21" t="s">
        <v>41</v>
      </c>
      <c r="G10" s="26" t="n">
        <f>IF(B10&lt;&gt;"",$C$5+I10,"")</f>
        <v>1079.0</v>
      </c>
      <c r="H10" s="21" t="n">
        <v>0.0</v>
      </c>
      <c r="I10" s="21" t="n">
        <v>206.0</v>
      </c>
      <c r="J10" s="19" t="s">
        <v>42</v>
      </c>
    </row>
    <row r="11" spans="1:13" x14ac:dyDescent="0.25">
      <c r="A11" s="19">
        <v>2</v>
      </c>
      <c r="B11" s="25" t="s">
        <v>37</v>
      </c>
      <c r="C11" s="20" t="s">
        <v>38</v>
      </c>
      <c r="D11" s="20" t="s">
        <v>40</v>
      </c>
      <c r="E11" s="20" t="s">
        <v>43</v>
      </c>
      <c r="F11" s="21" t="s">
        <v>44</v>
      </c>
      <c r="G11" s="26" t="n">
        <f>IF(B11&lt;&gt;"",G10+I11,"")</f>
        <v>1401.0</v>
      </c>
      <c r="H11" s="21" t="n">
        <v>0.0</v>
      </c>
      <c r="I11" s="21" t="n">
        <v>322.0</v>
      </c>
      <c r="J11" s="19" t="s">
        <v>42</v>
      </c>
    </row>
    <row r="12" spans="1:13" x14ac:dyDescent="0.25">
      <c r="A12" s="19">
        <v>3</v>
      </c>
      <c r="B12" s="25" t="s">
        <v>37</v>
      </c>
      <c r="C12" s="20" t="s">
        <v>38</v>
      </c>
      <c r="D12" s="20" t="s">
        <v>43</v>
      </c>
      <c r="E12" s="20" t="s">
        <v>45</v>
      </c>
      <c r="F12" s="21" t="s">
        <v>46</v>
      </c>
      <c r="G12" s="26" t="n">
        <f t="shared" ref="G12:G54" si="0">IF(B12&lt;&gt;"",G11+I12,"")</f>
        <v>1835.0</v>
      </c>
      <c r="H12" s="21" t="n">
        <v>0.0</v>
      </c>
      <c r="I12" s="21" t="n">
        <v>434.0</v>
      </c>
      <c r="J12" s="19" t="s">
        <v>42</v>
      </c>
      <c r="K12" s="43"/>
      <c r="L12" s="43"/>
      <c r="M12" s="43"/>
    </row>
    <row r="13" spans="1:13" x14ac:dyDescent="0.25">
      <c r="A13" s="19">
        <v>4</v>
      </c>
      <c r="B13" s="25" t="s">
        <v>37</v>
      </c>
      <c r="C13" s="20" t="s">
        <v>38</v>
      </c>
      <c r="D13" s="20" t="s">
        <v>45</v>
      </c>
      <c r="E13" s="20" t="s">
        <v>47</v>
      </c>
      <c r="F13" s="21" t="s">
        <v>48</v>
      </c>
      <c r="G13" s="26" t="n">
        <f t="shared" si="0"/>
        <v>2078.0</v>
      </c>
      <c r="H13" s="21" t="n">
        <v>0.0</v>
      </c>
      <c r="I13" s="21" t="n">
        <v>243.0</v>
      </c>
      <c r="J13" s="19" t="s">
        <v>42</v>
      </c>
      <c r="K13" s="43"/>
      <c r="L13" s="43"/>
      <c r="M13" s="44"/>
    </row>
    <row r="14" spans="1:13" x14ac:dyDescent="0.25">
      <c r="A14" s="19">
        <v>5</v>
      </c>
      <c r="B14" s="25" t="s">
        <v>37</v>
      </c>
      <c r="C14" s="20" t="s">
        <v>38</v>
      </c>
      <c r="D14" s="20" t="s">
        <v>47</v>
      </c>
      <c r="E14" s="20" t="s">
        <v>39</v>
      </c>
      <c r="F14" s="21" t="s">
        <v>49</v>
      </c>
      <c r="G14" s="26" t="n">
        <f t="shared" si="0"/>
        <v>2141.0</v>
      </c>
      <c r="H14" s="21" t="n">
        <v>0.0</v>
      </c>
      <c r="I14" s="21" t="n">
        <v>63.0</v>
      </c>
      <c r="J14" s="19" t="s">
        <v>42</v>
      </c>
    </row>
    <row r="15" spans="1:13" x14ac:dyDescent="0.25">
      <c r="A15" s="19">
        <v>6</v>
      </c>
      <c r="B15" s="25"/>
      <c r="C15" s="20"/>
      <c r="D15" s="20"/>
      <c r="E15" s="20"/>
      <c r="F15" s="21"/>
      <c r="G15" s="26" t="str">
        <f t="shared" si="0"/>
        <v/>
      </c>
      <c r="H15" s="21"/>
      <c r="I15" s="21"/>
      <c r="J15" s="19"/>
    </row>
    <row r="16" spans="1:13" x14ac:dyDescent="0.25">
      <c r="A16" s="19">
        <v>7</v>
      </c>
      <c r="B16" s="25"/>
      <c r="C16" s="20"/>
      <c r="D16" s="20"/>
      <c r="E16" s="20"/>
      <c r="F16" s="21"/>
      <c r="G16" s="26" t="str">
        <f t="shared" si="0"/>
        <v/>
      </c>
      <c r="H16" s="21"/>
      <c r="I16" s="21"/>
      <c r="J16" s="19"/>
    </row>
    <row r="17" spans="1:10" x14ac:dyDescent="0.25">
      <c r="A17" s="19">
        <v>8</v>
      </c>
      <c r="B17" s="25"/>
      <c r="C17" s="20"/>
      <c r="D17" s="20"/>
      <c r="E17" s="20"/>
      <c r="F17" s="21"/>
      <c r="G17" s="26" t="str">
        <f t="shared" si="0"/>
        <v/>
      </c>
      <c r="H17" s="21"/>
      <c r="I17" s="21"/>
      <c r="J17" s="19"/>
    </row>
    <row r="18" spans="1:10" x14ac:dyDescent="0.25">
      <c r="A18" s="19">
        <v>9</v>
      </c>
      <c r="B18" s="25"/>
      <c r="C18" s="20"/>
      <c r="D18" s="20"/>
      <c r="E18" s="20"/>
      <c r="F18" s="21"/>
      <c r="G18" s="26" t="str">
        <f t="shared" si="0"/>
        <v/>
      </c>
      <c r="H18" s="21"/>
      <c r="I18" s="21"/>
      <c r="J18" s="19"/>
    </row>
    <row r="19" spans="1:10" x14ac:dyDescent="0.25">
      <c r="A19" s="19">
        <v>10</v>
      </c>
      <c r="B19" s="25"/>
      <c r="C19" s="20"/>
      <c r="D19" s="20"/>
      <c r="E19" s="20"/>
      <c r="F19" s="21"/>
      <c r="G19" s="26" t="str">
        <f t="shared" si="0"/>
        <v/>
      </c>
      <c r="H19" s="21"/>
      <c r="I19" s="21"/>
      <c r="J19" s="19"/>
    </row>
    <row r="20" spans="1:10" x14ac:dyDescent="0.25">
      <c r="A20" s="19">
        <v>12</v>
      </c>
      <c r="B20" s="25"/>
      <c r="C20" s="20"/>
      <c r="D20" s="20"/>
      <c r="E20" s="20"/>
      <c r="F20" s="21"/>
      <c r="G20" s="26" t="str">
        <f t="shared" si="0"/>
        <v/>
      </c>
      <c r="H20" s="21"/>
      <c r="I20" s="21"/>
      <c r="J20" s="19"/>
    </row>
    <row r="21" spans="1:10" x14ac:dyDescent="0.25">
      <c r="A21" s="19">
        <v>13</v>
      </c>
      <c r="B21" s="25"/>
      <c r="C21" s="20"/>
      <c r="D21" s="20"/>
      <c r="E21" s="20"/>
      <c r="F21" s="21"/>
      <c r="G21" s="26" t="str">
        <f t="shared" si="0"/>
        <v/>
      </c>
      <c r="H21" s="21"/>
      <c r="I21" s="21"/>
      <c r="J21" s="19"/>
    </row>
    <row r="22" spans="1:10" x14ac:dyDescent="0.25">
      <c r="A22" s="19">
        <v>14</v>
      </c>
      <c r="B22" s="25"/>
      <c r="C22" s="20"/>
      <c r="D22" s="20"/>
      <c r="E22" s="20"/>
      <c r="F22" s="21"/>
      <c r="G22" s="26" t="str">
        <f t="shared" si="0"/>
        <v/>
      </c>
      <c r="H22" s="21"/>
      <c r="I22" s="21"/>
      <c r="J22" s="19"/>
    </row>
    <row r="23" spans="1:10" x14ac:dyDescent="0.25">
      <c r="A23" s="19">
        <v>15</v>
      </c>
      <c r="B23" s="25"/>
      <c r="C23" s="20"/>
      <c r="D23" s="20"/>
      <c r="E23" s="20"/>
      <c r="F23" s="21"/>
      <c r="G23" s="26" t="str">
        <f t="shared" si="0"/>
        <v/>
      </c>
      <c r="H23" s="21"/>
      <c r="I23" s="21"/>
      <c r="J23" s="19"/>
    </row>
    <row r="24" spans="1:10" x14ac:dyDescent="0.25">
      <c r="A24" s="19">
        <v>16</v>
      </c>
      <c r="B24" s="25"/>
      <c r="C24" s="20"/>
      <c r="D24" s="20"/>
      <c r="E24" s="20"/>
      <c r="F24" s="21"/>
      <c r="G24" s="26" t="str">
        <f t="shared" si="0"/>
        <v/>
      </c>
      <c r="H24" s="21"/>
      <c r="I24" s="21"/>
      <c r="J24" s="19"/>
    </row>
    <row r="25" spans="1:10" x14ac:dyDescent="0.25">
      <c r="A25" s="19">
        <v>17</v>
      </c>
      <c r="B25" s="25"/>
      <c r="C25" s="20"/>
      <c r="D25" s="20"/>
      <c r="E25" s="20"/>
      <c r="F25" s="21"/>
      <c r="G25" s="26" t="str">
        <f t="shared" si="0"/>
        <v/>
      </c>
      <c r="H25" s="21"/>
      <c r="I25" s="21"/>
      <c r="J25" s="19"/>
    </row>
    <row r="26" spans="1:10" x14ac:dyDescent="0.25">
      <c r="A26" s="19">
        <v>19</v>
      </c>
      <c r="B26" s="25"/>
      <c r="C26" s="20"/>
      <c r="D26" s="20"/>
      <c r="E26" s="20"/>
      <c r="F26" s="21"/>
      <c r="G26" s="26" t="str">
        <f t="shared" si="0"/>
        <v/>
      </c>
      <c r="H26" s="21"/>
      <c r="I26" s="21"/>
      <c r="J26" s="19"/>
    </row>
    <row r="27" spans="1:10" x14ac:dyDescent="0.25">
      <c r="A27" s="19">
        <v>20</v>
      </c>
      <c r="B27" s="25"/>
      <c r="C27" s="20"/>
      <c r="D27" s="20"/>
      <c r="E27" s="20"/>
      <c r="F27" s="21"/>
      <c r="G27" s="26" t="str">
        <f t="shared" si="0"/>
        <v/>
      </c>
      <c r="H27" s="21"/>
      <c r="I27" s="21"/>
      <c r="J27" s="19"/>
    </row>
    <row r="28" spans="1:10" x14ac:dyDescent="0.25">
      <c r="A28" s="19">
        <v>21</v>
      </c>
      <c r="B28" s="25"/>
      <c r="C28" s="20"/>
      <c r="D28" s="20"/>
      <c r="E28" s="20"/>
      <c r="F28" s="21"/>
      <c r="G28" s="26" t="str">
        <f t="shared" si="0"/>
        <v/>
      </c>
      <c r="H28" s="21"/>
      <c r="I28" s="21"/>
      <c r="J28" s="19"/>
    </row>
    <row r="29" spans="1:10" x14ac:dyDescent="0.25">
      <c r="A29" s="19">
        <v>22</v>
      </c>
      <c r="B29" s="25"/>
      <c r="C29" s="20"/>
      <c r="D29" s="20"/>
      <c r="E29" s="20"/>
      <c r="F29" s="21"/>
      <c r="G29" s="26" t="str">
        <f t="shared" si="0"/>
        <v/>
      </c>
      <c r="H29" s="21"/>
      <c r="I29" s="21"/>
      <c r="J29" s="19"/>
    </row>
    <row r="30" spans="1:10" x14ac:dyDescent="0.25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5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5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5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5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5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5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5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5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5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5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5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5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5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5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5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5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5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5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5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5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5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5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5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5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5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5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5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5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5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5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5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5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5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5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5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5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5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5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5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5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5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5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5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5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5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5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5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5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5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5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5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5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5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5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5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5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5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5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5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5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5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5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5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5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5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5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5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5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5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5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5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5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5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 t="str">
        <f>SUM(I10:I105)</f>
        <v>1268</v>
      </c>
      <c r="M103" s="36"/>
    </row>
    <row r="104" spans="1:13" x14ac:dyDescent="0.25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 t="str">
        <f>SUMIF(J10:J105,"M",I10:I105)</f>
        <v>0</v>
      </c>
      <c r="M104" s="39" t="str">
        <f>L104/L103</f>
        <v>0.%</v>
      </c>
    </row>
    <row r="105" spans="1:13" x14ac:dyDescent="0.25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 t="str">
        <f>C5+L103</f>
        <v>2141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2020-08-07T20:07:31Z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