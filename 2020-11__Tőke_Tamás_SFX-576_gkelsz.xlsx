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<sst xmlns="http://schemas.openxmlformats.org/spreadsheetml/2006/main" count="439" uniqueCount="130">
  <si>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</si>
  <si>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</si>
  <si>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</si>
  <si>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</si>
  <si>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</si>
  <si>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</si>
  <si>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</si>
  <si>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</si>
  <si>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</si>
  <si>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</si>
  <si>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</si>
  <si>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</si>
  <si>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</si>
  <si>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</si>
  <si>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</si>
  <si>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</si>
  <si>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</si>
  <si>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</si>
  <si>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</si>
  <si>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</si>
  <si>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</si>
  <si>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</si>
  <si>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</si>
  <si>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</si>
  <si>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</si>
  <si>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</si>
  <si>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</si>
  <si>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</si>
  <si>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2020-11</t>
  </si>
  <si>
    <t>KiaCeed</t>
  </si>
  <si>
    <t>SFX-576</t>
  </si>
  <si>
    <t>4739</t>
  </si>
  <si>
    <t>8086</t>
  </si>
  <si>
    <t xml:space="preserve"> Tőke Tamás</t>
  </si>
  <si>
    <t>1596</t>
  </si>
  <si>
    <t>6,7</t>
  </si>
  <si>
    <t>162.700</t>
  </si>
  <si>
    <t>2020-11-02</t>
  </si>
  <si>
    <t>Hibajavítás</t>
  </si>
  <si>
    <t>Székesfehérvár Udvardi utca 1/A</t>
  </si>
  <si>
    <t>Kisbér Kossuth Lajos u. 5.</t>
  </si>
  <si>
    <t>CASH2474/K &amp; H BANK ZRT.</t>
  </si>
  <si>
    <t>C</t>
  </si>
  <si>
    <t>Siófok Széchenyi u. 6</t>
  </si>
  <si>
    <t>S6T50830/MTB Magyar Takarékszövetkezeti Bank</t>
  </si>
  <si>
    <t>telephely/telephely</t>
  </si>
  <si>
    <t>2020-11-03</t>
  </si>
  <si>
    <t>Balatonlelle Rákóczi u. 232.</t>
  </si>
  <si>
    <t>S6T67016/MTB Magyar Takarékszövetkezeti Bank</t>
  </si>
  <si>
    <t>2020-11-04</t>
  </si>
  <si>
    <t>Enying Kossuth u 18.</t>
  </si>
  <si>
    <t>CASH2573/K &amp; H BANK ZRT.</t>
  </si>
  <si>
    <t>Mór Wekerle Sándor u. 34/a</t>
  </si>
  <si>
    <t>AKHK2451/K &amp; H BANK ZRT.</t>
  </si>
  <si>
    <t>2020-11-05</t>
  </si>
  <si>
    <t>Székesfehérvár Távirda u. 2/b</t>
  </si>
  <si>
    <t>CIB - ATM014/CIB Bank Zrt</t>
  </si>
  <si>
    <t>Székesfehérvár Kossuth u. 14.</t>
  </si>
  <si>
    <t>MGND2401/MagNet Magyar Közösségi Bank Zrt.</t>
  </si>
  <si>
    <t>2020-11-06</t>
  </si>
  <si>
    <t>Tatabánya Fatelepi út 15.</t>
  </si>
  <si>
    <t>CA33/UniCredit Bank Hungary Zrt.</t>
  </si>
  <si>
    <t>Tatabánya Győri út 7-9.</t>
  </si>
  <si>
    <t>CA105_ENAUniCredit Bank Hungary Zrt.</t>
  </si>
  <si>
    <t>2020-11-07</t>
  </si>
  <si>
    <t>Magán</t>
  </si>
  <si>
    <t>Magánhasználat</t>
  </si>
  <si>
    <t>2020-11-09</t>
  </si>
  <si>
    <t>Tatabánya Búzavirág u. 14</t>
  </si>
  <si>
    <t>CA31/UniCredit Bank Hungary Zrt.</t>
  </si>
  <si>
    <t>2020-11-10</t>
  </si>
  <si>
    <t>Veszprém Ady Endre u. 1.</t>
  </si>
  <si>
    <t>CA38_ENA/UniCredit Bank Hungary Zrt.</t>
  </si>
  <si>
    <t>Balatonföldvár Balatonszentgyörgyi út 1.</t>
  </si>
  <si>
    <t>S6T50823/MTB Magyar Takarékszövetkezeti Bank</t>
  </si>
  <si>
    <t>Szabadbattyán Csíkvár tér 10.</t>
  </si>
  <si>
    <t>S6T57811/MTB Magyar Takarékszövetkezeti Bank</t>
  </si>
  <si>
    <t>Enying Deák F. u. 1.</t>
  </si>
  <si>
    <t>S6T57807/MTB Magyar Takarékszövetkezeti Bank</t>
  </si>
  <si>
    <t>2020-11-11</t>
  </si>
  <si>
    <t>Aba Petofi S. u. 95.</t>
  </si>
  <si>
    <t>S6T57806/MTB Magyar Takarékszövetkezeti Bank</t>
  </si>
  <si>
    <t>Székesfehérvár Vörösmarty tér 1.</t>
  </si>
  <si>
    <t>S6T72906/MTB Magyar Takarékszövetkezeti Bank</t>
  </si>
  <si>
    <t>Gyulafirátót Posta u. 11.</t>
  </si>
  <si>
    <t>S6T73905/MTB Magyar Takarékszövetkezeti Bank</t>
  </si>
  <si>
    <t>2020-11-12</t>
  </si>
  <si>
    <t>Dombóvár Dombó Pál u. 3.</t>
  </si>
  <si>
    <t>DBD82220213OTP BANK Nyrt.</t>
  </si>
  <si>
    <t>Kaposvár Széchenyi tér 8.</t>
  </si>
  <si>
    <t>CASH2005_R/K &amp; H BANK ZRT.</t>
  </si>
  <si>
    <t>2020-11-13</t>
  </si>
  <si>
    <t>Veszprém Budapest u. 6.</t>
  </si>
  <si>
    <t>CASH2018_R/K &amp; H BANK ZRT.</t>
  </si>
  <si>
    <t>2020-11-14</t>
  </si>
  <si>
    <t>2020-11-16</t>
  </si>
  <si>
    <t>Siófok Fő tér 10/a</t>
  </si>
  <si>
    <t>DBD82220009/OTP BANK Nyrt.</t>
  </si>
  <si>
    <t>2020-11-17</t>
  </si>
  <si>
    <t>Balatonfüred Kossuth Lajos u. 20.</t>
  </si>
  <si>
    <t>S6T73613/MTB Magyar Takarékszövetkezeti Bank</t>
  </si>
  <si>
    <t>Balatonkenese Fő út 21.</t>
  </si>
  <si>
    <t>S6T72905/MTB Magyar Takarékszövetkezeti Bank</t>
  </si>
  <si>
    <t>2020-11-18</t>
  </si>
  <si>
    <t>Balatonfüred Kossuth Lajos u. 5.</t>
  </si>
  <si>
    <t>CASH2268/K &amp; H BANK ZRT.</t>
  </si>
  <si>
    <t>Balatonalmádi Városház u. 5.</t>
  </si>
  <si>
    <t>CASH2057/K &amp; H BANK ZRT.</t>
  </si>
  <si>
    <t>2020-11-19</t>
  </si>
  <si>
    <t>telephelytelephely</t>
  </si>
  <si>
    <t>2020-11-23</t>
  </si>
  <si>
    <t>Székesfehérvár Holland fasor 2.</t>
  </si>
  <si>
    <t>CA205_ENA/UniCredit Bank Hungary Zrt.</t>
  </si>
  <si>
    <t>2020-11-24</t>
  </si>
  <si>
    <t>Szentgál Fő u. 30.</t>
  </si>
  <si>
    <t>S6T73601/MTB Magyar Takarékszövetkezeti Bank</t>
  </si>
  <si>
    <t>2020-11-26</t>
  </si>
  <si>
    <t>Zamárdi Szabadság tér 5.</t>
  </si>
  <si>
    <t>S6T50825/MTB Magyar Takarékszövetkezeti Bank</t>
  </si>
  <si>
    <t>Várpalota Fehérvári u.17.</t>
  </si>
  <si>
    <t>AKHB2746K &amp; H BANK ZRT.</t>
  </si>
  <si>
    <t>2020-11-27</t>
  </si>
  <si>
    <t>Tab Kossuth Lajos u. 80.</t>
  </si>
  <si>
    <t>S6T50829/MTB Magyar Takarékszövetkezeti Bank</t>
  </si>
  <si>
    <t>Várpalota Szent István út 7-9.</t>
  </si>
  <si>
    <t>S06034_ENA/ERSTE BANK HUNGARY Zrt</t>
  </si>
  <si>
    <t>2020-11-28</t>
  </si>
  <si>
    <t>2020-11-30</t>
  </si>
  <si>
    <t>Zirc Rákóczi tér 16.</t>
  </si>
  <si>
    <t>S06054_ENA/ERSTE BANK HUNGARY Zrt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</si>
</sst>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3347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>4.861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4795.0</v>
      </c>
      <c r="H10" s="21" t="n">
        <v>0.0</v>
      </c>
      <c r="I10" s="21" t="n">
        <v>56.0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43</v>
      </c>
      <c r="F11" s="21" t="s">
        <v>44</v>
      </c>
      <c r="G11" s="26" t="n">
        <f>IF(B11&lt;&gt;"",G10+I11,"")</f>
        <v>4897.0</v>
      </c>
      <c r="H11" s="21" t="n">
        <v>0.0</v>
      </c>
      <c r="I11" s="21" t="n">
        <v>102.0</v>
      </c>
      <c r="J11" s="19" t="s">
        <v>42</v>
      </c>
    </row>
    <row r="12" spans="1:13" x14ac:dyDescent="0.25">
      <c r="A12" s="19">
        <v>3</v>
      </c>
      <c r="B12" s="25" t="s">
        <v>37</v>
      </c>
      <c r="C12" s="20" t="s">
        <v>38</v>
      </c>
      <c r="D12" s="20" t="s">
        <v>43</v>
      </c>
      <c r="E12" s="20" t="s">
        <v>39</v>
      </c>
      <c r="F12" s="21" t="s">
        <v>45</v>
      </c>
      <c r="G12" s="26" t="n">
        <f t="shared" ref="G12:G54" si="0">IF(B12&lt;&gt;"",G11+I12,"")</f>
        <v>4949.0</v>
      </c>
      <c r="H12" s="21" t="n">
        <v>0.0</v>
      </c>
      <c r="I12" s="21" t="n">
        <v>52.0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46</v>
      </c>
      <c r="C13" s="20" t="s">
        <v>38</v>
      </c>
      <c r="D13" s="20" t="s">
        <v>39</v>
      </c>
      <c r="E13" s="20" t="s">
        <v>47</v>
      </c>
      <c r="F13" s="21" t="s">
        <v>48</v>
      </c>
      <c r="G13" s="26" t="n">
        <f t="shared" si="0"/>
        <v>5037.0</v>
      </c>
      <c r="H13" s="21" t="n">
        <v>0.0</v>
      </c>
      <c r="I13" s="21" t="n">
        <v>88.0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46</v>
      </c>
      <c r="C14" s="20" t="s">
        <v>38</v>
      </c>
      <c r="D14" s="20" t="s">
        <v>47</v>
      </c>
      <c r="E14" s="20" t="s">
        <v>39</v>
      </c>
      <c r="F14" s="21" t="s">
        <v>45</v>
      </c>
      <c r="G14" s="26" t="n">
        <f t="shared" si="0"/>
        <v>5125.0</v>
      </c>
      <c r="H14" s="21" t="n">
        <v>0.0</v>
      </c>
      <c r="I14" s="21" t="n">
        <v>88.0</v>
      </c>
      <c r="J14" s="19" t="s">
        <v>42</v>
      </c>
    </row>
    <row r="15" spans="1:13" x14ac:dyDescent="0.25">
      <c r="A15" s="19">
        <v>6</v>
      </c>
      <c r="B15" s="25" t="s">
        <v>49</v>
      </c>
      <c r="C15" s="20" t="s">
        <v>38</v>
      </c>
      <c r="D15" s="20" t="s">
        <v>39</v>
      </c>
      <c r="E15" s="20" t="s">
        <v>50</v>
      </c>
      <c r="F15" s="21" t="s">
        <v>51</v>
      </c>
      <c r="G15" s="26" t="n">
        <f t="shared" si="0"/>
        <v>5171.0</v>
      </c>
      <c r="H15" s="21" t="n">
        <v>0.0</v>
      </c>
      <c r="I15" s="21" t="n">
        <v>46.0</v>
      </c>
      <c r="J15" s="19" t="s">
        <v>42</v>
      </c>
    </row>
    <row r="16" spans="1:13" x14ac:dyDescent="0.25">
      <c r="A16" s="19">
        <v>7</v>
      </c>
      <c r="B16" s="25" t="s">
        <v>49</v>
      </c>
      <c r="C16" s="20" t="s">
        <v>38</v>
      </c>
      <c r="D16" s="20" t="s">
        <v>50</v>
      </c>
      <c r="E16" s="20" t="s">
        <v>52</v>
      </c>
      <c r="F16" s="21" t="s">
        <v>53</v>
      </c>
      <c r="G16" s="26" t="n">
        <f t="shared" si="0"/>
        <v>5242.0</v>
      </c>
      <c r="H16" s="21" t="n">
        <v>0.0</v>
      </c>
      <c r="I16" s="21" t="n">
        <v>71.0</v>
      </c>
      <c r="J16" s="19" t="s">
        <v>42</v>
      </c>
    </row>
    <row r="17" spans="1:10" x14ac:dyDescent="0.25">
      <c r="A17" s="19">
        <v>8</v>
      </c>
      <c r="B17" s="25" t="s">
        <v>49</v>
      </c>
      <c r="C17" s="20" t="s">
        <v>38</v>
      </c>
      <c r="D17" s="20" t="s">
        <v>52</v>
      </c>
      <c r="E17" s="20" t="s">
        <v>39</v>
      </c>
      <c r="F17" s="21" t="s">
        <v>45</v>
      </c>
      <c r="G17" s="26" t="n">
        <f t="shared" si="0"/>
        <v>5273.0</v>
      </c>
      <c r="H17" s="21" t="n">
        <v>0.0</v>
      </c>
      <c r="I17" s="21" t="n">
        <v>31.0</v>
      </c>
      <c r="J17" s="19" t="s">
        <v>42</v>
      </c>
    </row>
    <row r="18" spans="1:10" x14ac:dyDescent="0.25">
      <c r="A18" s="19">
        <v>9</v>
      </c>
      <c r="B18" s="25" t="s">
        <v>54</v>
      </c>
      <c r="C18" s="20" t="s">
        <v>38</v>
      </c>
      <c r="D18" s="20" t="s">
        <v>39</v>
      </c>
      <c r="E18" s="20" t="s">
        <v>55</v>
      </c>
      <c r="F18" s="21" t="s">
        <v>56</v>
      </c>
      <c r="G18" s="26" t="n">
        <f t="shared" si="0"/>
        <v>5278.0</v>
      </c>
      <c r="H18" s="21" t="n">
        <v>0.0</v>
      </c>
      <c r="I18" s="21" t="n">
        <v>5.0</v>
      </c>
      <c r="J18" s="19" t="s">
        <v>42</v>
      </c>
    </row>
    <row r="19" spans="1:10" x14ac:dyDescent="0.25">
      <c r="A19" s="19">
        <v>10</v>
      </c>
      <c r="B19" s="25" t="s">
        <v>54</v>
      </c>
      <c r="C19" s="20" t="s">
        <v>38</v>
      </c>
      <c r="D19" s="20" t="s">
        <v>55</v>
      </c>
      <c r="E19" s="20" t="s">
        <v>52</v>
      </c>
      <c r="F19" s="21" t="s">
        <v>53</v>
      </c>
      <c r="G19" s="26" t="n">
        <f t="shared" si="0"/>
        <v>5306.0</v>
      </c>
      <c r="H19" s="21" t="n">
        <v>0.0</v>
      </c>
      <c r="I19" s="21" t="n">
        <v>28.0</v>
      </c>
      <c r="J19" s="19" t="s">
        <v>42</v>
      </c>
    </row>
    <row r="20" spans="1:10" x14ac:dyDescent="0.25">
      <c r="A20" s="19">
        <v>12</v>
      </c>
      <c r="B20" s="25" t="s">
        <v>54</v>
      </c>
      <c r="C20" s="20" t="s">
        <v>38</v>
      </c>
      <c r="D20" s="20" t="s">
        <v>52</v>
      </c>
      <c r="E20" s="20" t="s">
        <v>57</v>
      </c>
      <c r="F20" s="21" t="s">
        <v>58</v>
      </c>
      <c r="G20" s="26" t="n">
        <f t="shared" si="0"/>
        <v>5333.0</v>
      </c>
      <c r="H20" s="21" t="n">
        <v>0.0</v>
      </c>
      <c r="I20" s="21" t="n">
        <v>27.0</v>
      </c>
      <c r="J20" s="19" t="s">
        <v>42</v>
      </c>
    </row>
    <row r="21" spans="1:10" x14ac:dyDescent="0.25">
      <c r="A21" s="19">
        <v>13</v>
      </c>
      <c r="B21" s="25" t="s">
        <v>54</v>
      </c>
      <c r="C21" s="20" t="s">
        <v>38</v>
      </c>
      <c r="D21" s="20" t="s">
        <v>57</v>
      </c>
      <c r="E21" s="20" t="s">
        <v>39</v>
      </c>
      <c r="F21" s="21" t="s">
        <v>45</v>
      </c>
      <c r="G21" s="26" t="n">
        <f t="shared" si="0"/>
        <v>5338.0</v>
      </c>
      <c r="H21" s="21" t="n">
        <v>0.0</v>
      </c>
      <c r="I21" s="21" t="n">
        <v>5.0</v>
      </c>
      <c r="J21" s="19" t="s">
        <v>42</v>
      </c>
    </row>
    <row r="22" spans="1:10" x14ac:dyDescent="0.25">
      <c r="A22" s="19">
        <v>14</v>
      </c>
      <c r="B22" s="25" t="s">
        <v>59</v>
      </c>
      <c r="C22" s="20" t="s">
        <v>38</v>
      </c>
      <c r="D22" s="20" t="s">
        <v>39</v>
      </c>
      <c r="E22" s="20" t="s">
        <v>60</v>
      </c>
      <c r="F22" s="21" t="s">
        <v>61</v>
      </c>
      <c r="G22" s="26" t="n">
        <f t="shared" si="0"/>
        <v>5394.0</v>
      </c>
      <c r="H22" s="21" t="n">
        <v>0.0</v>
      </c>
      <c r="I22" s="21" t="n">
        <v>56.0</v>
      </c>
      <c r="J22" s="19" t="s">
        <v>42</v>
      </c>
    </row>
    <row r="23" spans="1:10" x14ac:dyDescent="0.25">
      <c r="A23" s="19">
        <v>15</v>
      </c>
      <c r="B23" s="25" t="s">
        <v>59</v>
      </c>
      <c r="C23" s="20" t="s">
        <v>38</v>
      </c>
      <c r="D23" s="20" t="s">
        <v>60</v>
      </c>
      <c r="E23" s="20" t="s">
        <v>62</v>
      </c>
      <c r="F23" s="21" t="s">
        <v>63</v>
      </c>
      <c r="G23" s="26" t="n">
        <f t="shared" si="0"/>
        <v>5400.0</v>
      </c>
      <c r="H23" s="21" t="n">
        <v>41.75</v>
      </c>
      <c r="I23" s="21" t="n">
        <v>6.0</v>
      </c>
      <c r="J23" s="19" t="s">
        <v>42</v>
      </c>
    </row>
    <row r="24" spans="1:10" x14ac:dyDescent="0.25">
      <c r="A24" s="19">
        <v>16</v>
      </c>
      <c r="B24" s="25" t="s">
        <v>59</v>
      </c>
      <c r="C24" s="20" t="s">
        <v>38</v>
      </c>
      <c r="D24" s="20" t="s">
        <v>62</v>
      </c>
      <c r="E24" s="20" t="s">
        <v>39</v>
      </c>
      <c r="F24" s="21" t="s">
        <v>45</v>
      </c>
      <c r="G24" s="26" t="n">
        <f t="shared" si="0"/>
        <v>5454.0</v>
      </c>
      <c r="H24" s="21" t="n">
        <v>0.0</v>
      </c>
      <c r="I24" s="21" t="n">
        <v>54.0</v>
      </c>
      <c r="J24" s="19" t="s">
        <v>42</v>
      </c>
    </row>
    <row r="25" spans="1:10" x14ac:dyDescent="0.25">
      <c r="A25" s="19">
        <v>17</v>
      </c>
      <c r="B25" s="25" t="s">
        <v>59</v>
      </c>
      <c r="C25" s="20" t="s">
        <v>38</v>
      </c>
      <c r="D25" s="20" t="s">
        <v>62</v>
      </c>
      <c r="E25" s="20" t="s">
        <v>39</v>
      </c>
      <c r="F25" s="21" t="s">
        <v>45</v>
      </c>
      <c r="G25" s="26" t="n">
        <f t="shared" si="0"/>
        <v>5508.0</v>
      </c>
      <c r="H25" s="21" t="n">
        <v>0.0</v>
      </c>
      <c r="I25" s="21" t="n">
        <v>54.0</v>
      </c>
      <c r="J25" s="19" t="s">
        <v>42</v>
      </c>
    </row>
    <row r="26" spans="1:10" x14ac:dyDescent="0.25">
      <c r="A26" s="19">
        <v>19</v>
      </c>
      <c r="B26" s="25" t="s">
        <v>64</v>
      </c>
      <c r="C26" s="20" t="s">
        <v>65</v>
      </c>
      <c r="D26" s="20" t="s">
        <v>66</v>
      </c>
      <c r="E26" s="20" t="s">
        <v>66</v>
      </c>
      <c r="F26" s="21" t="s">
        <v>66</v>
      </c>
      <c r="G26" s="26" t="n">
        <f t="shared" si="0"/>
        <v>5619.0</v>
      </c>
      <c r="H26" s="21" t="n">
        <v>0.0</v>
      </c>
      <c r="I26" s="21" t="n">
        <v>111.0</v>
      </c>
      <c r="J26" s="19" t="s">
        <v>23</v>
      </c>
    </row>
    <row r="27" spans="1:10" x14ac:dyDescent="0.25">
      <c r="A27" s="19">
        <v>20</v>
      </c>
      <c r="B27" s="25" t="s">
        <v>67</v>
      </c>
      <c r="C27" s="20" t="s">
        <v>38</v>
      </c>
      <c r="D27" s="20" t="s">
        <v>39</v>
      </c>
      <c r="E27" s="20" t="s">
        <v>68</v>
      </c>
      <c r="F27" s="21" t="s">
        <v>69</v>
      </c>
      <c r="G27" s="26" t="n">
        <f t="shared" si="0"/>
        <v>5672.0</v>
      </c>
      <c r="H27" s="21" t="n">
        <v>0.0</v>
      </c>
      <c r="I27" s="21" t="n">
        <v>53.0</v>
      </c>
      <c r="J27" s="19" t="s">
        <v>42</v>
      </c>
    </row>
    <row r="28" spans="1:10" x14ac:dyDescent="0.25">
      <c r="A28" s="19">
        <v>21</v>
      </c>
      <c r="B28" s="25" t="s">
        <v>67</v>
      </c>
      <c r="C28" s="20" t="s">
        <v>38</v>
      </c>
      <c r="D28" s="20" t="s">
        <v>68</v>
      </c>
      <c r="E28" s="20" t="s">
        <v>62</v>
      </c>
      <c r="F28" s="21" t="s">
        <v>63</v>
      </c>
      <c r="G28" s="26" t="n">
        <f t="shared" si="0"/>
        <v>5677.0</v>
      </c>
      <c r="H28" s="21" t="n">
        <v>0.0</v>
      </c>
      <c r="I28" s="21" t="n">
        <v>5.0</v>
      </c>
      <c r="J28" s="19" t="s">
        <v>42</v>
      </c>
    </row>
    <row r="29" spans="1:10" x14ac:dyDescent="0.25">
      <c r="A29" s="19">
        <v>22</v>
      </c>
      <c r="B29" s="25" t="s">
        <v>70</v>
      </c>
      <c r="C29" s="20" t="s">
        <v>38</v>
      </c>
      <c r="D29" s="20" t="s">
        <v>39</v>
      </c>
      <c r="E29" s="20" t="s">
        <v>71</v>
      </c>
      <c r="F29" s="21" t="s">
        <v>72</v>
      </c>
      <c r="G29" s="26" t="n">
        <f t="shared" si="0"/>
        <v>5726.0</v>
      </c>
      <c r="H29" s="21" t="n">
        <v>0.0</v>
      </c>
      <c r="I29" s="21" t="n">
        <v>49.0</v>
      </c>
      <c r="J29" s="19" t="s">
        <v>42</v>
      </c>
    </row>
    <row r="30" spans="1:10" x14ac:dyDescent="0.25">
      <c r="A30" s="19">
        <v>23</v>
      </c>
      <c r="B30" s="25" t="s">
        <v>70</v>
      </c>
      <c r="C30" s="20" t="s">
        <v>38</v>
      </c>
      <c r="D30" s="20" t="s">
        <v>71</v>
      </c>
      <c r="E30" s="20" t="s">
        <v>73</v>
      </c>
      <c r="F30" s="21" t="s">
        <v>74</v>
      </c>
      <c r="G30" s="26" t="n">
        <f t="shared" si="0"/>
        <v>5785.0</v>
      </c>
      <c r="H30" s="21" t="n">
        <v>0.0</v>
      </c>
      <c r="I30" s="21" t="n">
        <v>59.0</v>
      </c>
      <c r="J30" s="19" t="s">
        <v>42</v>
      </c>
    </row>
    <row r="31" spans="1:10" x14ac:dyDescent="0.25">
      <c r="A31" s="19">
        <v>24</v>
      </c>
      <c r="B31" s="25" t="s">
        <v>70</v>
      </c>
      <c r="C31" s="20" t="s">
        <v>38</v>
      </c>
      <c r="D31" s="20" t="s">
        <v>73</v>
      </c>
      <c r="E31" s="20" t="s">
        <v>75</v>
      </c>
      <c r="F31" s="21" t="s">
        <v>76</v>
      </c>
      <c r="G31" s="26" t="n">
        <f t="shared" si="0"/>
        <v>5847.0</v>
      </c>
      <c r="H31" s="21" t="n">
        <v>0.0</v>
      </c>
      <c r="I31" s="21" t="n">
        <v>62.0</v>
      </c>
      <c r="J31" s="19" t="s">
        <v>42</v>
      </c>
    </row>
    <row r="32" spans="1:10" x14ac:dyDescent="0.25">
      <c r="A32" s="19">
        <v>25</v>
      </c>
      <c r="B32" s="25" t="s">
        <v>70</v>
      </c>
      <c r="C32" s="20" t="s">
        <v>38</v>
      </c>
      <c r="D32" s="20" t="s">
        <v>75</v>
      </c>
      <c r="E32" s="20" t="s">
        <v>77</v>
      </c>
      <c r="F32" s="21" t="s">
        <v>78</v>
      </c>
      <c r="G32" s="26" t="n">
        <f t="shared" si="0"/>
        <v>5878.0</v>
      </c>
      <c r="H32" s="21" t="n">
        <v>0.0</v>
      </c>
      <c r="I32" s="21" t="n">
        <v>31.0</v>
      </c>
      <c r="J32" s="19" t="s">
        <v>42</v>
      </c>
    </row>
    <row r="33" spans="1:10" x14ac:dyDescent="0.25">
      <c r="A33" s="19">
        <v>26</v>
      </c>
      <c r="B33" s="25" t="s">
        <v>70</v>
      </c>
      <c r="C33" s="20" t="s">
        <v>38</v>
      </c>
      <c r="D33" s="20" t="s">
        <v>77</v>
      </c>
      <c r="E33" s="20" t="s">
        <v>39</v>
      </c>
      <c r="F33" s="21" t="s">
        <v>45</v>
      </c>
      <c r="G33" s="26" t="n">
        <f t="shared" si="0"/>
        <v>5924.0</v>
      </c>
      <c r="H33" s="21" t="n">
        <v>0.0</v>
      </c>
      <c r="I33" s="21" t="n">
        <v>46.0</v>
      </c>
      <c r="J33" s="19" t="s">
        <v>42</v>
      </c>
    </row>
    <row r="34" spans="1:10" x14ac:dyDescent="0.25">
      <c r="A34" s="19">
        <v>29</v>
      </c>
      <c r="B34" s="25" t="s">
        <v>79</v>
      </c>
      <c r="C34" s="20" t="s">
        <v>38</v>
      </c>
      <c r="D34" s="20" t="s">
        <v>39</v>
      </c>
      <c r="E34" s="20" t="s">
        <v>80</v>
      </c>
      <c r="F34" s="21" t="s">
        <v>81</v>
      </c>
      <c r="G34" s="26" t="n">
        <f t="shared" si="0"/>
        <v>5951.0</v>
      </c>
      <c r="H34" s="21" t="n">
        <v>0.0</v>
      </c>
      <c r="I34" s="21" t="n">
        <v>27.0</v>
      </c>
      <c r="J34" s="19" t="s">
        <v>42</v>
      </c>
    </row>
    <row r="35" spans="1:10" x14ac:dyDescent="0.25">
      <c r="A35" s="24">
        <v>30</v>
      </c>
      <c r="B35" s="25" t="s">
        <v>79</v>
      </c>
      <c r="C35" s="20" t="s">
        <v>38</v>
      </c>
      <c r="D35" s="20" t="s">
        <v>80</v>
      </c>
      <c r="E35" s="20" t="s">
        <v>82</v>
      </c>
      <c r="F35" s="21" t="s">
        <v>83</v>
      </c>
      <c r="G35" s="26" t="n">
        <f t="shared" si="0"/>
        <v>5973.0</v>
      </c>
      <c r="H35" s="21" t="n">
        <v>0.0</v>
      </c>
      <c r="I35" s="21" t="n">
        <v>22.0</v>
      </c>
      <c r="J35" s="19" t="s">
        <v>42</v>
      </c>
    </row>
    <row r="36" spans="1:10" x14ac:dyDescent="0.25">
      <c r="A36" s="19">
        <v>31</v>
      </c>
      <c r="B36" s="25" t="s">
        <v>79</v>
      </c>
      <c r="C36" s="20" t="s">
        <v>38</v>
      </c>
      <c r="D36" s="20" t="s">
        <v>82</v>
      </c>
      <c r="E36" s="20" t="s">
        <v>84</v>
      </c>
      <c r="F36" s="21" t="s">
        <v>85</v>
      </c>
      <c r="G36" s="26" t="n">
        <f t="shared" si="0"/>
        <v>6012.0</v>
      </c>
      <c r="H36" s="21" t="n">
        <v>0.0</v>
      </c>
      <c r="I36" s="21" t="n">
        <v>39.0</v>
      </c>
      <c r="J36" s="19" t="s">
        <v>42</v>
      </c>
    </row>
    <row r="37" spans="1:10" x14ac:dyDescent="0.25">
      <c r="A37" s="19">
        <v>32</v>
      </c>
      <c r="B37" s="25" t="s">
        <v>79</v>
      </c>
      <c r="C37" s="20" t="s">
        <v>38</v>
      </c>
      <c r="D37" s="20" t="s">
        <v>84</v>
      </c>
      <c r="E37" s="20" t="s">
        <v>71</v>
      </c>
      <c r="F37" s="21" t="s">
        <v>72</v>
      </c>
      <c r="G37" s="26" t="n">
        <f t="shared" si="0"/>
        <v>6020.0</v>
      </c>
      <c r="H37" s="21" t="n">
        <v>0.0</v>
      </c>
      <c r="I37" s="21" t="n">
        <v>8.0</v>
      </c>
      <c r="J37" s="19" t="s">
        <v>42</v>
      </c>
    </row>
    <row r="38" spans="1:10" x14ac:dyDescent="0.25">
      <c r="A38" s="19">
        <v>33</v>
      </c>
      <c r="B38" s="25" t="s">
        <v>79</v>
      </c>
      <c r="C38" s="20" t="s">
        <v>38</v>
      </c>
      <c r="D38" s="20" t="s">
        <v>71</v>
      </c>
      <c r="E38" s="20" t="s">
        <v>39</v>
      </c>
      <c r="F38" s="21" t="s">
        <v>45</v>
      </c>
      <c r="G38" s="26" t="n">
        <f t="shared" si="0"/>
        <v>6069.0</v>
      </c>
      <c r="H38" s="21" t="n">
        <v>0.0</v>
      </c>
      <c r="I38" s="21" t="n">
        <v>49.0</v>
      </c>
      <c r="J38" s="19" t="s">
        <v>42</v>
      </c>
    </row>
    <row r="39" spans="1:10" x14ac:dyDescent="0.25">
      <c r="A39" s="19">
        <v>34</v>
      </c>
      <c r="B39" s="25" t="s">
        <v>86</v>
      </c>
      <c r="C39" s="20" t="s">
        <v>38</v>
      </c>
      <c r="D39" s="20" t="s">
        <v>39</v>
      </c>
      <c r="E39" s="20" t="s">
        <v>87</v>
      </c>
      <c r="F39" s="21" t="s">
        <v>88</v>
      </c>
      <c r="G39" s="26" t="n">
        <f t="shared" si="0"/>
        <v>6187.0</v>
      </c>
      <c r="H39" s="21" t="n">
        <v>41.43</v>
      </c>
      <c r="I39" s="21" t="n">
        <v>118.0</v>
      </c>
      <c r="J39" s="19" t="s">
        <v>42</v>
      </c>
    </row>
    <row r="40" spans="1:10" x14ac:dyDescent="0.25">
      <c r="A40" s="19">
        <v>35</v>
      </c>
      <c r="B40" s="25" t="s">
        <v>86</v>
      </c>
      <c r="C40" s="20" t="s">
        <v>38</v>
      </c>
      <c r="D40" s="20" t="s">
        <v>87</v>
      </c>
      <c r="E40" s="20" t="s">
        <v>89</v>
      </c>
      <c r="F40" s="21" t="s">
        <v>90</v>
      </c>
      <c r="G40" s="26" t="n">
        <f t="shared" si="0"/>
        <v>6217.0</v>
      </c>
      <c r="H40" s="21" t="n">
        <v>0.0</v>
      </c>
      <c r="I40" s="21" t="n">
        <v>30.0</v>
      </c>
      <c r="J40" s="19" t="s">
        <v>42</v>
      </c>
    </row>
    <row r="41" spans="1:10" x14ac:dyDescent="0.25">
      <c r="A41" s="19">
        <v>36</v>
      </c>
      <c r="B41" s="25" t="s">
        <v>86</v>
      </c>
      <c r="C41" s="20" t="s">
        <v>38</v>
      </c>
      <c r="D41" s="20" t="s">
        <v>89</v>
      </c>
      <c r="E41" s="20" t="s">
        <v>39</v>
      </c>
      <c r="F41" s="21" t="s">
        <v>45</v>
      </c>
      <c r="G41" s="26" t="n">
        <f t="shared" si="0"/>
        <v>6351.0</v>
      </c>
      <c r="H41" s="21" t="n">
        <v>0.0</v>
      </c>
      <c r="I41" s="21" t="n">
        <v>134.0</v>
      </c>
      <c r="J41" s="19" t="s">
        <v>42</v>
      </c>
    </row>
    <row r="42" spans="1:10" x14ac:dyDescent="0.25">
      <c r="A42" s="19">
        <v>37</v>
      </c>
      <c r="B42" s="25" t="s">
        <v>91</v>
      </c>
      <c r="C42" s="20" t="s">
        <v>38</v>
      </c>
      <c r="D42" s="20" t="s">
        <v>39</v>
      </c>
      <c r="E42" s="20" t="s">
        <v>92</v>
      </c>
      <c r="F42" s="21" t="s">
        <v>93</v>
      </c>
      <c r="G42" s="26" t="n">
        <f t="shared" si="0"/>
        <v>6400.0</v>
      </c>
      <c r="H42" s="21" t="n">
        <v>0.0</v>
      </c>
      <c r="I42" s="21" t="n">
        <v>49.0</v>
      </c>
      <c r="J42" s="19" t="s">
        <v>42</v>
      </c>
    </row>
    <row r="43" spans="1:10" x14ac:dyDescent="0.25">
      <c r="A43" s="19">
        <v>38</v>
      </c>
      <c r="B43" s="25" t="s">
        <v>91</v>
      </c>
      <c r="C43" s="20" t="s">
        <v>38</v>
      </c>
      <c r="D43" s="20" t="s">
        <v>92</v>
      </c>
      <c r="E43" s="20" t="s">
        <v>39</v>
      </c>
      <c r="F43" s="21" t="s">
        <v>45</v>
      </c>
      <c r="G43" s="26" t="n">
        <f t="shared" si="0"/>
        <v>6449.0</v>
      </c>
      <c r="H43" s="21" t="n">
        <v>0.0</v>
      </c>
      <c r="I43" s="21" t="n">
        <v>49.0</v>
      </c>
      <c r="J43" s="19" t="s">
        <v>42</v>
      </c>
    </row>
    <row r="44" spans="1:10" x14ac:dyDescent="0.25">
      <c r="A44" s="19">
        <v>39</v>
      </c>
      <c r="B44" s="25" t="s">
        <v>94</v>
      </c>
      <c r="C44" s="20" t="s">
        <v>65</v>
      </c>
      <c r="D44" s="20" t="s">
        <v>66</v>
      </c>
      <c r="E44" s="20" t="s">
        <v>66</v>
      </c>
      <c r="F44" s="21" t="s">
        <v>66</v>
      </c>
      <c r="G44" s="26" t="n">
        <f t="shared" si="0"/>
        <v>6515.0</v>
      </c>
      <c r="H44" s="21" t="n">
        <v>0.0</v>
      </c>
      <c r="I44" s="21" t="n">
        <v>66.0</v>
      </c>
      <c r="J44" s="19" t="s">
        <v>23</v>
      </c>
    </row>
    <row r="45" spans="1:10" x14ac:dyDescent="0.25">
      <c r="A45" s="19">
        <v>40</v>
      </c>
      <c r="B45" s="25" t="s">
        <v>95</v>
      </c>
      <c r="C45" s="20" t="s">
        <v>38</v>
      </c>
      <c r="D45" s="20" t="s">
        <v>39</v>
      </c>
      <c r="E45" s="20" t="s">
        <v>96</v>
      </c>
      <c r="F45" s="21" t="s">
        <v>97</v>
      </c>
      <c r="G45" s="26" t="n">
        <f t="shared" si="0"/>
        <v>6567.0</v>
      </c>
      <c r="H45" s="21" t="n">
        <v>0.0</v>
      </c>
      <c r="I45" s="21" t="n">
        <v>52.0</v>
      </c>
      <c r="J45" s="19" t="s">
        <v>42</v>
      </c>
    </row>
    <row r="46" spans="1:10" x14ac:dyDescent="0.25">
      <c r="A46" s="19">
        <v>41</v>
      </c>
      <c r="B46" s="25" t="s">
        <v>95</v>
      </c>
      <c r="C46" s="20" t="s">
        <v>38</v>
      </c>
      <c r="D46" s="20" t="s">
        <v>96</v>
      </c>
      <c r="E46" s="20" t="s">
        <v>80</v>
      </c>
      <c r="F46" s="21" t="s">
        <v>81</v>
      </c>
      <c r="G46" s="26" t="n">
        <f t="shared" si="0"/>
        <v>6619.0</v>
      </c>
      <c r="H46" s="21" t="n">
        <v>0.0</v>
      </c>
      <c r="I46" s="21" t="n">
        <v>52.0</v>
      </c>
      <c r="J46" s="19" t="s">
        <v>42</v>
      </c>
    </row>
    <row r="47" spans="1:10" x14ac:dyDescent="0.25">
      <c r="A47" s="19">
        <v>42</v>
      </c>
      <c r="B47" s="25" t="s">
        <v>95</v>
      </c>
      <c r="C47" s="20" t="s">
        <v>38</v>
      </c>
      <c r="D47" s="20" t="s">
        <v>80</v>
      </c>
      <c r="E47" s="20" t="s">
        <v>39</v>
      </c>
      <c r="F47" s="21" t="s">
        <v>45</v>
      </c>
      <c r="G47" s="26" t="n">
        <f t="shared" si="0"/>
        <v>6646.0</v>
      </c>
      <c r="H47" s="21" t="n">
        <v>0.0</v>
      </c>
      <c r="I47" s="21" t="n">
        <v>27.0</v>
      </c>
      <c r="J47" s="19" t="s">
        <v>42</v>
      </c>
    </row>
    <row r="48" spans="1:10" x14ac:dyDescent="0.25">
      <c r="A48" s="19">
        <v>43</v>
      </c>
      <c r="B48" s="25" t="s">
        <v>98</v>
      </c>
      <c r="C48" s="20" t="s">
        <v>38</v>
      </c>
      <c r="D48" s="20" t="s">
        <v>39</v>
      </c>
      <c r="E48" s="20" t="s">
        <v>99</v>
      </c>
      <c r="F48" s="21" t="s">
        <v>100</v>
      </c>
      <c r="G48" s="26" t="n">
        <f t="shared" si="0"/>
        <v>6721.0</v>
      </c>
      <c r="H48" s="21" t="n">
        <v>0.0</v>
      </c>
      <c r="I48" s="21" t="n">
        <v>75.0</v>
      </c>
      <c r="J48" s="19" t="s">
        <v>42</v>
      </c>
    </row>
    <row r="49" spans="1:10" x14ac:dyDescent="0.25">
      <c r="A49" s="19">
        <v>44</v>
      </c>
      <c r="B49" s="25" t="s">
        <v>98</v>
      </c>
      <c r="C49" s="20" t="s">
        <v>38</v>
      </c>
      <c r="D49" s="20" t="s">
        <v>99</v>
      </c>
      <c r="E49" s="20" t="s">
        <v>101</v>
      </c>
      <c r="F49" s="21" t="s">
        <v>102</v>
      </c>
      <c r="G49" s="26" t="n">
        <f t="shared" si="0"/>
        <v>6751.0</v>
      </c>
      <c r="H49" s="21" t="n">
        <v>0.0</v>
      </c>
      <c r="I49" s="21" t="n">
        <v>30.0</v>
      </c>
      <c r="J49" s="19" t="s">
        <v>42</v>
      </c>
    </row>
    <row r="50" spans="1:10" x14ac:dyDescent="0.25">
      <c r="A50" s="19">
        <v>45</v>
      </c>
      <c r="B50" s="25" t="s">
        <v>98</v>
      </c>
      <c r="C50" s="20" t="s">
        <v>38</v>
      </c>
      <c r="D50" s="20" t="s">
        <v>101</v>
      </c>
      <c r="E50" s="20" t="s">
        <v>92</v>
      </c>
      <c r="F50" s="21" t="s">
        <v>93</v>
      </c>
      <c r="G50" s="26" t="n">
        <f t="shared" si="0"/>
        <v>6771.0</v>
      </c>
      <c r="H50" s="21" t="n">
        <v>0.0</v>
      </c>
      <c r="I50" s="21" t="n">
        <v>20.0</v>
      </c>
      <c r="J50" s="19" t="s">
        <v>42</v>
      </c>
    </row>
    <row r="51" spans="1:10" x14ac:dyDescent="0.25">
      <c r="A51" s="19">
        <v>46</v>
      </c>
      <c r="B51" s="25" t="s">
        <v>98</v>
      </c>
      <c r="C51" s="20" t="s">
        <v>38</v>
      </c>
      <c r="D51" s="20" t="s">
        <v>92</v>
      </c>
      <c r="E51" s="20" t="s">
        <v>39</v>
      </c>
      <c r="F51" s="21" t="s">
        <v>45</v>
      </c>
      <c r="G51" s="26" t="n">
        <f t="shared" si="0"/>
        <v>6820.0</v>
      </c>
      <c r="H51" s="21" t="n">
        <v>0.0</v>
      </c>
      <c r="I51" s="21" t="n">
        <v>49.0</v>
      </c>
      <c r="J51" s="19" t="s">
        <v>42</v>
      </c>
    </row>
    <row r="52" spans="1:10" x14ac:dyDescent="0.25">
      <c r="A52" s="19">
        <v>47</v>
      </c>
      <c r="B52" s="25" t="s">
        <v>103</v>
      </c>
      <c r="C52" s="20" t="s">
        <v>38</v>
      </c>
      <c r="D52" s="20" t="s">
        <v>39</v>
      </c>
      <c r="E52" s="20" t="s">
        <v>92</v>
      </c>
      <c r="F52" s="21" t="s">
        <v>93</v>
      </c>
      <c r="G52" s="26" t="n">
        <f t="shared" si="0"/>
        <v>6869.0</v>
      </c>
      <c r="H52" s="21" t="n">
        <v>0.0</v>
      </c>
      <c r="I52" s="21" t="n">
        <v>49.0</v>
      </c>
      <c r="J52" s="19" t="s">
        <v>42</v>
      </c>
    </row>
    <row r="53" spans="1:10" x14ac:dyDescent="0.25">
      <c r="A53" s="19">
        <v>48</v>
      </c>
      <c r="B53" s="25" t="s">
        <v>103</v>
      </c>
      <c r="C53" s="20" t="s">
        <v>38</v>
      </c>
      <c r="D53" s="20" t="s">
        <v>92</v>
      </c>
      <c r="E53" s="20" t="s">
        <v>104</v>
      </c>
      <c r="F53" s="21" t="s">
        <v>105</v>
      </c>
      <c r="G53" s="26" t="n">
        <f t="shared" si="0"/>
        <v>6888.0</v>
      </c>
      <c r="H53" s="21" t="n">
        <v>0.0</v>
      </c>
      <c r="I53" s="21" t="n">
        <v>19.0</v>
      </c>
      <c r="J53" s="19" t="s">
        <v>42</v>
      </c>
    </row>
    <row r="54" spans="1:10" x14ac:dyDescent="0.25">
      <c r="A54" s="19">
        <v>49</v>
      </c>
      <c r="B54" s="25" t="s">
        <v>103</v>
      </c>
      <c r="C54" s="20" t="s">
        <v>38</v>
      </c>
      <c r="D54" s="20" t="s">
        <v>104</v>
      </c>
      <c r="E54" s="20" t="s">
        <v>106</v>
      </c>
      <c r="F54" s="21" t="s">
        <v>107</v>
      </c>
      <c r="G54" s="26" t="n">
        <f t="shared" si="0"/>
        <v>6904.0</v>
      </c>
      <c r="H54" s="21" t="n">
        <v>0.0</v>
      </c>
      <c r="I54" s="21" t="n">
        <v>16.0</v>
      </c>
      <c r="J54" s="19" t="s">
        <v>42</v>
      </c>
    </row>
    <row r="55" spans="1:10" x14ac:dyDescent="0.25">
      <c r="A55" s="19">
        <v>50</v>
      </c>
      <c r="B55" s="25" t="s">
        <v>103</v>
      </c>
      <c r="C55" s="20" t="s">
        <v>38</v>
      </c>
      <c r="D55" s="20" t="s">
        <v>106</v>
      </c>
      <c r="E55" s="20" t="s">
        <v>39</v>
      </c>
      <c r="F55" s="21" t="s">
        <v>45</v>
      </c>
      <c r="G55" s="26" t="n">
        <f t="shared" ref="G55:G65" si="1">IF(B55&lt;&gt;"",G54+I55,"")</f>
        <v>6965.0</v>
      </c>
      <c r="H55" s="21" t="n">
        <v>0.0</v>
      </c>
      <c r="I55" s="21" t="n">
        <v>61.0</v>
      </c>
      <c r="J55" s="19" t="s">
        <v>42</v>
      </c>
    </row>
    <row r="56" spans="1:10" x14ac:dyDescent="0.25">
      <c r="A56" s="19">
        <v>51</v>
      </c>
      <c r="B56" s="25" t="s">
        <v>108</v>
      </c>
      <c r="C56" s="20" t="s">
        <v>38</v>
      </c>
      <c r="D56" s="20" t="s">
        <v>39</v>
      </c>
      <c r="E56" s="20" t="s">
        <v>40</v>
      </c>
      <c r="F56" s="21" t="s">
        <v>41</v>
      </c>
      <c r="G56" s="26" t="n">
        <f t="shared" si="1"/>
        <v>7021.0</v>
      </c>
      <c r="H56" s="21" t="n">
        <v>0.0</v>
      </c>
      <c r="I56" s="21" t="n">
        <v>56.0</v>
      </c>
      <c r="J56" s="19" t="s">
        <v>42</v>
      </c>
    </row>
    <row r="57" spans="1:10" x14ac:dyDescent="0.25">
      <c r="A57" s="19">
        <v>52</v>
      </c>
      <c r="B57" s="25" t="s">
        <v>108</v>
      </c>
      <c r="C57" s="20" t="s">
        <v>38</v>
      </c>
      <c r="D57" s="20" t="s">
        <v>40</v>
      </c>
      <c r="E57" s="20" t="s">
        <v>39</v>
      </c>
      <c r="F57" s="21" t="s">
        <v>109</v>
      </c>
      <c r="G57" s="26" t="n">
        <f t="shared" si="1"/>
        <v>7077.0</v>
      </c>
      <c r="H57" s="21" t="n">
        <v>41.09</v>
      </c>
      <c r="I57" s="21" t="n">
        <v>56.0</v>
      </c>
      <c r="J57" s="19" t="s">
        <v>42</v>
      </c>
    </row>
    <row r="58" spans="1:10" x14ac:dyDescent="0.25">
      <c r="A58" s="19">
        <v>53</v>
      </c>
      <c r="B58" s="25" t="s">
        <v>110</v>
      </c>
      <c r="C58" s="20" t="s">
        <v>38</v>
      </c>
      <c r="D58" s="20" t="s">
        <v>39</v>
      </c>
      <c r="E58" s="20" t="s">
        <v>40</v>
      </c>
      <c r="F58" s="21" t="s">
        <v>41</v>
      </c>
      <c r="G58" s="26" t="n">
        <f t="shared" si="1"/>
        <v>7133.0</v>
      </c>
      <c r="H58" s="21" t="n">
        <v>0.0</v>
      </c>
      <c r="I58" s="21" t="n">
        <v>56.0</v>
      </c>
      <c r="J58" s="19" t="s">
        <v>42</v>
      </c>
    </row>
    <row r="59" spans="1:10" x14ac:dyDescent="0.25">
      <c r="A59" s="19">
        <v>54</v>
      </c>
      <c r="B59" s="25" t="s">
        <v>110</v>
      </c>
      <c r="C59" s="20" t="s">
        <v>38</v>
      </c>
      <c r="D59" s="20" t="s">
        <v>40</v>
      </c>
      <c r="E59" s="20" t="s">
        <v>111</v>
      </c>
      <c r="F59" s="21" t="s">
        <v>112</v>
      </c>
      <c r="G59" s="26" t="n">
        <f t="shared" si="1"/>
        <v>7194.0</v>
      </c>
      <c r="H59" s="21" t="n">
        <v>0.0</v>
      </c>
      <c r="I59" s="21" t="n">
        <v>61.0</v>
      </c>
      <c r="J59" s="19" t="s">
        <v>42</v>
      </c>
    </row>
    <row r="60" spans="1:10" x14ac:dyDescent="0.25">
      <c r="A60" s="19">
        <v>55</v>
      </c>
      <c r="B60" s="25" t="s">
        <v>110</v>
      </c>
      <c r="C60" s="20" t="s">
        <v>38</v>
      </c>
      <c r="D60" s="20" t="s">
        <v>111</v>
      </c>
      <c r="E60" s="20" t="s">
        <v>39</v>
      </c>
      <c r="F60" s="21" t="s">
        <v>45</v>
      </c>
      <c r="G60" s="26" t="n">
        <f t="shared" si="1"/>
        <v>7206.0</v>
      </c>
      <c r="H60" s="21" t="n">
        <v>0.0</v>
      </c>
      <c r="I60" s="21" t="n">
        <v>12.0</v>
      </c>
      <c r="J60" s="19" t="s">
        <v>42</v>
      </c>
    </row>
    <row r="61" spans="1:10" x14ac:dyDescent="0.25">
      <c r="A61" s="19">
        <v>56</v>
      </c>
      <c r="B61" s="25" t="s">
        <v>113</v>
      </c>
      <c r="C61" s="20" t="s">
        <v>38</v>
      </c>
      <c r="D61" s="20" t="s">
        <v>39</v>
      </c>
      <c r="E61" s="20" t="s">
        <v>40</v>
      </c>
      <c r="F61" s="21" t="s">
        <v>41</v>
      </c>
      <c r="G61" s="26" t="n">
        <f t="shared" si="1"/>
        <v>7262.0</v>
      </c>
      <c r="H61" s="21" t="n">
        <v>0.0</v>
      </c>
      <c r="I61" s="21" t="n">
        <v>56.0</v>
      </c>
      <c r="J61" s="19" t="s">
        <v>42</v>
      </c>
    </row>
    <row r="62" spans="1:10" x14ac:dyDescent="0.25">
      <c r="A62" s="19">
        <v>57</v>
      </c>
      <c r="B62" s="25" t="s">
        <v>113</v>
      </c>
      <c r="C62" s="20" t="s">
        <v>38</v>
      </c>
      <c r="D62" s="20" t="s">
        <v>40</v>
      </c>
      <c r="E62" s="20" t="s">
        <v>114</v>
      </c>
      <c r="F62" s="21" t="s">
        <v>115</v>
      </c>
      <c r="G62" s="26" t="n">
        <f t="shared" si="1"/>
        <v>7329.0</v>
      </c>
      <c r="H62" s="21" t="n">
        <v>0.0</v>
      </c>
      <c r="I62" s="21" t="n">
        <v>67.0</v>
      </c>
      <c r="J62" s="19" t="s">
        <v>42</v>
      </c>
    </row>
    <row r="63" spans="1:10" x14ac:dyDescent="0.25">
      <c r="A63" s="19">
        <v>58</v>
      </c>
      <c r="B63" s="25" t="s">
        <v>113</v>
      </c>
      <c r="C63" s="20" t="s">
        <v>38</v>
      </c>
      <c r="D63" s="20" t="s">
        <v>114</v>
      </c>
      <c r="E63" s="20" t="s">
        <v>39</v>
      </c>
      <c r="F63" s="21" t="s">
        <v>45</v>
      </c>
      <c r="G63" s="26" t="n">
        <f t="shared" si="1"/>
        <v>7397.0</v>
      </c>
      <c r="H63" s="21" t="n">
        <v>0.0</v>
      </c>
      <c r="I63" s="21" t="n">
        <v>68.0</v>
      </c>
      <c r="J63" s="19" t="s">
        <v>42</v>
      </c>
    </row>
    <row r="64" spans="1:10" x14ac:dyDescent="0.25">
      <c r="A64" s="19">
        <v>59</v>
      </c>
      <c r="B64" s="25" t="s">
        <v>116</v>
      </c>
      <c r="C64" s="20" t="s">
        <v>38</v>
      </c>
      <c r="D64" s="20" t="s">
        <v>39</v>
      </c>
      <c r="E64" s="20" t="s">
        <v>117</v>
      </c>
      <c r="F64" s="21" t="s">
        <v>118</v>
      </c>
      <c r="G64" s="26" t="n">
        <f t="shared" si="1"/>
        <v>7459.0</v>
      </c>
      <c r="H64" s="21" t="n">
        <v>0.0</v>
      </c>
      <c r="I64" s="21" t="n">
        <v>62.0</v>
      </c>
      <c r="J64" s="19" t="s">
        <v>42</v>
      </c>
    </row>
    <row r="65" spans="1:10" x14ac:dyDescent="0.25">
      <c r="A65" s="19">
        <v>60</v>
      </c>
      <c r="B65" s="25" t="s">
        <v>116</v>
      </c>
      <c r="C65" s="20" t="s">
        <v>38</v>
      </c>
      <c r="D65" s="20" t="s">
        <v>117</v>
      </c>
      <c r="E65" s="20" t="s">
        <v>71</v>
      </c>
      <c r="F65" s="21" t="s">
        <v>72</v>
      </c>
      <c r="G65" s="26" t="n">
        <f t="shared" si="1"/>
        <v>7515.0</v>
      </c>
      <c r="H65" s="21" t="n">
        <v>0.0</v>
      </c>
      <c r="I65" s="21" t="n">
        <v>56.0</v>
      </c>
      <c r="J65" s="19" t="s">
        <v>42</v>
      </c>
    </row>
    <row r="66" spans="1:10" x14ac:dyDescent="0.25">
      <c r="A66" s="19">
        <v>61</v>
      </c>
      <c r="B66" s="25" t="s">
        <v>116</v>
      </c>
      <c r="C66" s="20" t="s">
        <v>38</v>
      </c>
      <c r="D66" s="20" t="s">
        <v>71</v>
      </c>
      <c r="E66" s="20" t="s">
        <v>119</v>
      </c>
      <c r="F66" s="21" t="s">
        <v>120</v>
      </c>
      <c r="G66" s="26" t="n">
        <f t="shared" ref="G66:G105" si="2">IF(B66&lt;&gt;"",G65+I66,"")</f>
        <v>7538.0</v>
      </c>
      <c r="H66" s="21" t="n">
        <v>38.43</v>
      </c>
      <c r="I66" s="21" t="n">
        <v>23.0</v>
      </c>
      <c r="J66" s="19" t="s">
        <v>42</v>
      </c>
    </row>
    <row r="67" spans="1:10" x14ac:dyDescent="0.25">
      <c r="A67" s="19">
        <v>62</v>
      </c>
      <c r="B67" s="25" t="s">
        <v>116</v>
      </c>
      <c r="C67" s="20" t="s">
        <v>38</v>
      </c>
      <c r="D67" s="20" t="s">
        <v>119</v>
      </c>
      <c r="E67" s="20" t="s">
        <v>39</v>
      </c>
      <c r="F67" s="21" t="s">
        <v>45</v>
      </c>
      <c r="G67" s="26" t="n">
        <f t="shared" si="2"/>
        <v>7564.0</v>
      </c>
      <c r="H67" s="21" t="n">
        <v>0.0</v>
      </c>
      <c r="I67" s="21" t="n">
        <v>26.0</v>
      </c>
      <c r="J67" s="19" t="s">
        <v>42</v>
      </c>
    </row>
    <row r="68" spans="1:10" x14ac:dyDescent="0.25">
      <c r="A68" s="19">
        <v>63</v>
      </c>
      <c r="B68" s="25" t="s">
        <v>121</v>
      </c>
      <c r="C68" s="20" t="s">
        <v>38</v>
      </c>
      <c r="D68" s="20" t="s">
        <v>39</v>
      </c>
      <c r="E68" s="20" t="s">
        <v>122</v>
      </c>
      <c r="F68" s="21" t="s">
        <v>123</v>
      </c>
      <c r="G68" s="26" t="n">
        <f t="shared" si="2"/>
        <v>7643.0</v>
      </c>
      <c r="H68" s="21" t="n">
        <v>0.0</v>
      </c>
      <c r="I68" s="21" t="n">
        <v>79.0</v>
      </c>
      <c r="J68" s="19" t="s">
        <v>42</v>
      </c>
    </row>
    <row r="69" spans="1:10" x14ac:dyDescent="0.25">
      <c r="A69" s="19">
        <v>64</v>
      </c>
      <c r="B69" s="25" t="s">
        <v>121</v>
      </c>
      <c r="C69" s="20" t="s">
        <v>38</v>
      </c>
      <c r="D69" s="20" t="s">
        <v>122</v>
      </c>
      <c r="E69" s="20" t="s">
        <v>124</v>
      </c>
      <c r="F69" s="21" t="s">
        <v>125</v>
      </c>
      <c r="G69" s="26" t="n">
        <f t="shared" si="2"/>
        <v>7719.0</v>
      </c>
      <c r="H69" s="21" t="n">
        <v>0.0</v>
      </c>
      <c r="I69" s="21" t="n">
        <v>76.0</v>
      </c>
      <c r="J69" s="19" t="s">
        <v>42</v>
      </c>
    </row>
    <row r="70" spans="1:10" x14ac:dyDescent="0.25">
      <c r="A70" s="19">
        <v>65</v>
      </c>
      <c r="B70" s="25" t="s">
        <v>121</v>
      </c>
      <c r="C70" s="20" t="s">
        <v>38</v>
      </c>
      <c r="D70" s="20" t="s">
        <v>124</v>
      </c>
      <c r="E70" s="20" t="s">
        <v>96</v>
      </c>
      <c r="F70" s="21" t="s">
        <v>97</v>
      </c>
      <c r="G70" s="26" t="n">
        <f t="shared" si="2"/>
        <v>7769.0</v>
      </c>
      <c r="H70" s="21" t="n">
        <v>0.0</v>
      </c>
      <c r="I70" s="21" t="n">
        <v>50.0</v>
      </c>
      <c r="J70" s="19" t="s">
        <v>42</v>
      </c>
    </row>
    <row r="71" spans="1:10" x14ac:dyDescent="0.25">
      <c r="A71" s="19">
        <v>66</v>
      </c>
      <c r="B71" s="25" t="s">
        <v>121</v>
      </c>
      <c r="C71" s="20" t="s">
        <v>38</v>
      </c>
      <c r="D71" s="20" t="s">
        <v>96</v>
      </c>
      <c r="E71" s="20" t="s">
        <v>39</v>
      </c>
      <c r="F71" s="21" t="s">
        <v>45</v>
      </c>
      <c r="G71" s="26" t="n">
        <f t="shared" si="2"/>
        <v>7821.0</v>
      </c>
      <c r="H71" s="21" t="n">
        <v>0.0</v>
      </c>
      <c r="I71" s="21" t="n">
        <v>52.0</v>
      </c>
      <c r="J71" s="19" t="s">
        <v>42</v>
      </c>
    </row>
    <row r="72" spans="1:10" x14ac:dyDescent="0.25">
      <c r="A72" s="19">
        <v>67</v>
      </c>
      <c r="B72" s="25" t="s">
        <v>126</v>
      </c>
      <c r="C72" s="20" t="s">
        <v>65</v>
      </c>
      <c r="D72" s="20" t="s">
        <v>66</v>
      </c>
      <c r="E72" s="20" t="s">
        <v>66</v>
      </c>
      <c r="F72" s="21" t="s">
        <v>66</v>
      </c>
      <c r="G72" s="26" t="n">
        <f t="shared" si="2"/>
        <v>7903.0</v>
      </c>
      <c r="H72" s="21" t="n">
        <v>0.0</v>
      </c>
      <c r="I72" s="21" t="n">
        <v>82.0</v>
      </c>
      <c r="J72" s="19" t="s">
        <v>23</v>
      </c>
    </row>
    <row r="73" spans="1:10" x14ac:dyDescent="0.25">
      <c r="A73" s="19">
        <v>68</v>
      </c>
      <c r="B73" s="25" t="s">
        <v>127</v>
      </c>
      <c r="C73" s="20" t="s">
        <v>38</v>
      </c>
      <c r="D73" s="20" t="s">
        <v>39</v>
      </c>
      <c r="E73" s="20" t="s">
        <v>128</v>
      </c>
      <c r="F73" s="21" t="s">
        <v>129</v>
      </c>
      <c r="G73" s="26" t="n">
        <f t="shared" si="2"/>
        <v>7964.0</v>
      </c>
      <c r="H73" s="21" t="n">
        <v>0.0</v>
      </c>
      <c r="I73" s="21" t="n">
        <v>61.0</v>
      </c>
      <c r="J73" s="19" t="s">
        <v>42</v>
      </c>
    </row>
    <row r="74" spans="1:10" x14ac:dyDescent="0.25">
      <c r="A74" s="19">
        <v>69</v>
      </c>
      <c r="B74" s="25" t="s">
        <v>127</v>
      </c>
      <c r="C74" s="20" t="s">
        <v>38</v>
      </c>
      <c r="D74" s="20" t="s">
        <v>128</v>
      </c>
      <c r="E74" s="20" t="s">
        <v>71</v>
      </c>
      <c r="F74" s="21" t="s">
        <v>72</v>
      </c>
      <c r="G74" s="26" t="n">
        <f t="shared" si="2"/>
        <v>7987.0</v>
      </c>
      <c r="H74" s="21" t="n">
        <v>0.0</v>
      </c>
      <c r="I74" s="21" t="n">
        <v>23.0</v>
      </c>
      <c r="J74" s="19" t="s">
        <v>42</v>
      </c>
    </row>
    <row r="75" spans="1:10" x14ac:dyDescent="0.25">
      <c r="A75" s="19">
        <v>70</v>
      </c>
      <c r="B75" s="25" t="s">
        <v>127</v>
      </c>
      <c r="C75" s="20" t="s">
        <v>38</v>
      </c>
      <c r="D75" s="20" t="s">
        <v>71</v>
      </c>
      <c r="E75" s="20" t="s">
        <v>96</v>
      </c>
      <c r="F75" s="21" t="s">
        <v>97</v>
      </c>
      <c r="G75" s="26" t="n">
        <f t="shared" si="2"/>
        <v>8034.0</v>
      </c>
      <c r="H75" s="21" t="n">
        <v>0.0</v>
      </c>
      <c r="I75" s="21" t="n">
        <v>47.0</v>
      </c>
      <c r="J75" s="19" t="s">
        <v>42</v>
      </c>
    </row>
    <row r="76" spans="1:10" x14ac:dyDescent="0.25">
      <c r="A76" s="19">
        <v>71</v>
      </c>
      <c r="B76" s="25" t="s">
        <v>127</v>
      </c>
      <c r="C76" s="20" t="s">
        <v>38</v>
      </c>
      <c r="D76" s="20" t="s">
        <v>96</v>
      </c>
      <c r="E76" s="20" t="s">
        <v>39</v>
      </c>
      <c r="F76" s="21" t="s">
        <v>45</v>
      </c>
      <c r="G76" s="26" t="n">
        <f t="shared" si="2"/>
        <v>8086.0</v>
      </c>
      <c r="H76" s="21" t="n">
        <v>0.0</v>
      </c>
      <c r="I76" s="21" t="n">
        <v>52.0</v>
      </c>
      <c r="J76" s="19" t="s">
        <v>42</v>
      </c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 t="str">
        <f>SUM(I10:I105)</f>
        <v>3347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 t="str">
        <f>SUMIF(J10:J105,"M",I10:I105)</f>
        <v>259</v>
      </c>
      <c r="M104" s="39" t="str">
        <f>L104/L103</f>
        <v>7.%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 t="str">
        <f>C5+L103</f>
        <v>8086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