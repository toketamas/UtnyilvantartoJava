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codeName="ThisWorkbook"/>
  <mc:AlternateContent>
    <mc:Choice Requires="x15">
      <x15ac:absPath xmlns:x15ac="http://schemas.microsoft.com/office/spreadsheetml/2010/11/ac" url="B:\TT_GIT\Útnyilvántartó Projekt\UtnyilvantartoJava\"/>
    </mc:Choice>
  </mc:AlternateContent>
  <xr:revisionPtr revIDLastSave="0" documentId="13_ncr:1_{67076C0C-E507-453A-AC58-A288AAD2E2DF}" xr6:coauthVersionLast="44" xr6:coauthVersionMax="44" xr10:uidLastSave="{00000000-0000-0000-0000-000000000000}"/>
  <bookViews>
    <workbookView xWindow="-120" yWindow="-120" windowWidth="29040" windowHeight="15840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05" i="4" l="1"/>
  <c r="L104" i="4"/>
  <c r="L103" i="4"/>
  <c r="G6" i="4"/>
  <c r="G5" i="4"/>
  <c r="G7" i="4"/>
  <c r="C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<sst xmlns="http://schemas.openxmlformats.org/spreadsheetml/2006/main" count="65" uniqueCount="46">
  <si>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</si>
  <si>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</si>
  <si>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</si>
  <si>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</si>
  <si>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</si>
  <si>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</si>
  <si>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</si>
  <si>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</si>
  <si>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</si>
  <si>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</si>
  <si>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</si>
  <si>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</si>
  <si>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</si>
  <si>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</si>
  <si>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</si>
  <si>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</si>
  <si>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</si>
  <si>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</si>
  <si>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</si>
  <si>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</si>
  <si>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</si>
  <si>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</si>
  <si>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</si>
  <si>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</si>
  <si>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</si>
  <si>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</si>
  <si>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</si>
  <si>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</si>
  <si>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2020-07</t>
  </si>
  <si>
    <t>KiaCeed</t>
  </si>
  <si>
    <t>PRB-374</t>
  </si>
  <si>
    <t>95420</t>
  </si>
  <si>
    <t>Tőke Tamás</t>
  </si>
  <si>
    <t>1396</t>
  </si>
  <si>
    <t>5,7</t>
  </si>
  <si>
    <t>2020-07-01</t>
  </si>
  <si>
    <t>Hibajavítás</t>
  </si>
  <si>
    <t>Székesfehérvár Udvardi utca 1/A</t>
  </si>
  <si>
    <t>Mezőberény Kossuth tér 13.</t>
  </si>
  <si>
    <t>AKHB2092/K &amp; H BANK ZRT.</t>
  </si>
  <si>
    <t>C</t>
  </si>
  <si>
    <t>telephely/telephely</t>
  </si>
  <si>
    <t>Debrecen Füredi út 27.</t>
  </si>
  <si>
    <t>AKHB2072/K &amp; H BANK ZRT.</t>
  </si>
  <si>
    <t>Magán</t>
  </si>
  <si>
    <t>Magánhasználat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</si>
</sst>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topLeftCell="A70" zoomScale="110" zoomScaleNormal="110" workbookViewId="0">
      <selection activeCell="L106" sqref="L106"/>
    </sheetView>
  </sheetViews>
  <sheetFormatPr defaultRowHeight="12.75" x14ac:dyDescent="0.2"/>
  <cols>
    <col min="1" max="1" customWidth="true" style="1" width="9.42578125" collapsed="true"/>
    <col min="2" max="2" customWidth="true" style="22" width="19.7109375" collapsed="true"/>
    <col min="3" max="3" customWidth="true" style="1" width="14.140625" collapsed="true"/>
    <col min="4" max="4" customWidth="true" style="1" width="26.0" collapsed="true"/>
    <col min="5" max="5" customWidth="true" style="1" width="26.42578125" collapsed="true"/>
    <col min="6" max="6" bestFit="true" customWidth="true" style="1" width="27.28515625" collapsed="true"/>
    <col min="7" max="7" bestFit="true" customWidth="true" style="1" width="17.0" collapsed="true"/>
    <col min="8" max="9" bestFit="true" customWidth="true" style="1" width="12.28515625" collapsed="true"/>
    <col min="10" max="10" bestFit="true" customWidth="true" style="32" width="12.28515625" collapsed="true"/>
    <col min="11" max="16384" style="1" width="9.140625" collapsed="true"/>
  </cols>
  <sheetData>
    <row r="1" spans="1:13" ht="18.75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" customHeight="1" x14ac:dyDescent="0.25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25">
      <c r="A3" s="5" t="s">
        <v>18</v>
      </c>
      <c r="B3" s="6"/>
      <c r="C3" s="7" t="s">
        <v>29</v>
      </c>
      <c r="F3" s="5" t="s">
        <v>1</v>
      </c>
      <c r="G3" s="8" t="s">
        <v>33</v>
      </c>
      <c r="J3" s="31"/>
    </row>
    <row r="4" spans="1:13" s="5" customFormat="1" ht="15.75" x14ac:dyDescent="0.25">
      <c r="A4" s="5" t="s">
        <v>19</v>
      </c>
      <c r="B4" s="6"/>
      <c r="C4" s="8" t="s">
        <v>30</v>
      </c>
      <c r="D4" s="31" t="s">
        <v>32</v>
      </c>
      <c r="F4" s="5" t="s">
        <v>20</v>
      </c>
      <c r="G4" s="8" t="s">
        <v>34</v>
      </c>
      <c r="J4" s="31"/>
    </row>
    <row r="5" spans="1:13" s="5" customFormat="1" ht="15.75" x14ac:dyDescent="0.25">
      <c r="A5" s="5" t="s">
        <v>22</v>
      </c>
      <c r="B5" s="6"/>
      <c r="C5" s="8" t="s">
        <v>31</v>
      </c>
      <c r="F5" s="5" t="s">
        <v>2</v>
      </c>
      <c r="G5" s="8" t="str">
        <f>SUM(I10:I57)</f>
        <v>1249</v>
      </c>
      <c r="J5" s="31"/>
    </row>
    <row r="6" spans="1:13" s="5" customFormat="1" ht="15.75" x14ac:dyDescent="0.25">
      <c r="A6" s="5" t="s">
        <v>3</v>
      </c>
      <c r="B6" s="6"/>
      <c r="C6" s="8" t="str">
        <f>C5+G5</f>
        <v>95420</v>
      </c>
      <c r="F6" s="5" t="s">
        <v>4</v>
      </c>
      <c r="G6" s="9" t="e">
        <f>100*G7/G5</f>
        <v>#DIV/0!</v>
      </c>
      <c r="H6" s="27"/>
      <c r="I6" s="27"/>
      <c r="J6" s="33"/>
    </row>
    <row r="7" spans="1:13" s="5" customFormat="1" ht="15.75" x14ac:dyDescent="0.25">
      <c r="B7" s="6"/>
      <c r="F7" s="5" t="s">
        <v>21</v>
      </c>
      <c r="G7" s="30">
        <f>SUM(H10:H57)</f>
        <v>0</v>
      </c>
      <c r="H7" s="27"/>
      <c r="I7" s="27"/>
      <c r="J7" s="33"/>
    </row>
    <row r="8" spans="1:13" s="5" customFormat="1" ht="15.75" x14ac:dyDescent="0.25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75" x14ac:dyDescent="0.25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">
      <c r="A10" s="19">
        <v>1</v>
      </c>
      <c r="B10" s="25" t="s">
        <v>35</v>
      </c>
      <c r="C10" s="20" t="s">
        <v>36</v>
      </c>
      <c r="D10" s="20" t="s">
        <v>37</v>
      </c>
      <c r="E10" s="20" t="s">
        <v>38</v>
      </c>
      <c r="F10" s="21" t="s">
        <v>39</v>
      </c>
      <c r="G10" s="26" t="n">
        <f>IF(B10&lt;&gt;"",$C$5+I10,"")</f>
        <v>95674.0</v>
      </c>
      <c r="H10" s="21" t="n">
        <v>0.0</v>
      </c>
      <c r="I10" s="21" t="n">
        <v>254.0</v>
      </c>
      <c r="J10" s="19" t="s">
        <v>40</v>
      </c>
    </row>
    <row r="11" spans="1:13" x14ac:dyDescent="0.2">
      <c r="A11" s="19">
        <v>2</v>
      </c>
      <c r="B11" s="25" t="s">
        <v>35</v>
      </c>
      <c r="C11" s="20" t="s">
        <v>36</v>
      </c>
      <c r="D11" s="20" t="s">
        <v>38</v>
      </c>
      <c r="E11" s="20" t="s">
        <v>37</v>
      </c>
      <c r="F11" s="21" t="s">
        <v>41</v>
      </c>
      <c r="G11" s="26" t="n">
        <f>IF(B11&lt;&gt;"",G10+I11,"")</f>
        <v>95928.0</v>
      </c>
      <c r="H11" s="21" t="n">
        <v>0.0</v>
      </c>
      <c r="I11" s="21" t="n">
        <v>254.0</v>
      </c>
      <c r="J11" s="19" t="s">
        <v>40</v>
      </c>
    </row>
    <row r="12" spans="1:13" x14ac:dyDescent="0.2">
      <c r="A12" s="19">
        <v>3</v>
      </c>
      <c r="B12" s="25" t="s">
        <v>35</v>
      </c>
      <c r="C12" s="20" t="s">
        <v>36</v>
      </c>
      <c r="D12" s="20" t="s">
        <v>37</v>
      </c>
      <c r="E12" s="20" t="s">
        <v>42</v>
      </c>
      <c r="F12" s="21" t="s">
        <v>43</v>
      </c>
      <c r="G12" s="26" t="n">
        <f t="shared" ref="G12:G54" si="0">IF(B12&lt;&gt;"",G11+I12,"")</f>
        <v>96237.0</v>
      </c>
      <c r="H12" s="21" t="n">
        <v>0.0</v>
      </c>
      <c r="I12" s="21" t="n">
        <v>309.0</v>
      </c>
      <c r="J12" s="19" t="s">
        <v>40</v>
      </c>
      <c r="K12" s="43"/>
      <c r="L12" s="43"/>
      <c r="M12" s="43"/>
    </row>
    <row r="13" spans="1:13" x14ac:dyDescent="0.2">
      <c r="A13" s="19">
        <v>4</v>
      </c>
      <c r="B13" s="25" t="s">
        <v>35</v>
      </c>
      <c r="C13" s="20" t="s">
        <v>36</v>
      </c>
      <c r="D13" s="20" t="s">
        <v>42</v>
      </c>
      <c r="E13" s="20" t="s">
        <v>37</v>
      </c>
      <c r="F13" s="21" t="s">
        <v>41</v>
      </c>
      <c r="G13" s="26" t="n">
        <f t="shared" si="0"/>
        <v>96546.0</v>
      </c>
      <c r="H13" s="21" t="n">
        <v>0.0</v>
      </c>
      <c r="I13" s="21" t="n">
        <v>309.0</v>
      </c>
      <c r="J13" s="19" t="s">
        <v>40</v>
      </c>
      <c r="K13" s="43"/>
      <c r="L13" s="43"/>
      <c r="M13" s="44"/>
    </row>
    <row r="14" spans="1:13" x14ac:dyDescent="0.2">
      <c r="A14" s="19">
        <v>5</v>
      </c>
      <c r="B14" s="25" t="s">
        <v>35</v>
      </c>
      <c r="C14" s="20" t="s">
        <v>44</v>
      </c>
      <c r="D14" s="20" t="s">
        <v>45</v>
      </c>
      <c r="E14" s="20" t="s">
        <v>45</v>
      </c>
      <c r="F14" s="21" t="s">
        <v>45</v>
      </c>
      <c r="G14" s="26" t="n">
        <f t="shared" si="0"/>
        <v>96669.0</v>
      </c>
      <c r="H14" s="21" t="n">
        <v>0.0</v>
      </c>
      <c r="I14" s="21" t="n">
        <v>123.0</v>
      </c>
      <c r="J14" s="19" t="s">
        <v>23</v>
      </c>
    </row>
    <row r="15" spans="1:13" x14ac:dyDescent="0.2">
      <c r="A15" s="19">
        <v>6</v>
      </c>
      <c r="B15" s="25"/>
      <c r="C15" s="20"/>
      <c r="D15" s="20"/>
      <c r="E15" s="20"/>
      <c r="F15" s="21"/>
      <c r="G15" s="26" t="str">
        <f t="shared" si="0"/>
        <v/>
      </c>
      <c r="H15" s="21"/>
      <c r="I15" s="21"/>
      <c r="J15" s="19"/>
    </row>
    <row r="16" spans="1:13" x14ac:dyDescent="0.2">
      <c r="A16" s="19">
        <v>7</v>
      </c>
      <c r="B16" s="25"/>
      <c r="C16" s="20"/>
      <c r="D16" s="20"/>
      <c r="E16" s="20"/>
      <c r="F16" s="21"/>
      <c r="G16" s="26" t="str">
        <f t="shared" si="0"/>
        <v/>
      </c>
      <c r="H16" s="21"/>
      <c r="I16" s="21"/>
      <c r="J16" s="19"/>
    </row>
    <row r="17" spans="1:10" x14ac:dyDescent="0.2">
      <c r="A17" s="19">
        <v>8</v>
      </c>
      <c r="B17" s="25"/>
      <c r="C17" s="20"/>
      <c r="D17" s="20"/>
      <c r="E17" s="20"/>
      <c r="F17" s="21"/>
      <c r="G17" s="26" t="str">
        <f t="shared" si="0"/>
        <v/>
      </c>
      <c r="H17" s="21"/>
      <c r="I17" s="21"/>
      <c r="J17" s="19"/>
    </row>
    <row r="18" spans="1:10" x14ac:dyDescent="0.2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>
        <f>SUM(I10:I105)</f>
        <v>0</v>
      </c>
      <c r="M103" s="36"/>
    </row>
    <row r="104" spans="1:13" x14ac:dyDescent="0.2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>
        <f>SUMIF(J10:J105,"M",I10:I105)</f>
        <v>0</v>
      </c>
      <c r="M104" s="39" t="e">
        <f>L104/L103</f>
        <v>#DIV/0!</v>
      </c>
    </row>
    <row r="105" spans="1:13" x14ac:dyDescent="0.2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>
        <f>C5+L103</f>
        <v>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Tamas</cp:lastModifiedBy>
  <cp:lastPrinted>2020-06-15T12:01:05Z</cp:lastPrinted>
  <dcterms:modified xsi:type="dcterms:W3CDTF">2020-07-12T19:55:13Z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