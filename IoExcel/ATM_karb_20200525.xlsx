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\\MINIX\dokumentumok\Tamás\Diebold\2020 Diebold\"/>
    </mc:Choice>
  </mc:AlternateContent>
  <xr:revisionPtr revIDLastSave="0" documentId="13_ncr:1_{ECA071BD-8809-4D17-BB5F-0A991E938192}" xr6:coauthVersionLast="44" xr6:coauthVersionMax="44" xr10:uidLastSave="{00000000-0000-0000-0000-000000000000}"/>
  <bookViews>
    <workbookView xWindow="-19320" yWindow="-60" windowWidth="19440" windowHeight="15000" tabRatio="723" activeTab="5" xr2:uid="{00000000-000D-0000-FFFF-FFFF00000000}"/>
  </bookViews>
  <sheets>
    <sheet name="PIVOT" sheetId="3" r:id="rId1"/>
    <sheet name="PIVOT_Karb.állás" sheetId="5" r:id="rId2"/>
    <sheet name="Elmaradás ügyfelenként" sheetId="6" r:id="rId3"/>
    <sheet name="Elmaradás technikusonként" sheetId="8" r:id="rId4"/>
    <sheet name="Ügyfelenként" sheetId="10" r:id="rId5"/>
    <sheet name="ADATOK" sheetId="1" r:id="rId6"/>
    <sheet name="Szerz.adatok" sheetId="2" state="hidden" r:id="rId7"/>
  </sheets>
  <externalReferences>
    <externalReference r:id="rId8"/>
  </externalReferenc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" i="1"/>
  <c r="M2266" i="1" l="1"/>
  <c r="M2265" i="1"/>
  <c r="M2264" i="1"/>
  <c r="M2263" i="1"/>
  <c r="M2262" i="1"/>
  <c r="M2260" i="1"/>
  <c r="M2261" i="1"/>
  <c r="M2259" i="1"/>
  <c r="M2258" i="1"/>
  <c r="M2257" i="1"/>
  <c r="M2255" i="1"/>
  <c r="M2256" i="1"/>
  <c r="M2254" i="1"/>
  <c r="M2253" i="1"/>
  <c r="M2252" i="1"/>
  <c r="M2250" i="1"/>
  <c r="M2251" i="1"/>
  <c r="M2249" i="1"/>
  <c r="M2247" i="1"/>
  <c r="M2248" i="1"/>
  <c r="E12" i="5"/>
  <c r="E13" i="5"/>
  <c r="E4" i="5"/>
  <c r="E16" i="5"/>
  <c r="E20" i="5"/>
  <c r="E6" i="5"/>
  <c r="E11" i="5"/>
  <c r="E21" i="5"/>
  <c r="E23" i="5"/>
  <c r="E5" i="5"/>
  <c r="E17" i="5"/>
  <c r="E9" i="5"/>
  <c r="E8" i="5"/>
  <c r="E14" i="5"/>
  <c r="E10" i="5"/>
  <c r="E7" i="5"/>
  <c r="E15" i="5"/>
  <c r="E19" i="5"/>
  <c r="E18" i="5"/>
  <c r="E22" i="5"/>
  <c r="N2249" i="1" l="1"/>
  <c r="N2251" i="1"/>
  <c r="N2256" i="1"/>
  <c r="N2260" i="1"/>
  <c r="N2247" i="1"/>
  <c r="N2255" i="1"/>
  <c r="N2262" i="1"/>
  <c r="N2263" i="1"/>
  <c r="N2248" i="1"/>
  <c r="N2261" i="1"/>
  <c r="N2254" i="1"/>
  <c r="N2253" i="1"/>
  <c r="N2264" i="1"/>
  <c r="N2250" i="1"/>
  <c r="N2257" i="1"/>
  <c r="N2258" i="1"/>
  <c r="N2259" i="1"/>
  <c r="N2265" i="1"/>
  <c r="N2266" i="1"/>
  <c r="N2252" i="1"/>
  <c r="M2246" i="1" l="1"/>
  <c r="M2242" i="1"/>
  <c r="M2243" i="1"/>
  <c r="M2244" i="1"/>
  <c r="M2245" i="1"/>
  <c r="M2241" i="1"/>
  <c r="M2240" i="1"/>
  <c r="M2239" i="1"/>
  <c r="M2238" i="1"/>
  <c r="N2242" i="1" l="1"/>
  <c r="N2243" i="1"/>
  <c r="N2244" i="1"/>
  <c r="N2245" i="1"/>
  <c r="N2246" i="1"/>
  <c r="N2238" i="1"/>
  <c r="N2239" i="1"/>
  <c r="N2241" i="1"/>
  <c r="N2240" i="1"/>
  <c r="M2235" i="1" l="1"/>
  <c r="M2236" i="1"/>
  <c r="M2237" i="1"/>
  <c r="M2234" i="1"/>
  <c r="M2231" i="1"/>
  <c r="M2232" i="1"/>
  <c r="M2233" i="1"/>
  <c r="E25" i="10"/>
  <c r="N2237" i="1" l="1"/>
  <c r="N2233" i="1"/>
  <c r="N2234" i="1"/>
  <c r="N2232" i="1"/>
  <c r="N2236" i="1"/>
  <c r="N2231" i="1"/>
  <c r="N2235" i="1"/>
  <c r="M2229" i="1"/>
  <c r="M2230" i="1"/>
  <c r="M2228" i="1"/>
  <c r="M2227" i="1"/>
  <c r="M2226" i="1"/>
  <c r="M2224" i="1"/>
  <c r="M2225" i="1"/>
  <c r="M2223" i="1"/>
  <c r="M2222" i="1"/>
  <c r="M2219" i="1"/>
  <c r="M2220" i="1"/>
  <c r="M2221" i="1"/>
  <c r="M2218" i="1"/>
  <c r="M2217" i="1"/>
  <c r="M2216" i="1"/>
  <c r="M2215" i="1"/>
  <c r="M2214" i="1"/>
  <c r="M2213" i="1"/>
  <c r="M2212" i="1"/>
  <c r="M2211" i="1"/>
  <c r="M2210" i="1"/>
  <c r="N2219" i="1" l="1"/>
  <c r="N2224" i="1"/>
  <c r="N2211" i="1"/>
  <c r="N2215" i="1"/>
  <c r="N2218" i="1"/>
  <c r="N2226" i="1"/>
  <c r="N2227" i="1"/>
  <c r="N2228" i="1"/>
  <c r="N2210" i="1"/>
  <c r="N2212" i="1"/>
  <c r="N2213" i="1"/>
  <c r="N2214" i="1"/>
  <c r="N2216" i="1"/>
  <c r="N2217" i="1"/>
  <c r="N2221" i="1"/>
  <c r="N2222" i="1"/>
  <c r="N2223" i="1"/>
  <c r="N2220" i="1"/>
  <c r="N2225" i="1"/>
  <c r="N2230" i="1"/>
  <c r="N2229" i="1"/>
  <c r="M2209" i="1" l="1"/>
  <c r="M2205" i="1"/>
  <c r="M2206" i="1"/>
  <c r="M2207" i="1"/>
  <c r="M2208" i="1"/>
  <c r="M2204" i="1"/>
  <c r="M2195" i="1"/>
  <c r="M2196" i="1"/>
  <c r="M2197" i="1"/>
  <c r="M2198" i="1"/>
  <c r="M2199" i="1"/>
  <c r="M2200" i="1"/>
  <c r="M2201" i="1"/>
  <c r="M2202" i="1"/>
  <c r="M2203" i="1"/>
  <c r="M2188" i="1"/>
  <c r="M2189" i="1"/>
  <c r="M2190" i="1"/>
  <c r="M2191" i="1"/>
  <c r="M2192" i="1"/>
  <c r="M2193" i="1"/>
  <c r="M2194" i="1"/>
  <c r="M2186" i="1"/>
  <c r="M2187" i="1"/>
  <c r="M2185" i="1"/>
  <c r="M2184" i="1"/>
  <c r="M2183" i="1"/>
  <c r="M2182" i="1"/>
  <c r="M2181" i="1"/>
  <c r="M2180" i="1"/>
  <c r="M2176" i="1"/>
  <c r="M2177" i="1"/>
  <c r="M2178" i="1"/>
  <c r="M2179" i="1"/>
  <c r="M2172" i="1"/>
  <c r="M2173" i="1"/>
  <c r="M2174" i="1"/>
  <c r="M2175" i="1"/>
  <c r="M2171" i="1"/>
  <c r="M2170" i="1"/>
  <c r="M2169" i="1"/>
  <c r="M2168" i="1"/>
  <c r="N2184" i="1" l="1"/>
  <c r="N2209" i="1"/>
  <c r="N2204" i="1"/>
  <c r="N2182" i="1"/>
  <c r="N2181" i="1"/>
  <c r="N2185" i="1"/>
  <c r="N2187" i="1"/>
  <c r="N2170" i="1"/>
  <c r="N2180" i="1"/>
  <c r="N2186" i="1"/>
  <c r="N2168" i="1"/>
  <c r="N2171" i="1"/>
  <c r="N2173" i="1"/>
  <c r="N2177" i="1"/>
  <c r="N2183" i="1"/>
  <c r="N2201" i="1"/>
  <c r="N2197" i="1"/>
  <c r="N2193" i="1"/>
  <c r="N2189" i="1"/>
  <c r="N2205" i="1"/>
  <c r="N2172" i="1"/>
  <c r="N2176" i="1"/>
  <c r="N2200" i="1"/>
  <c r="N2196" i="1"/>
  <c r="N2192" i="1"/>
  <c r="N2188" i="1"/>
  <c r="N2208" i="1"/>
  <c r="N2169" i="1"/>
  <c r="N2175" i="1"/>
  <c r="N2179" i="1"/>
  <c r="N2203" i="1"/>
  <c r="N2199" i="1"/>
  <c r="N2195" i="1"/>
  <c r="N2191" i="1"/>
  <c r="N2207" i="1"/>
  <c r="N2174" i="1"/>
  <c r="N2178" i="1"/>
  <c r="N2202" i="1"/>
  <c r="N2198" i="1"/>
  <c r="N2194" i="1"/>
  <c r="N2190" i="1"/>
  <c r="N2206" i="1"/>
  <c r="M2165" i="1" l="1"/>
  <c r="N2165" i="1" s="1"/>
  <c r="M2166" i="1"/>
  <c r="N2166" i="1" s="1"/>
  <c r="M2167" i="1"/>
  <c r="N2167" i="1" s="1"/>
  <c r="M2164" i="1"/>
  <c r="N2164" i="1" s="1"/>
  <c r="M2163" i="1"/>
  <c r="N2163" i="1" s="1"/>
  <c r="M2162" i="1"/>
  <c r="N2162" i="1" s="1"/>
  <c r="M2161" i="1"/>
  <c r="N2161" i="1" s="1"/>
  <c r="M2160" i="1"/>
  <c r="N2160" i="1" s="1"/>
  <c r="M2159" i="1"/>
  <c r="N2159" i="1" s="1"/>
  <c r="M2158" i="1"/>
  <c r="N2158" i="1" s="1"/>
  <c r="M2157" i="1" l="1"/>
  <c r="N2157" i="1" s="1"/>
  <c r="M2156" i="1"/>
  <c r="N2156" i="1" s="1"/>
  <c r="M2155" i="1"/>
  <c r="N2155" i="1" s="1"/>
  <c r="M2154" i="1"/>
  <c r="N2154" i="1" s="1"/>
  <c r="M2153" i="1"/>
  <c r="N2153" i="1" s="1"/>
  <c r="M2152" i="1"/>
  <c r="N2152" i="1" s="1"/>
  <c r="M2151" i="1"/>
  <c r="N2151" i="1" s="1"/>
  <c r="M2150" i="1"/>
  <c r="N2150" i="1" s="1"/>
  <c r="M2149" i="1"/>
  <c r="N2149" i="1" s="1"/>
  <c r="M2148" i="1"/>
  <c r="N2148" i="1" s="1"/>
  <c r="M2147" i="1"/>
  <c r="N2147" i="1" s="1"/>
  <c r="M2146" i="1"/>
  <c r="N2146" i="1" s="1"/>
  <c r="M2145" i="1"/>
  <c r="N2145" i="1" s="1"/>
  <c r="M2144" i="1"/>
  <c r="N2144" i="1" s="1"/>
  <c r="M2143" i="1"/>
  <c r="N2143" i="1" s="1"/>
  <c r="M2142" i="1"/>
  <c r="N2142" i="1" s="1"/>
  <c r="M2141" i="1"/>
  <c r="N2141" i="1" s="1"/>
  <c r="M2140" i="1"/>
  <c r="N2140" i="1" s="1"/>
  <c r="M2139" i="1"/>
  <c r="N2139" i="1" s="1"/>
  <c r="M2138" i="1"/>
  <c r="N2138" i="1" s="1"/>
  <c r="M2137" i="1"/>
  <c r="N2137" i="1" s="1"/>
  <c r="M2136" i="1"/>
  <c r="N2136" i="1" s="1"/>
  <c r="M2133" i="1"/>
  <c r="N2133" i="1" s="1"/>
  <c r="M2134" i="1"/>
  <c r="N2134" i="1" s="1"/>
  <c r="M2135" i="1"/>
  <c r="N2135" i="1" s="1"/>
  <c r="M2131" i="1"/>
  <c r="N2131" i="1" s="1"/>
  <c r="M2132" i="1"/>
  <c r="N2132" i="1" s="1"/>
  <c r="M2130" i="1"/>
  <c r="N2130" i="1" s="1"/>
  <c r="M2129" i="1"/>
  <c r="N2129" i="1" s="1"/>
  <c r="M2128" i="1"/>
  <c r="N2128" i="1" s="1"/>
  <c r="M2127" i="1"/>
  <c r="N2127" i="1" s="1"/>
  <c r="M2126" i="1"/>
  <c r="N2126" i="1" s="1"/>
  <c r="M2124" i="1"/>
  <c r="N2124" i="1" s="1"/>
  <c r="M2125" i="1"/>
  <c r="N2125" i="1" s="1"/>
  <c r="M2123" i="1"/>
  <c r="N2123" i="1" s="1"/>
  <c r="M2122" i="1"/>
  <c r="N2122" i="1" s="1"/>
  <c r="M2121" i="1"/>
  <c r="N2121" i="1" s="1"/>
  <c r="M2120" i="1"/>
  <c r="N2120" i="1" s="1"/>
  <c r="M2119" i="1"/>
  <c r="N2119" i="1" s="1"/>
  <c r="M2118" i="1"/>
  <c r="N2118" i="1" s="1"/>
  <c r="M2117" i="1"/>
  <c r="N2117" i="1" s="1"/>
  <c r="M2116" i="1"/>
  <c r="N2116" i="1" s="1"/>
  <c r="M2115" i="1"/>
  <c r="N2115" i="1" s="1"/>
  <c r="M2114" i="1"/>
  <c r="N2114" i="1" s="1"/>
  <c r="M2113" i="1"/>
  <c r="N2113" i="1" s="1"/>
  <c r="M2" i="1" l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Diebold, Incorporated</author>
  </authors>
  <commentList>
    <comment ref="M1" authorId="0" shapeId="0" xr:uid="{00000000-0006-0000-0500-000001000000}">
      <text>
        <r>
          <rPr>
            <b/>
            <sz val="9"/>
            <color indexed="81"/>
            <rFont val="Segoe UI"/>
            <family val="2"/>
            <charset val="238"/>
          </rPr>
          <t>Diebold, Incorporated:</t>
        </r>
        <r>
          <rPr>
            <sz val="9"/>
            <color indexed="81"/>
            <rFont val="Segoe UI"/>
            <family val="2"/>
            <charset val="238"/>
          </rPr>
          <t xml:space="preserve">
2018-as karbantartások</t>
        </r>
      </text>
    </comment>
  </commentList>
</comments>
</file>

<file path=xl/sharedStrings.xml><?xml version="1.0" encoding="utf-8"?>
<sst xmlns="http://schemas.openxmlformats.org/spreadsheetml/2006/main" count="20537" uniqueCount="8201">
  <si>
    <t>Ügyfél</t>
  </si>
  <si>
    <t>ATM azonosító</t>
  </si>
  <si>
    <t>ATM típus</t>
  </si>
  <si>
    <t>ATM gyári száma</t>
  </si>
  <si>
    <t>Karb./év</t>
  </si>
  <si>
    <t>Karb./akt.év</t>
  </si>
  <si>
    <t>ERSTE BANK HUNGARY Zrt</t>
  </si>
  <si>
    <t>B3 Takarék Szövetkezet</t>
  </si>
  <si>
    <t>OTP BANK Nyrt.</t>
  </si>
  <si>
    <t>Pannon Takarék Bank Zrt</t>
  </si>
  <si>
    <t>K &amp; H BANK ZRT.</t>
  </si>
  <si>
    <t>M7 TAKARÉK Szövetkezet</t>
  </si>
  <si>
    <t>UniCredit Bank Hungary Zrt.</t>
  </si>
  <si>
    <t>Tiszántúli Takarék</t>
  </si>
  <si>
    <t>CENTRÁL TAKARÉK Szövetkezet</t>
  </si>
  <si>
    <t>NHB Növekedési Hitel Bank Zrt.</t>
  </si>
  <si>
    <t>Euronet Banktechnikai Szolgáltató K</t>
  </si>
  <si>
    <t>Korona Takarék Takarékszövetkezet</t>
  </si>
  <si>
    <t>3A Takarékszövetkezet</t>
  </si>
  <si>
    <t>Dél Takarék Szövetkezet</t>
  </si>
  <si>
    <t>CIB Bank Zrt</t>
  </si>
  <si>
    <t>Nyugat Takarék Szövetkezet</t>
  </si>
  <si>
    <t>MagNet Magyar Közösségi Bank Zrt.</t>
  </si>
  <si>
    <t>Duna Takarék Bank Zrt.</t>
  </si>
  <si>
    <t>Sopron Bank Zrt.</t>
  </si>
  <si>
    <t>Fókusz Takarékszövetkezet</t>
  </si>
  <si>
    <t>Oberbank AG Magyarországi Fióktelep</t>
  </si>
  <si>
    <t>PÁTRIA Takarékszövetkezet</t>
  </si>
  <si>
    <t>Békés Takarék Szövetkezet</t>
  </si>
  <si>
    <t>Hungária Takarék Takarékszövetkezet</t>
  </si>
  <si>
    <t>Mohácsi Takarék Bank Zrt.</t>
  </si>
  <si>
    <t>Bóly és Vidéke Takarékszövetkezet</t>
  </si>
  <si>
    <t>S02006</t>
  </si>
  <si>
    <t>S04006</t>
  </si>
  <si>
    <t>S6T57704</t>
  </si>
  <si>
    <t>DBD82220083</t>
  </si>
  <si>
    <t>S08056</t>
  </si>
  <si>
    <t>DBD82220140</t>
  </si>
  <si>
    <t>DBD82220197</t>
  </si>
  <si>
    <t>DBD82220163</t>
  </si>
  <si>
    <t>CASH2277</t>
  </si>
  <si>
    <t>AKHB2442</t>
  </si>
  <si>
    <t>S6T66903</t>
  </si>
  <si>
    <t>CA38_ENA</t>
  </si>
  <si>
    <t>CA138</t>
  </si>
  <si>
    <t>S02072</t>
  </si>
  <si>
    <t>S03020</t>
  </si>
  <si>
    <t>CASH5105</t>
  </si>
  <si>
    <t>S6T67011</t>
  </si>
  <si>
    <t>S6T59901</t>
  </si>
  <si>
    <t>S02032</t>
  </si>
  <si>
    <t>S01198</t>
  </si>
  <si>
    <t>AKHK2638</t>
  </si>
  <si>
    <t>S6T64710</t>
  </si>
  <si>
    <t>S6T58108</t>
  </si>
  <si>
    <t>S06060</t>
  </si>
  <si>
    <t>S6T75003</t>
  </si>
  <si>
    <t>S01161</t>
  </si>
  <si>
    <t>S02031</t>
  </si>
  <si>
    <t>AKHK2255</t>
  </si>
  <si>
    <t>S08041</t>
  </si>
  <si>
    <t>S6T55603</t>
  </si>
  <si>
    <t>S6T57101</t>
  </si>
  <si>
    <t>AKHB2725</t>
  </si>
  <si>
    <t>S6T63302</t>
  </si>
  <si>
    <t>S6T67907</t>
  </si>
  <si>
    <t>CA08_ENA</t>
  </si>
  <si>
    <t>CIB - ATM620</t>
  </si>
  <si>
    <t>S01215_ENA</t>
  </si>
  <si>
    <t>CIB - ATM606</t>
  </si>
  <si>
    <t>CA47_ENA</t>
  </si>
  <si>
    <t>S6T63212</t>
  </si>
  <si>
    <t>AKHB4415</t>
  </si>
  <si>
    <t>AKHB2716</t>
  </si>
  <si>
    <t>DBD82220057</t>
  </si>
  <si>
    <t>S04022</t>
  </si>
  <si>
    <t>S6T57102</t>
  </si>
  <si>
    <t>CIB - ATM010</t>
  </si>
  <si>
    <t>S08034_ENA</t>
  </si>
  <si>
    <t>EDHU0182</t>
  </si>
  <si>
    <t>CA58</t>
  </si>
  <si>
    <t>CA59_ENA</t>
  </si>
  <si>
    <t>S08039</t>
  </si>
  <si>
    <t>AKHB2605</t>
  </si>
  <si>
    <t>DBD82220037</t>
  </si>
  <si>
    <t>AKHK2155</t>
  </si>
  <si>
    <t>EDHU0491</t>
  </si>
  <si>
    <t>EDHU0410</t>
  </si>
  <si>
    <t>MGND1001</t>
  </si>
  <si>
    <t>EDHU0417</t>
  </si>
  <si>
    <t>S6T68504</t>
  </si>
  <si>
    <t>DBD82220191</t>
  </si>
  <si>
    <t>S09130</t>
  </si>
  <si>
    <t>AKHB2972</t>
  </si>
  <si>
    <t>S6T58601</t>
  </si>
  <si>
    <t>AKHK2652</t>
  </si>
  <si>
    <t>DBD82220194</t>
  </si>
  <si>
    <t>CIB - ATM013</t>
  </si>
  <si>
    <t>S02047</t>
  </si>
  <si>
    <t>CA63_ENA</t>
  </si>
  <si>
    <t>AKHK2755</t>
  </si>
  <si>
    <t>CASH2067</t>
  </si>
  <si>
    <t>S6T68515</t>
  </si>
  <si>
    <t>CA117</t>
  </si>
  <si>
    <t>AKHB2197</t>
  </si>
  <si>
    <t>S6T17606</t>
  </si>
  <si>
    <t>S06058</t>
  </si>
  <si>
    <t>EDHU0502</t>
  </si>
  <si>
    <t>AKHB2488</t>
  </si>
  <si>
    <t>CIB - ATM639</t>
  </si>
  <si>
    <t>S09811</t>
  </si>
  <si>
    <t>S6T60603</t>
  </si>
  <si>
    <t>S6T52508</t>
  </si>
  <si>
    <t>S6T64404</t>
  </si>
  <si>
    <t>CIB - ATM062</t>
  </si>
  <si>
    <t>CIB - ATM028</t>
  </si>
  <si>
    <t>AKHK2646</t>
  </si>
  <si>
    <t>S6T17612</t>
  </si>
  <si>
    <t>S6T58609</t>
  </si>
  <si>
    <t>DBD82220091</t>
  </si>
  <si>
    <t>S6T65702</t>
  </si>
  <si>
    <t>CA174_ENA</t>
  </si>
  <si>
    <t>S6T50806</t>
  </si>
  <si>
    <t>CIB - ATM027</t>
  </si>
  <si>
    <t>S09412_ENA</t>
  </si>
  <si>
    <t>CIB - ATM694</t>
  </si>
  <si>
    <t>S6T68516</t>
  </si>
  <si>
    <t>S09201</t>
  </si>
  <si>
    <t>S6T58105</t>
  </si>
  <si>
    <t>CASH2209</t>
  </si>
  <si>
    <t>S6T50833</t>
  </si>
  <si>
    <t>CIB - ATM139</t>
  </si>
  <si>
    <t>S6T64413</t>
  </si>
  <si>
    <t>MGND0101</t>
  </si>
  <si>
    <t>CIB - ATM638</t>
  </si>
  <si>
    <t>S6T57803</t>
  </si>
  <si>
    <t>S06069</t>
  </si>
  <si>
    <t>S6T50823</t>
  </si>
  <si>
    <t>AKHK2635</t>
  </si>
  <si>
    <t>S6T72901</t>
  </si>
  <si>
    <t>S6T18402</t>
  </si>
  <si>
    <t>CA28_ENA</t>
  </si>
  <si>
    <t>S02068</t>
  </si>
  <si>
    <t>S06051</t>
  </si>
  <si>
    <t>CASH2202</t>
  </si>
  <si>
    <t>S09112_ENA</t>
  </si>
  <si>
    <t>S6T60620</t>
  </si>
  <si>
    <t>S03006_ENA</t>
  </si>
  <si>
    <t>S09316</t>
  </si>
  <si>
    <t>AKHB2819</t>
  </si>
  <si>
    <t>S6T59803</t>
  </si>
  <si>
    <t>S6T64406</t>
  </si>
  <si>
    <t>S09304</t>
  </si>
  <si>
    <t>DBD82220052</t>
  </si>
  <si>
    <t>MGND1501</t>
  </si>
  <si>
    <t>S09134_ENA</t>
  </si>
  <si>
    <t>S01217</t>
  </si>
  <si>
    <t>S01218_ENA</t>
  </si>
  <si>
    <t>DBD82220073</t>
  </si>
  <si>
    <t>DBD82220027</t>
  </si>
  <si>
    <t>S02007</t>
  </si>
  <si>
    <t>CASH2244</t>
  </si>
  <si>
    <t>AKHK4323</t>
  </si>
  <si>
    <t>DBD82220098</t>
  </si>
  <si>
    <t>S6T72701</t>
  </si>
  <si>
    <t>CASH2563</t>
  </si>
  <si>
    <t>CIB - ATM609</t>
  </si>
  <si>
    <t>DBD82220179</t>
  </si>
  <si>
    <t>DBD82220184</t>
  </si>
  <si>
    <t>S6T18405</t>
  </si>
  <si>
    <t>S02073</t>
  </si>
  <si>
    <t>CIB - ATM641</t>
  </si>
  <si>
    <t>S6T18403</t>
  </si>
  <si>
    <t>CA186</t>
  </si>
  <si>
    <t>S6T72704</t>
  </si>
  <si>
    <t>S02078</t>
  </si>
  <si>
    <t>AKHK4452</t>
  </si>
  <si>
    <t>CIB - ATM605</t>
  </si>
  <si>
    <t>S08033_ENA</t>
  </si>
  <si>
    <t>S03004</t>
  </si>
  <si>
    <t>S04015</t>
  </si>
  <si>
    <t>DBD82220013</t>
  </si>
  <si>
    <t>S01136</t>
  </si>
  <si>
    <t>AKHB2736</t>
  </si>
  <si>
    <t>CA203</t>
  </si>
  <si>
    <t>CIB - ATM672</t>
  </si>
  <si>
    <t>S6T53203</t>
  </si>
  <si>
    <t>AKHB2796</t>
  </si>
  <si>
    <t>CA107</t>
  </si>
  <si>
    <t>DBD82220079</t>
  </si>
  <si>
    <t>S6T60609</t>
  </si>
  <si>
    <t>CASH2320</t>
  </si>
  <si>
    <t>CA48</t>
  </si>
  <si>
    <t>DBD82220017</t>
  </si>
  <si>
    <t>AKHK2421</t>
  </si>
  <si>
    <t>CA170</t>
  </si>
  <si>
    <t>DBD82220200</t>
  </si>
  <si>
    <t>CIB - ATM123</t>
  </si>
  <si>
    <t>AKHB2720</t>
  </si>
  <si>
    <t>AKHB4632</t>
  </si>
  <si>
    <t>S04048</t>
  </si>
  <si>
    <t>S6T57809</t>
  </si>
  <si>
    <t>S01193</t>
  </si>
  <si>
    <t>CIB - ATM693</t>
  </si>
  <si>
    <t>S6T56902</t>
  </si>
  <si>
    <t>EDHU0595</t>
  </si>
  <si>
    <t>S6T17602</t>
  </si>
  <si>
    <t>CA16_ENA</t>
  </si>
  <si>
    <t>CA36</t>
  </si>
  <si>
    <t>CA90_ENA</t>
  </si>
  <si>
    <t>S06016</t>
  </si>
  <si>
    <t>S01079_ENA</t>
  </si>
  <si>
    <t>CA69_ENA</t>
  </si>
  <si>
    <t>S6T64801</t>
  </si>
  <si>
    <t>CIB - ATM084</t>
  </si>
  <si>
    <t>AKHK2518</t>
  </si>
  <si>
    <t>S6T57801</t>
  </si>
  <si>
    <t>AKHB2925</t>
  </si>
  <si>
    <t>S06030_ENA</t>
  </si>
  <si>
    <t>DBD82220029</t>
  </si>
  <si>
    <t>CA142</t>
  </si>
  <si>
    <t>CA187</t>
  </si>
  <si>
    <t>S6T73906</t>
  </si>
  <si>
    <t>AKHK2930</t>
  </si>
  <si>
    <t>S06072</t>
  </si>
  <si>
    <t>AKHB4424</t>
  </si>
  <si>
    <t>S6T59524</t>
  </si>
  <si>
    <t>S6T65106</t>
  </si>
  <si>
    <t>CIB - ATM648</t>
  </si>
  <si>
    <t>CASH2083</t>
  </si>
  <si>
    <t>CA67</t>
  </si>
  <si>
    <t>S01099_ENA</t>
  </si>
  <si>
    <t>S6T58631</t>
  </si>
  <si>
    <t>S6T65712</t>
  </si>
  <si>
    <t>MGND2001</t>
  </si>
  <si>
    <t>CIB - ATM670</t>
  </si>
  <si>
    <t>AKHB2974</t>
  </si>
  <si>
    <t>CA42</t>
  </si>
  <si>
    <t>EDHU0380</t>
  </si>
  <si>
    <t>S6T58615</t>
  </si>
  <si>
    <t>S6T59003</t>
  </si>
  <si>
    <t>CA52_ENA</t>
  </si>
  <si>
    <t>S08048</t>
  </si>
  <si>
    <t>CASH2231</t>
  </si>
  <si>
    <t>AKHK2674</t>
  </si>
  <si>
    <t>CASH2549</t>
  </si>
  <si>
    <t>DBD82220113</t>
  </si>
  <si>
    <t>CASH2210</t>
  </si>
  <si>
    <t>S6T68508</t>
  </si>
  <si>
    <t>S6T72702</t>
  </si>
  <si>
    <t>S6T59205</t>
  </si>
  <si>
    <t>S6T63205</t>
  </si>
  <si>
    <t>CIB - ATM668</t>
  </si>
  <si>
    <t>S6T53205</t>
  </si>
  <si>
    <t>S6T68201</t>
  </si>
  <si>
    <t>DBD82220175</t>
  </si>
  <si>
    <t>S09308</t>
  </si>
  <si>
    <t>DBD82220190</t>
  </si>
  <si>
    <t>S6T57602</t>
  </si>
  <si>
    <t>CA158</t>
  </si>
  <si>
    <t>AKHK2926</t>
  </si>
  <si>
    <t>CA31</t>
  </si>
  <si>
    <t>CIB - ATM072</t>
  </si>
  <si>
    <t>S01175</t>
  </si>
  <si>
    <t>AKHB2820</t>
  </si>
  <si>
    <t>AKHB2722</t>
  </si>
  <si>
    <t>S6T65113</t>
  </si>
  <si>
    <t>S6T50402</t>
  </si>
  <si>
    <t>CIB - ATM636</t>
  </si>
  <si>
    <t>AKHB2161</t>
  </si>
  <si>
    <t>S08046</t>
  </si>
  <si>
    <t>AKHB2715</t>
  </si>
  <si>
    <t>AKHB2985</t>
  </si>
  <si>
    <t>S6T64811</t>
  </si>
  <si>
    <t>S01012</t>
  </si>
  <si>
    <t>AKHB2734</t>
  </si>
  <si>
    <t>CA104_ENA</t>
  </si>
  <si>
    <t>DBD82220156</t>
  </si>
  <si>
    <t>CASH2283</t>
  </si>
  <si>
    <t>S6T60612</t>
  </si>
  <si>
    <t>S6T63223</t>
  </si>
  <si>
    <t>S6T17613</t>
  </si>
  <si>
    <t>S02003</t>
  </si>
  <si>
    <t>S6T50395</t>
  </si>
  <si>
    <t>S6T50822</t>
  </si>
  <si>
    <t>CIB - ATM031</t>
  </si>
  <si>
    <t>DBD82220055</t>
  </si>
  <si>
    <t>S6T57811</t>
  </si>
  <si>
    <t>CASH2535</t>
  </si>
  <si>
    <t>S6T73605</t>
  </si>
  <si>
    <t>CA182</t>
  </si>
  <si>
    <t>S6T67804</t>
  </si>
  <si>
    <t>AKHB2139</t>
  </si>
  <si>
    <t>AKHK2306</t>
  </si>
  <si>
    <t>S09309</t>
  </si>
  <si>
    <t>S01181</t>
  </si>
  <si>
    <t>S03054</t>
  </si>
  <si>
    <t>AKHB2975</t>
  </si>
  <si>
    <t>S01177</t>
  </si>
  <si>
    <t>S6T57807</t>
  </si>
  <si>
    <t>S6T65208</t>
  </si>
  <si>
    <t>DBD82220135</t>
  </si>
  <si>
    <t>S6T73612</t>
  </si>
  <si>
    <t>CIB - ATM011</t>
  </si>
  <si>
    <t>AKHK4462</t>
  </si>
  <si>
    <t>DBD82220031</t>
  </si>
  <si>
    <t>S03061</t>
  </si>
  <si>
    <t>S02074</t>
  </si>
  <si>
    <t>S06076</t>
  </si>
  <si>
    <t>CASH2130</t>
  </si>
  <si>
    <t>DBD82220024</t>
  </si>
  <si>
    <t>S6T62003</t>
  </si>
  <si>
    <t>S6T74009</t>
  </si>
  <si>
    <t>DBD82220078</t>
  </si>
  <si>
    <t>S01187</t>
  </si>
  <si>
    <t>CA79_ENA</t>
  </si>
  <si>
    <t>S6T50805</t>
  </si>
  <si>
    <t>CASH2085</t>
  </si>
  <si>
    <t>S04054_ENA</t>
  </si>
  <si>
    <t>S6T71818_BZ</t>
  </si>
  <si>
    <t>S6T56906</t>
  </si>
  <si>
    <t>S6T64708</t>
  </si>
  <si>
    <t>EDHU0399</t>
  </si>
  <si>
    <t>AKHK4330</t>
  </si>
  <si>
    <t>DBD82220074</t>
  </si>
  <si>
    <t>CA206</t>
  </si>
  <si>
    <t>S01211</t>
  </si>
  <si>
    <t>CIB - ATM628</t>
  </si>
  <si>
    <t>CIB - ATM039</t>
  </si>
  <si>
    <t>S6T64405</t>
  </si>
  <si>
    <t>CIB - ATM008</t>
  </si>
  <si>
    <t>EDHU0180</t>
  </si>
  <si>
    <t>S6T65206</t>
  </si>
  <si>
    <t>S06011</t>
  </si>
  <si>
    <t>CA35_ENA</t>
  </si>
  <si>
    <t>CA26_ENA</t>
  </si>
  <si>
    <t>CASH2270</t>
  </si>
  <si>
    <t>CIB - ATM022</t>
  </si>
  <si>
    <t>DBD82220012</t>
  </si>
  <si>
    <t>S6T55103</t>
  </si>
  <si>
    <t>S6T65132</t>
  </si>
  <si>
    <t>AKHB2591</t>
  </si>
  <si>
    <t>CASH2208</t>
  </si>
  <si>
    <t>S6T65201</t>
  </si>
  <si>
    <t>DBD82220088</t>
  </si>
  <si>
    <t>CA68_ENA</t>
  </si>
  <si>
    <t>S6T65710</t>
  </si>
  <si>
    <t>S01188</t>
  </si>
  <si>
    <t>S6T59908</t>
  </si>
  <si>
    <t>S08054</t>
  </si>
  <si>
    <t>CASH2515</t>
  </si>
  <si>
    <t>S6T57103</t>
  </si>
  <si>
    <t>DBD82220022</t>
  </si>
  <si>
    <t>S6T62004</t>
  </si>
  <si>
    <t>S6T64709</t>
  </si>
  <si>
    <t>CA103_ENA</t>
  </si>
  <si>
    <t>CASH2588</t>
  </si>
  <si>
    <t>S01037_ENA</t>
  </si>
  <si>
    <t>CIB - ATM634</t>
  </si>
  <si>
    <t>DBD82220170</t>
  </si>
  <si>
    <t>DBD82220111</t>
  </si>
  <si>
    <t>S01142_ENA</t>
  </si>
  <si>
    <t>S6T51903</t>
  </si>
  <si>
    <t>S6T52507</t>
  </si>
  <si>
    <t>CA100</t>
  </si>
  <si>
    <t>S06053</t>
  </si>
  <si>
    <t>S6T50301_BZ</t>
  </si>
  <si>
    <t>S6T52002</t>
  </si>
  <si>
    <t>S6T60610</t>
  </si>
  <si>
    <t>S6T74507</t>
  </si>
  <si>
    <t>S6T68807</t>
  </si>
  <si>
    <t>S06017</t>
  </si>
  <si>
    <t>CA168</t>
  </si>
  <si>
    <t>DBD82220109</t>
  </si>
  <si>
    <t>CASH2246</t>
  </si>
  <si>
    <t>CIB - ATM111</t>
  </si>
  <si>
    <t>S04044</t>
  </si>
  <si>
    <t>S09310</t>
  </si>
  <si>
    <t>S09600</t>
  </si>
  <si>
    <t>CIB - ATM696</t>
  </si>
  <si>
    <t>S09802</t>
  </si>
  <si>
    <t>S6T73912</t>
  </si>
  <si>
    <t>S09402</t>
  </si>
  <si>
    <t>AKHK2636</t>
  </si>
  <si>
    <t>S09602_ENA</t>
  </si>
  <si>
    <t>S6T58103</t>
  </si>
  <si>
    <t>S02060</t>
  </si>
  <si>
    <t>S06026</t>
  </si>
  <si>
    <t>S09215</t>
  </si>
  <si>
    <t>S01174</t>
  </si>
  <si>
    <t>EDHU0171</t>
  </si>
  <si>
    <t>CIB - ATM138</t>
  </si>
  <si>
    <t>EDHU0190</t>
  </si>
  <si>
    <t>S09110_ENA</t>
  </si>
  <si>
    <t>EDHU0120</t>
  </si>
  <si>
    <t>S09408_ENA</t>
  </si>
  <si>
    <t>AKHK2299</t>
  </si>
  <si>
    <t>DBD82220104</t>
  </si>
  <si>
    <t>S04007</t>
  </si>
  <si>
    <t>S04008</t>
  </si>
  <si>
    <t>DBD82220115</t>
  </si>
  <si>
    <t>S01146</t>
  </si>
  <si>
    <t>CA129</t>
  </si>
  <si>
    <t>AKHB4321</t>
  </si>
  <si>
    <t>CA208</t>
  </si>
  <si>
    <t>S09405</t>
  </si>
  <si>
    <t>BBF615</t>
  </si>
  <si>
    <t>S02037</t>
  </si>
  <si>
    <t>CA118</t>
  </si>
  <si>
    <t>S6T65130</t>
  </si>
  <si>
    <t>DBD82220116</t>
  </si>
  <si>
    <t>S6T65511</t>
  </si>
  <si>
    <t>S6T65505</t>
  </si>
  <si>
    <t>S03019</t>
  </si>
  <si>
    <t>CA33</t>
  </si>
  <si>
    <t>S6T68505</t>
  </si>
  <si>
    <t>CIB - ATM608</t>
  </si>
  <si>
    <t>CA209</t>
  </si>
  <si>
    <t>CASH2296</t>
  </si>
  <si>
    <t>S01017</t>
  </si>
  <si>
    <t>AKHB2746</t>
  </si>
  <si>
    <t>S01104_ENA</t>
  </si>
  <si>
    <t>S06067</t>
  </si>
  <si>
    <t>CA95</t>
  </si>
  <si>
    <t>AKHK2538</t>
  </si>
  <si>
    <t>AKHB4642</t>
  </si>
  <si>
    <t>S6T51904</t>
  </si>
  <si>
    <t>DBD82220072</t>
  </si>
  <si>
    <t>S6T63218</t>
  </si>
  <si>
    <t>CA89</t>
  </si>
  <si>
    <t>CASH2253</t>
  </si>
  <si>
    <t>DBD82220171</t>
  </si>
  <si>
    <t>CIB - ATM163</t>
  </si>
  <si>
    <t>S01114</t>
  </si>
  <si>
    <t>CA55</t>
  </si>
  <si>
    <t>CA56_ENA</t>
  </si>
  <si>
    <t>CA146</t>
  </si>
  <si>
    <t>DBD82220003</t>
  </si>
  <si>
    <t>S01029</t>
  </si>
  <si>
    <t>AKHK2935</t>
  </si>
  <si>
    <t>DBD82220001</t>
  </si>
  <si>
    <t>S09125</t>
  </si>
  <si>
    <t>CIB - ATM697</t>
  </si>
  <si>
    <t>CIB - ATM678</t>
  </si>
  <si>
    <t>S6T50813_BZ</t>
  </si>
  <si>
    <t>S6T71820_BZ</t>
  </si>
  <si>
    <t>CA188_ENA</t>
  </si>
  <si>
    <t>S01169</t>
  </si>
  <si>
    <t>DBD82220201</t>
  </si>
  <si>
    <t>CASH2221</t>
  </si>
  <si>
    <t>CA01</t>
  </si>
  <si>
    <t>CA166</t>
  </si>
  <si>
    <t>DBD82220101</t>
  </si>
  <si>
    <t>AKHB2978</t>
  </si>
  <si>
    <t>S6T64808</t>
  </si>
  <si>
    <t>AKHB4141</t>
  </si>
  <si>
    <t>AKHB2072</t>
  </si>
  <si>
    <t>S03010</t>
  </si>
  <si>
    <t>S08016</t>
  </si>
  <si>
    <t>S6T65709</t>
  </si>
  <si>
    <t>S09210</t>
  </si>
  <si>
    <t>CIB - ATM158</t>
  </si>
  <si>
    <t>DBD82220009</t>
  </si>
  <si>
    <t>CASH2187</t>
  </si>
  <si>
    <t>CIB - ATM065</t>
  </si>
  <si>
    <t>DBD82220064</t>
  </si>
  <si>
    <t>S09606_ENA</t>
  </si>
  <si>
    <t>S09616_ENA</t>
  </si>
  <si>
    <t>DBD82220010</t>
  </si>
  <si>
    <t>S6T59509</t>
  </si>
  <si>
    <t>DBD82220054</t>
  </si>
  <si>
    <t>CIB - ATM020</t>
  </si>
  <si>
    <t>S6T72802</t>
  </si>
  <si>
    <t>S6T65204</t>
  </si>
  <si>
    <t>CASH2307</t>
  </si>
  <si>
    <t>AKHK2407</t>
  </si>
  <si>
    <t>AKHK2655</t>
  </si>
  <si>
    <t>S02082</t>
  </si>
  <si>
    <t>S6T52506</t>
  </si>
  <si>
    <t>AKHK2683</t>
  </si>
  <si>
    <t>S01179</t>
  </si>
  <si>
    <t>AKHK4341</t>
  </si>
  <si>
    <t>S6T62002</t>
  </si>
  <si>
    <t>CIB - ATM164</t>
  </si>
  <si>
    <t>CA66_ENA</t>
  </si>
  <si>
    <t>S6T59520</t>
  </si>
  <si>
    <t>EDHU0194</t>
  </si>
  <si>
    <t>S6T57804</t>
  </si>
  <si>
    <t>CA114_ENA</t>
  </si>
  <si>
    <t>S6T55104</t>
  </si>
  <si>
    <t>S02062_ENA</t>
  </si>
  <si>
    <t>AKHK2792</t>
  </si>
  <si>
    <t>S6T59102</t>
  </si>
  <si>
    <t>CA110</t>
  </si>
  <si>
    <t>S06062_ENA</t>
  </si>
  <si>
    <t>CA132_ENA</t>
  </si>
  <si>
    <t>S6T57813</t>
  </si>
  <si>
    <t>S6T73601</t>
  </si>
  <si>
    <t>S6T58608</t>
  </si>
  <si>
    <t>S6T52513</t>
  </si>
  <si>
    <t>EDHU0480</t>
  </si>
  <si>
    <t>CA27_ENA</t>
  </si>
  <si>
    <t>DBD82220123</t>
  </si>
  <si>
    <t>S6T65211</t>
  </si>
  <si>
    <t>S6T65701</t>
  </si>
  <si>
    <t>S6T59510</t>
  </si>
  <si>
    <t>DBD82220106</t>
  </si>
  <si>
    <t>DBD82220089</t>
  </si>
  <si>
    <t>CASH2242</t>
  </si>
  <si>
    <t>CA51_ENA</t>
  </si>
  <si>
    <t>S6T59001</t>
  </si>
  <si>
    <t>AKHK2645</t>
  </si>
  <si>
    <t>S6T64810</t>
  </si>
  <si>
    <t>S6T65105</t>
  </si>
  <si>
    <t>S6T65109</t>
  </si>
  <si>
    <t>CASH2557</t>
  </si>
  <si>
    <t>S6T58629</t>
  </si>
  <si>
    <t>S09211_ENA</t>
  </si>
  <si>
    <t>S02076_ENA</t>
  </si>
  <si>
    <t>S6T74014</t>
  </si>
  <si>
    <t>DBD82220199</t>
  </si>
  <si>
    <t>CIB - ATM661</t>
  </si>
  <si>
    <t>S04045</t>
  </si>
  <si>
    <t>S6T57812</t>
  </si>
  <si>
    <t>S6T65133</t>
  </si>
  <si>
    <t>S6T59005</t>
  </si>
  <si>
    <t>S6T58618</t>
  </si>
  <si>
    <t>CASH2509</t>
  </si>
  <si>
    <t>CASH2522</t>
  </si>
  <si>
    <t>S02044</t>
  </si>
  <si>
    <t>CASH2400</t>
  </si>
  <si>
    <t>S6T72905</t>
  </si>
  <si>
    <t>S01118_ENA</t>
  </si>
  <si>
    <t>DBD82220041</t>
  </si>
  <si>
    <t>S01160</t>
  </si>
  <si>
    <t>DBD82220134</t>
  </si>
  <si>
    <t>S6T65711</t>
  </si>
  <si>
    <t>S6T68509</t>
  </si>
  <si>
    <t>S01043</t>
  </si>
  <si>
    <t>MGND2301</t>
  </si>
  <si>
    <t>S6T68712</t>
  </si>
  <si>
    <t>S6T54602</t>
  </si>
  <si>
    <t>S6T62104</t>
  </si>
  <si>
    <t>AKHB2477</t>
  </si>
  <si>
    <t>S6T64408</t>
  </si>
  <si>
    <t>CASH2540</t>
  </si>
  <si>
    <t>CA119_ENA</t>
  </si>
  <si>
    <t>S6T58622</t>
  </si>
  <si>
    <t>S6T59802</t>
  </si>
  <si>
    <t>CASH2547</t>
  </si>
  <si>
    <t>S6T59002</t>
  </si>
  <si>
    <t>S6T72108</t>
  </si>
  <si>
    <t>CIB - ATM626</t>
  </si>
  <si>
    <t>S6T61407</t>
  </si>
  <si>
    <t>S6T50315_BZ</t>
  </si>
  <si>
    <t>CIB - ATM016</t>
  </si>
  <si>
    <t>S01170</t>
  </si>
  <si>
    <t>S01057</t>
  </si>
  <si>
    <t>S6T57802</t>
  </si>
  <si>
    <t>S01102</t>
  </si>
  <si>
    <t>CA24</t>
  </si>
  <si>
    <t>S04038</t>
  </si>
  <si>
    <t>S6T51902</t>
  </si>
  <si>
    <t>S08045</t>
  </si>
  <si>
    <t>AKHB2195</t>
  </si>
  <si>
    <t>S09206</t>
  </si>
  <si>
    <t>S02061</t>
  </si>
  <si>
    <t>AKHB2717</t>
  </si>
  <si>
    <t>S04050</t>
  </si>
  <si>
    <t>S02035</t>
  </si>
  <si>
    <t>AKHB2749</t>
  </si>
  <si>
    <t>CA176</t>
  </si>
  <si>
    <t>CA128</t>
  </si>
  <si>
    <t>CA127_ENA</t>
  </si>
  <si>
    <t>S6T63217</t>
  </si>
  <si>
    <t>S06068</t>
  </si>
  <si>
    <t>S6T59801</t>
  </si>
  <si>
    <t>CA106</t>
  </si>
  <si>
    <t>CA105_ENA</t>
  </si>
  <si>
    <t>CIB - ATM666</t>
  </si>
  <si>
    <t>CIB - ATM667</t>
  </si>
  <si>
    <t>AKHB2973</t>
  </si>
  <si>
    <t>S01166</t>
  </si>
  <si>
    <t>S6T74004</t>
  </si>
  <si>
    <t>CA74</t>
  </si>
  <si>
    <t>CIB - ATM007</t>
  </si>
  <si>
    <t>AKHB2204</t>
  </si>
  <si>
    <t>S02070</t>
  </si>
  <si>
    <t>DBD82220110</t>
  </si>
  <si>
    <t>S03053</t>
  </si>
  <si>
    <t>DBD82220151</t>
  </si>
  <si>
    <t>CA204</t>
  </si>
  <si>
    <t>S6T17604</t>
  </si>
  <si>
    <t>S6T64807</t>
  </si>
  <si>
    <t>CASH2298</t>
  </si>
  <si>
    <t>DBD82220173</t>
  </si>
  <si>
    <t>S01137_ENA</t>
  </si>
  <si>
    <t>CA115_ENA</t>
  </si>
  <si>
    <t>S6T18404</t>
  </si>
  <si>
    <t>CA97_ENA</t>
  </si>
  <si>
    <t>AKHB2463</t>
  </si>
  <si>
    <t>AKHO2305</t>
  </si>
  <si>
    <t>CASH2551</t>
  </si>
  <si>
    <t>CA46_ENA</t>
  </si>
  <si>
    <t>CASH2115</t>
  </si>
  <si>
    <t>CA61</t>
  </si>
  <si>
    <t>DBD82220047</t>
  </si>
  <si>
    <t>CA205_ENA</t>
  </si>
  <si>
    <t>AKHB2977</t>
  </si>
  <si>
    <t>DBD82220147</t>
  </si>
  <si>
    <t>EDHU0411</t>
  </si>
  <si>
    <t>S6T65209</t>
  </si>
  <si>
    <t>S6T50413</t>
  </si>
  <si>
    <t>DBD82220148</t>
  </si>
  <si>
    <t>CASH2079</t>
  </si>
  <si>
    <t>S6T59525</t>
  </si>
  <si>
    <t>CASH2568</t>
  </si>
  <si>
    <t>S6T50105</t>
  </si>
  <si>
    <t>S6T68004</t>
  </si>
  <si>
    <t>S6T72110</t>
  </si>
  <si>
    <t>S6T58903</t>
  </si>
  <si>
    <t>S6T68005</t>
  </si>
  <si>
    <t>S6T69402</t>
  </si>
  <si>
    <t>CA23_ENA</t>
  </si>
  <si>
    <t>S6T73909</t>
  </si>
  <si>
    <t>CASH2177</t>
  </si>
  <si>
    <t>S01063</t>
  </si>
  <si>
    <t>DBD82220117</t>
  </si>
  <si>
    <t>S6T63227</t>
  </si>
  <si>
    <t>S09218</t>
  </si>
  <si>
    <t>S08047</t>
  </si>
  <si>
    <t>AKHB2304</t>
  </si>
  <si>
    <t>CA133_ENA</t>
  </si>
  <si>
    <t>S6T60614</t>
  </si>
  <si>
    <t>CASH2411</t>
  </si>
  <si>
    <t>S6T59906</t>
  </si>
  <si>
    <t>S6T55602</t>
  </si>
  <si>
    <t>AKHK4401</t>
  </si>
  <si>
    <t>DBD82220121</t>
  </si>
  <si>
    <t>S6T57703</t>
  </si>
  <si>
    <t>S6T50103</t>
  </si>
  <si>
    <t>S04030</t>
  </si>
  <si>
    <t>S6T62815</t>
  </si>
  <si>
    <t>S6T50101</t>
  </si>
  <si>
    <t>CIB - ATM611</t>
  </si>
  <si>
    <t>S01111</t>
  </si>
  <si>
    <t>CA73_ENA</t>
  </si>
  <si>
    <t>AKHB2505</t>
  </si>
  <si>
    <t>S6T51736</t>
  </si>
  <si>
    <t>DBD82220023</t>
  </si>
  <si>
    <t>S06057</t>
  </si>
  <si>
    <t>AKHK4328</t>
  </si>
  <si>
    <t>EDHU0521</t>
  </si>
  <si>
    <t>EDHU0069</t>
  </si>
  <si>
    <t>S04003</t>
  </si>
  <si>
    <t>AKHK4329</t>
  </si>
  <si>
    <t>AKHB2340</t>
  </si>
  <si>
    <t>CIB - ATM657</t>
  </si>
  <si>
    <t>CASH2241</t>
  </si>
  <si>
    <t>CIB - ATM109</t>
  </si>
  <si>
    <t>S6T59513</t>
  </si>
  <si>
    <t>AKHK4431</t>
  </si>
  <si>
    <t>S02002_ENA</t>
  </si>
  <si>
    <t>S03035</t>
  </si>
  <si>
    <t>S6T62814</t>
  </si>
  <si>
    <t>CIB - ATM054</t>
  </si>
  <si>
    <t>CA77_ENA</t>
  </si>
  <si>
    <t>AKHB4425</t>
  </si>
  <si>
    <t>S6T65515</t>
  </si>
  <si>
    <t>EDHU0499</t>
  </si>
  <si>
    <t>S6T58104</t>
  </si>
  <si>
    <t>CIB - ATM642</t>
  </si>
  <si>
    <t>S01199</t>
  </si>
  <si>
    <t>S6T62905</t>
  </si>
  <si>
    <t>DBD82220143</t>
  </si>
  <si>
    <t>S6T61408</t>
  </si>
  <si>
    <t>DBD82220103</t>
  </si>
  <si>
    <t>AKHK4453</t>
  </si>
  <si>
    <t>S6T56801</t>
  </si>
  <si>
    <t>S02041</t>
  </si>
  <si>
    <t>S6T50820_BZ</t>
  </si>
  <si>
    <t>AKHB4316</t>
  </si>
  <si>
    <t>S6T50804</t>
  </si>
  <si>
    <t>S6T65516</t>
  </si>
  <si>
    <t>S04043</t>
  </si>
  <si>
    <t>DBD82220034</t>
  </si>
  <si>
    <t>CA216</t>
  </si>
  <si>
    <t>CA175</t>
  </si>
  <si>
    <t>S6T74005</t>
  </si>
  <si>
    <t>S6T58630</t>
  </si>
  <si>
    <t>CASH2158</t>
  </si>
  <si>
    <t>EDHU0409</t>
  </si>
  <si>
    <t>DBD82220025</t>
  </si>
  <si>
    <t>S01076_ENA</t>
  </si>
  <si>
    <t>AKHB2976</t>
  </si>
  <si>
    <t>S02058</t>
  </si>
  <si>
    <t>S04013</t>
  </si>
  <si>
    <t>CA39</t>
  </si>
  <si>
    <t>AKHK4334</t>
  </si>
  <si>
    <t>S03048</t>
  </si>
  <si>
    <t>S6T54501</t>
  </si>
  <si>
    <t>S01201_ENA</t>
  </si>
  <si>
    <t>AKHB2735</t>
  </si>
  <si>
    <t>S04009</t>
  </si>
  <si>
    <t>CIB - ATM046</t>
  </si>
  <si>
    <t>EDHU0506</t>
  </si>
  <si>
    <t>S6T57607</t>
  </si>
  <si>
    <t>AKHK4465</t>
  </si>
  <si>
    <t>EDHU0023</t>
  </si>
  <si>
    <t>CIB - ATM692</t>
  </si>
  <si>
    <t>S01129</t>
  </si>
  <si>
    <t>AKHB2470</t>
  </si>
  <si>
    <t>CA150</t>
  </si>
  <si>
    <t>CA135</t>
  </si>
  <si>
    <t>S6T72801</t>
  </si>
  <si>
    <t>S6T62805</t>
  </si>
  <si>
    <t>CA179</t>
  </si>
  <si>
    <t>EDHU0376</t>
  </si>
  <si>
    <t>CIB - ATM688</t>
  </si>
  <si>
    <t>CIB - ATM617</t>
  </si>
  <si>
    <t>S01197</t>
  </si>
  <si>
    <t>AKHB2570</t>
  </si>
  <si>
    <t>CA139</t>
  </si>
  <si>
    <t>CIB - ATM025</t>
  </si>
  <si>
    <t>EDHU0234</t>
  </si>
  <si>
    <t>S6T17600</t>
  </si>
  <si>
    <t>EDHU0050</t>
  </si>
  <si>
    <t>EDHU0055</t>
  </si>
  <si>
    <t>AKHB2199</t>
  </si>
  <si>
    <t>S6T63215</t>
  </si>
  <si>
    <t>S09617</t>
  </si>
  <si>
    <t>S09615</t>
  </si>
  <si>
    <t>DBD82220014</t>
  </si>
  <si>
    <t>DBD82220185</t>
  </si>
  <si>
    <t>S6T17611</t>
  </si>
  <si>
    <t>S6T52004</t>
  </si>
  <si>
    <t>S6T18406</t>
  </si>
  <si>
    <t>CA180</t>
  </si>
  <si>
    <t>CA18_ENA</t>
  </si>
  <si>
    <t>CA215</t>
  </si>
  <si>
    <t>S03029_IDMBD</t>
  </si>
  <si>
    <t>S6T59905</t>
  </si>
  <si>
    <t>S03056</t>
  </si>
  <si>
    <t>S6T52504</t>
  </si>
  <si>
    <t>S6T67904</t>
  </si>
  <si>
    <t>CIB - ATM021</t>
  </si>
  <si>
    <t>CA111</t>
  </si>
  <si>
    <t>AKHB2833</t>
  </si>
  <si>
    <t>CASH2473</t>
  </si>
  <si>
    <t>DBD82220155</t>
  </si>
  <si>
    <t>S6T18407</t>
  </si>
  <si>
    <t>CASH2070</t>
  </si>
  <si>
    <t>EDHU0256</t>
  </si>
  <si>
    <t>AKHK4981</t>
  </si>
  <si>
    <t>S06070</t>
  </si>
  <si>
    <t>S6T63209</t>
  </si>
  <si>
    <t>AKHK4332</t>
  </si>
  <si>
    <t>S6T50310</t>
  </si>
  <si>
    <t>S01158</t>
  </si>
  <si>
    <t>S01117</t>
  </si>
  <si>
    <t>AKHB2592</t>
  </si>
  <si>
    <t>CIB - ATM612</t>
  </si>
  <si>
    <t>DBD82220076</t>
  </si>
  <si>
    <t>S6T73608</t>
  </si>
  <si>
    <t>S08043</t>
  </si>
  <si>
    <t>CA181</t>
  </si>
  <si>
    <t>AKHK4986</t>
  </si>
  <si>
    <t>DBD82220141</t>
  </si>
  <si>
    <t>S02077</t>
  </si>
  <si>
    <t>S6T65510</t>
  </si>
  <si>
    <t>S6T65708</t>
  </si>
  <si>
    <t>S6T65703</t>
  </si>
  <si>
    <t>CA14_ENA</t>
  </si>
  <si>
    <t>DBD82220096</t>
  </si>
  <si>
    <t>S6T50304</t>
  </si>
  <si>
    <t>S03062</t>
  </si>
  <si>
    <t>AKHK2212</t>
  </si>
  <si>
    <t>S6T67903</t>
  </si>
  <si>
    <t>S6T68202</t>
  </si>
  <si>
    <t>S6T65124</t>
  </si>
  <si>
    <t>S06007</t>
  </si>
  <si>
    <t>DBD82220152</t>
  </si>
  <si>
    <t>S6T58621</t>
  </si>
  <si>
    <t>S01021</t>
  </si>
  <si>
    <t>S08005</t>
  </si>
  <si>
    <t>S6T17618</t>
  </si>
  <si>
    <t>S03018</t>
  </si>
  <si>
    <t>S6T62802</t>
  </si>
  <si>
    <t>DBD82220137</t>
  </si>
  <si>
    <t>DBD82220180</t>
  </si>
  <si>
    <t>S6T51717</t>
  </si>
  <si>
    <t>AKHB2713</t>
  </si>
  <si>
    <t>S6T68203</t>
  </si>
  <si>
    <t>CIB - ATM044</t>
  </si>
  <si>
    <t>AKHB2438</t>
  </si>
  <si>
    <t>CIB - ATM069</t>
  </si>
  <si>
    <t>DBD82220095</t>
  </si>
  <si>
    <t>S6T60301</t>
  </si>
  <si>
    <t>DBD82220159</t>
  </si>
  <si>
    <t>AKHK2516</t>
  </si>
  <si>
    <t>S6T65501</t>
  </si>
  <si>
    <t>CASH2513</t>
  </si>
  <si>
    <t>S03024</t>
  </si>
  <si>
    <t>S6T58604</t>
  </si>
  <si>
    <t>S6T60302</t>
  </si>
  <si>
    <t>AKHB2867</t>
  </si>
  <si>
    <t>CASH2573</t>
  </si>
  <si>
    <t>AKHK4444</t>
  </si>
  <si>
    <t>AKHK4446</t>
  </si>
  <si>
    <t>CASH2589</t>
  </si>
  <si>
    <t>S6T69305</t>
  </si>
  <si>
    <t>S6T54506</t>
  </si>
  <si>
    <t>CA09</t>
  </si>
  <si>
    <t>S01100</t>
  </si>
  <si>
    <t>S03047</t>
  </si>
  <si>
    <t>S01098</t>
  </si>
  <si>
    <t>S08053_ENA</t>
  </si>
  <si>
    <t>DBD82220186</t>
  </si>
  <si>
    <t>CA64_ENA</t>
  </si>
  <si>
    <t>S6T17617</t>
  </si>
  <si>
    <t>S6T67003</t>
  </si>
  <si>
    <t>CA164_ENA</t>
  </si>
  <si>
    <t>S6T73613</t>
  </si>
  <si>
    <t>CIB - ATM059</t>
  </si>
  <si>
    <t>CA25_ENA</t>
  </si>
  <si>
    <t>S6T51501</t>
  </si>
  <si>
    <t>S6T51725</t>
  </si>
  <si>
    <t>AKHB2577</t>
  </si>
  <si>
    <t>DBD82220039</t>
  </si>
  <si>
    <t>CA131_ENA</t>
  </si>
  <si>
    <t>CASH2474</t>
  </si>
  <si>
    <t>S6T63802</t>
  </si>
  <si>
    <t>S6T67005</t>
  </si>
  <si>
    <t>CA134_ENA</t>
  </si>
  <si>
    <t>S6T50829</t>
  </si>
  <si>
    <t>DBD82220069</t>
  </si>
  <si>
    <t>EDHU0118</t>
  </si>
  <si>
    <t>S6T67017</t>
  </si>
  <si>
    <t>S6T51739</t>
  </si>
  <si>
    <t>S6T51744</t>
  </si>
  <si>
    <t>S01195_ENA</t>
  </si>
  <si>
    <t>S6T74010</t>
  </si>
  <si>
    <t>S06064</t>
  </si>
  <si>
    <t>S08058</t>
  </si>
  <si>
    <t>S03052</t>
  </si>
  <si>
    <t>CASH2349</t>
  </si>
  <si>
    <t>AKHK2360</t>
  </si>
  <si>
    <t>S6T59004</t>
  </si>
  <si>
    <t>DBD82220004</t>
  </si>
  <si>
    <t>AKHB2092</t>
  </si>
  <si>
    <t>S6T62101</t>
  </si>
  <si>
    <t>CASH2429</t>
  </si>
  <si>
    <t>S08055</t>
  </si>
  <si>
    <t>S01047_ENA</t>
  </si>
  <si>
    <t>S6T65131</t>
  </si>
  <si>
    <t>CASH2511</t>
  </si>
  <si>
    <t>CA78_ENA</t>
  </si>
  <si>
    <t>S01148</t>
  </si>
  <si>
    <t>MGND1401</t>
  </si>
  <si>
    <t>S6T64700</t>
  </si>
  <si>
    <t>S6T67806</t>
  </si>
  <si>
    <t>S6T65909</t>
  </si>
  <si>
    <t>S6T59904</t>
  </si>
  <si>
    <t>S6T68701</t>
  </si>
  <si>
    <t>S6T68804</t>
  </si>
  <si>
    <t>S6T68507</t>
  </si>
  <si>
    <t>S6T67807</t>
  </si>
  <si>
    <t>CASH2181</t>
  </si>
  <si>
    <t>S6T52003</t>
  </si>
  <si>
    <t>CASH2180</t>
  </si>
  <si>
    <t>MGND2401</t>
  </si>
  <si>
    <t>AKHK2403</t>
  </si>
  <si>
    <t>DBD82220166</t>
  </si>
  <si>
    <t>S6T75001</t>
  </si>
  <si>
    <t>S6T65119</t>
  </si>
  <si>
    <t>S6T58613</t>
  </si>
  <si>
    <t>S6T50814</t>
  </si>
  <si>
    <t>S6T50106</t>
  </si>
  <si>
    <t>S6T72803</t>
  </si>
  <si>
    <t>S6T53206</t>
  </si>
  <si>
    <t>S6T68707</t>
  </si>
  <si>
    <t>CA145</t>
  </si>
  <si>
    <t>S6T74509</t>
  </si>
  <si>
    <t>S6T72602</t>
  </si>
  <si>
    <t>DBD82220067</t>
  </si>
  <si>
    <t>CASH2041</t>
  </si>
  <si>
    <t>CASH2046</t>
  </si>
  <si>
    <t>S6T50305_BZ</t>
  </si>
  <si>
    <t>S6T61403</t>
  </si>
  <si>
    <t>CA05</t>
  </si>
  <si>
    <t>S6T67805</t>
  </si>
  <si>
    <t>DBD82220097</t>
  </si>
  <si>
    <t>S6T72804</t>
  </si>
  <si>
    <t>DBD82220138</t>
  </si>
  <si>
    <t>S6T67905</t>
  </si>
  <si>
    <t>S6T59503</t>
  </si>
  <si>
    <t>S03041</t>
  </si>
  <si>
    <t>S6T51732</t>
  </si>
  <si>
    <t>S6T75002</t>
  </si>
  <si>
    <t>S6T74508</t>
  </si>
  <si>
    <t>DBD82220189</t>
  </si>
  <si>
    <t>S03036</t>
  </si>
  <si>
    <t>DBD82220090</t>
  </si>
  <si>
    <t>S6T71807_BZ</t>
  </si>
  <si>
    <t>S6T65705</t>
  </si>
  <si>
    <t>CASH2268</t>
  </si>
  <si>
    <t>S6T59202</t>
  </si>
  <si>
    <t>CASH2251</t>
  </si>
  <si>
    <t>S6T51726</t>
  </si>
  <si>
    <t>S6T65507</t>
  </si>
  <si>
    <t>S6T65114</t>
  </si>
  <si>
    <t>S6T68506</t>
  </si>
  <si>
    <t>AKHK2924</t>
  </si>
  <si>
    <t>DBD82220145</t>
  </si>
  <si>
    <t>S6T60623</t>
  </si>
  <si>
    <t>S6T59505</t>
  </si>
  <si>
    <t>S6T68704</t>
  </si>
  <si>
    <t>AKHK4413</t>
  </si>
  <si>
    <t>AKHK2856</t>
  </si>
  <si>
    <t>CASH2487</t>
  </si>
  <si>
    <t>CASH2399</t>
  </si>
  <si>
    <t>CASH2526</t>
  </si>
  <si>
    <t>CASH2590</t>
  </si>
  <si>
    <t>DBD82220112</t>
  </si>
  <si>
    <t>S02084_ENA</t>
  </si>
  <si>
    <t>S6T54610</t>
  </si>
  <si>
    <t>AKHK2934</t>
  </si>
  <si>
    <t>S6T67906</t>
  </si>
  <si>
    <t>S6T54202</t>
  </si>
  <si>
    <t>S6T54203</t>
  </si>
  <si>
    <t>S6T54204</t>
  </si>
  <si>
    <t>CA19_ENA</t>
  </si>
  <si>
    <t>CA109</t>
  </si>
  <si>
    <t>EDHU0024</t>
  </si>
  <si>
    <t>S6T60304</t>
  </si>
  <si>
    <t>S01153</t>
  </si>
  <si>
    <t>S6T68502</t>
  </si>
  <si>
    <t>S6T52802</t>
  </si>
  <si>
    <t>DBD82220043</t>
  </si>
  <si>
    <t>EDHU0116</t>
  </si>
  <si>
    <t>CASH2062</t>
  </si>
  <si>
    <t>CASH2275</t>
  </si>
  <si>
    <t>DBD82220188</t>
  </si>
  <si>
    <t>CIB - ATM040</t>
  </si>
  <si>
    <t>EDHU0164</t>
  </si>
  <si>
    <t>S01207</t>
  </si>
  <si>
    <t>CIB - ATM047</t>
  </si>
  <si>
    <t>S6T68705</t>
  </si>
  <si>
    <t>CIB - ATM635</t>
  </si>
  <si>
    <t>S6T59507</t>
  </si>
  <si>
    <t>S09803</t>
  </si>
  <si>
    <t>S03051_ENA</t>
  </si>
  <si>
    <t>CASH2521</t>
  </si>
  <si>
    <t>S01182</t>
  </si>
  <si>
    <t>S08050</t>
  </si>
  <si>
    <t>DBD82220114</t>
  </si>
  <si>
    <t>CASH2160</t>
  </si>
  <si>
    <t>CA43_ENA</t>
  </si>
  <si>
    <t>CA50</t>
  </si>
  <si>
    <t>S09611</t>
  </si>
  <si>
    <t>S06056</t>
  </si>
  <si>
    <t>AKHB2507</t>
  </si>
  <si>
    <t>S06059</t>
  </si>
  <si>
    <t>CA32</t>
  </si>
  <si>
    <t>CA173</t>
  </si>
  <si>
    <t>S6T54205</t>
  </si>
  <si>
    <t>S6T58617</t>
  </si>
  <si>
    <t>DBD82220119</t>
  </si>
  <si>
    <t>S6T60615</t>
  </si>
  <si>
    <t>S6T56903</t>
  </si>
  <si>
    <t>S6T64707</t>
  </si>
  <si>
    <t>S6T58626</t>
  </si>
  <si>
    <t>S6T65503</t>
  </si>
  <si>
    <t>S02008</t>
  </si>
  <si>
    <t>AKHB2475</t>
  </si>
  <si>
    <t>S6T68709</t>
  </si>
  <si>
    <t>S01004</t>
  </si>
  <si>
    <t>CA10</t>
  </si>
  <si>
    <t>S6T52501</t>
  </si>
  <si>
    <t>S06071</t>
  </si>
  <si>
    <t>CIB - ATM619</t>
  </si>
  <si>
    <t>DBD82220178</t>
  </si>
  <si>
    <t>AKHK2533</t>
  </si>
  <si>
    <t>CA15_ENA</t>
  </si>
  <si>
    <t>CA148</t>
  </si>
  <si>
    <t>S01219</t>
  </si>
  <si>
    <t>S06029</t>
  </si>
  <si>
    <t>S6T17609</t>
  </si>
  <si>
    <t>CA12_ENA</t>
  </si>
  <si>
    <t>S06025_IDMBD</t>
  </si>
  <si>
    <t>CIB - ATM643</t>
  </si>
  <si>
    <t>AKHK4969</t>
  </si>
  <si>
    <t>AKHB2946</t>
  </si>
  <si>
    <t>AKHB2945</t>
  </si>
  <si>
    <t>AKHB2929</t>
  </si>
  <si>
    <t>BBF463</t>
  </si>
  <si>
    <t>S6T59207</t>
  </si>
  <si>
    <t>DBD82220033</t>
  </si>
  <si>
    <t>S6T68706</t>
  </si>
  <si>
    <t>DBD82220108</t>
  </si>
  <si>
    <t>S6T52001</t>
  </si>
  <si>
    <t>AKHK4422</t>
  </si>
  <si>
    <t>S6T59203</t>
  </si>
  <si>
    <t>EDHU0485</t>
  </si>
  <si>
    <t>EDHU0316</t>
  </si>
  <si>
    <t>CA144</t>
  </si>
  <si>
    <t>DBD82220099</t>
  </si>
  <si>
    <t>AKHK2671</t>
  </si>
  <si>
    <t>CA17_ENA</t>
  </si>
  <si>
    <t>S01216_ENA</t>
  </si>
  <si>
    <t>AKHK2928</t>
  </si>
  <si>
    <t>CASH2028</t>
  </si>
  <si>
    <t>CIB - ATM689</t>
  </si>
  <si>
    <t>AKHK2169</t>
  </si>
  <si>
    <t>EDHU0358</t>
  </si>
  <si>
    <t>AKHB4417</t>
  </si>
  <si>
    <t>CASH2220</t>
  </si>
  <si>
    <t>S09100</t>
  </si>
  <si>
    <t>S6T58603</t>
  </si>
  <si>
    <t>S6T62001</t>
  </si>
  <si>
    <t>S02065</t>
  </si>
  <si>
    <t>AKHK4461</t>
  </si>
  <si>
    <t>CIB - ATM640</t>
  </si>
  <si>
    <t>S6T65103</t>
  </si>
  <si>
    <t>S6T58614</t>
  </si>
  <si>
    <t>AKHB2196</t>
  </si>
  <si>
    <t>S01155</t>
  </si>
  <si>
    <t>S6T63206</t>
  </si>
  <si>
    <t>AKHK2922</t>
  </si>
  <si>
    <t>CASH2157</t>
  </si>
  <si>
    <t>S09127</t>
  </si>
  <si>
    <t>S09109_IDMBD_ENA</t>
  </si>
  <si>
    <t>AKHK2828</t>
  </si>
  <si>
    <t>CIB - ATM637</t>
  </si>
  <si>
    <t>AKHK2441</t>
  </si>
  <si>
    <t>CIB - ATM003</t>
  </si>
  <si>
    <t>S02026</t>
  </si>
  <si>
    <t>S01178</t>
  </si>
  <si>
    <t>EDHU0111</t>
  </si>
  <si>
    <t>CIB - ATM683</t>
  </si>
  <si>
    <t>S6T65112</t>
  </si>
  <si>
    <t>CA37</t>
  </si>
  <si>
    <t>S6T73904</t>
  </si>
  <si>
    <t>S6T64803</t>
  </si>
  <si>
    <t>CA49</t>
  </si>
  <si>
    <t>S6T50701</t>
  </si>
  <si>
    <t>S04034</t>
  </si>
  <si>
    <t>S6T50394</t>
  </si>
  <si>
    <t>AKHK2708</t>
  </si>
  <si>
    <t>S6T62102</t>
  </si>
  <si>
    <t>S06040_ENA</t>
  </si>
  <si>
    <t>S6T63220</t>
  </si>
  <si>
    <t>DBD82220139</t>
  </si>
  <si>
    <t>S6T64806</t>
  </si>
  <si>
    <t>S02019</t>
  </si>
  <si>
    <t>CIB - ATM616</t>
  </si>
  <si>
    <t>S01165</t>
  </si>
  <si>
    <t>S6T55106</t>
  </si>
  <si>
    <t>S6T60613</t>
  </si>
  <si>
    <t>AKHK2578</t>
  </si>
  <si>
    <t>S6T55101</t>
  </si>
  <si>
    <t>CIB - ATM061</t>
  </si>
  <si>
    <t>DBD82220100</t>
  </si>
  <si>
    <t>CASH2281</t>
  </si>
  <si>
    <t>CIB - ATM675</t>
  </si>
  <si>
    <t>CA165_ENA</t>
  </si>
  <si>
    <t>S6T54505</t>
  </si>
  <si>
    <t>S6T65706</t>
  </si>
  <si>
    <t>CASH2354</t>
  </si>
  <si>
    <t>DBD82220105</t>
  </si>
  <si>
    <t>DBD82220167</t>
  </si>
  <si>
    <t>CASH2279</t>
  </si>
  <si>
    <t>AKHK2927</t>
  </si>
  <si>
    <t>S03050</t>
  </si>
  <si>
    <t>S01032</t>
  </si>
  <si>
    <t>S09128</t>
  </si>
  <si>
    <t>DBD82220168</t>
  </si>
  <si>
    <t>S03065_ENA</t>
  </si>
  <si>
    <t>CA121</t>
  </si>
  <si>
    <t>CA120_ENA</t>
  </si>
  <si>
    <t>CIB - ATM676</t>
  </si>
  <si>
    <t>S01068</t>
  </si>
  <si>
    <t>DBD82220157</t>
  </si>
  <si>
    <t>CA108_ENA</t>
  </si>
  <si>
    <t>S6T61401</t>
  </si>
  <si>
    <t>S6T60622</t>
  </si>
  <si>
    <t>S09301</t>
  </si>
  <si>
    <t>S03055</t>
  </si>
  <si>
    <t>AKHK2493</t>
  </si>
  <si>
    <t>CA184</t>
  </si>
  <si>
    <t>CA101_ENA</t>
  </si>
  <si>
    <t>AKHK2653</t>
  </si>
  <si>
    <t>CA160</t>
  </si>
  <si>
    <t>AKHB4315</t>
  </si>
  <si>
    <t>S01212</t>
  </si>
  <si>
    <t>CIB - ATM083</t>
  </si>
  <si>
    <t>DBD82220056</t>
  </si>
  <si>
    <t>CA60_ENA</t>
  </si>
  <si>
    <t>S6T73611</t>
  </si>
  <si>
    <t>S6T75504</t>
  </si>
  <si>
    <t>S09613</t>
  </si>
  <si>
    <t>CIB - ATM649</t>
  </si>
  <si>
    <t>AKHB2302</t>
  </si>
  <si>
    <t>BBF610</t>
  </si>
  <si>
    <t>S03003</t>
  </si>
  <si>
    <t>S6T65111</t>
  </si>
  <si>
    <t>S6T68810</t>
  </si>
  <si>
    <t>S01183</t>
  </si>
  <si>
    <t>CASH2222</t>
  </si>
  <si>
    <t>S01145</t>
  </si>
  <si>
    <t>CA202</t>
  </si>
  <si>
    <t>DBD82220150</t>
  </si>
  <si>
    <t>CIB - ATM691</t>
  </si>
  <si>
    <t>CA30</t>
  </si>
  <si>
    <t>CIB - ATM629</t>
  </si>
  <si>
    <t>CA02</t>
  </si>
  <si>
    <t>S6T73614</t>
  </si>
  <si>
    <t>S01151</t>
  </si>
  <si>
    <t>DBD82220182</t>
  </si>
  <si>
    <t>S01152</t>
  </si>
  <si>
    <t>DBD82220192</t>
  </si>
  <si>
    <t>CIB - ATM143</t>
  </si>
  <si>
    <t>S01157</t>
  </si>
  <si>
    <t>DBD82220042</t>
  </si>
  <si>
    <t>CA177</t>
  </si>
  <si>
    <t>DBD82220164</t>
  </si>
  <si>
    <t>CA211</t>
  </si>
  <si>
    <t>S6T51743</t>
  </si>
  <si>
    <t>S6T50815</t>
  </si>
  <si>
    <t>CIB - ATM610</t>
  </si>
  <si>
    <t>S6T68803</t>
  </si>
  <si>
    <t>S6T63228</t>
  </si>
  <si>
    <t>AKHK4987</t>
  </si>
  <si>
    <t>S01163</t>
  </si>
  <si>
    <t>S02071</t>
  </si>
  <si>
    <t>S09603_ENA</t>
  </si>
  <si>
    <t>CIB - ATM607</t>
  </si>
  <si>
    <t>AKHB4355</t>
  </si>
  <si>
    <t>CA217</t>
  </si>
  <si>
    <t>S6T65901</t>
  </si>
  <si>
    <t>S01184</t>
  </si>
  <si>
    <t>CIB - ATM071</t>
  </si>
  <si>
    <t>S6T65117</t>
  </si>
  <si>
    <t>CASH2510</t>
  </si>
  <si>
    <t>S01083</t>
  </si>
  <si>
    <t>DBD82220026</t>
  </si>
  <si>
    <t>S6T65104</t>
  </si>
  <si>
    <t>S6T57806</t>
  </si>
  <si>
    <t>S6T52301</t>
  </si>
  <si>
    <t>S6T50828_BZ</t>
  </si>
  <si>
    <t>CIB - ATM094</t>
  </si>
  <si>
    <t>AKHK2171</t>
  </si>
  <si>
    <t>S6T72101</t>
  </si>
  <si>
    <t>S06012</t>
  </si>
  <si>
    <t>S6T72601</t>
  </si>
  <si>
    <t>DBD82220071</t>
  </si>
  <si>
    <t>AKHB4342</t>
  </si>
  <si>
    <t>AKHB2858</t>
  </si>
  <si>
    <t>S6T65123</t>
  </si>
  <si>
    <t>S6T58102</t>
  </si>
  <si>
    <t>S6T67902</t>
  </si>
  <si>
    <t>CASH2512</t>
  </si>
  <si>
    <t>CIB - ATM652</t>
  </si>
  <si>
    <t>S6T65115</t>
  </si>
  <si>
    <t>AKHK2921</t>
  </si>
  <si>
    <t>S6T51747</t>
  </si>
  <si>
    <t>S6T58606</t>
  </si>
  <si>
    <t>CIB - ATM663</t>
  </si>
  <si>
    <t>S6T52505</t>
  </si>
  <si>
    <t>DBD82220046</t>
  </si>
  <si>
    <t>S02083</t>
  </si>
  <si>
    <t>S6T65707</t>
  </si>
  <si>
    <t>AKHB2443</t>
  </si>
  <si>
    <t>AKHK2313</t>
  </si>
  <si>
    <t>S6T58610</t>
  </si>
  <si>
    <t>S6T59103</t>
  </si>
  <si>
    <t>S6T50827</t>
  </si>
  <si>
    <t>AKHK2559</t>
  </si>
  <si>
    <t>S6T53207</t>
  </si>
  <si>
    <t>S6T64706</t>
  </si>
  <si>
    <t>S6T68503</t>
  </si>
  <si>
    <t>S08042</t>
  </si>
  <si>
    <t>S6T62904</t>
  </si>
  <si>
    <t>S6T68811</t>
  </si>
  <si>
    <t>S6T59518</t>
  </si>
  <si>
    <t>S6T71902</t>
  </si>
  <si>
    <t>S6T75502</t>
  </si>
  <si>
    <t>S6T65910</t>
  </si>
  <si>
    <t>CA159</t>
  </si>
  <si>
    <t>S06043</t>
  </si>
  <si>
    <t>S6T58625</t>
  </si>
  <si>
    <t>CIB - ATM135</t>
  </si>
  <si>
    <t>CIB - ATM684</t>
  </si>
  <si>
    <t>DBD82220158</t>
  </si>
  <si>
    <t>DBD82220066</t>
  </si>
  <si>
    <t>AKHK2468</t>
  </si>
  <si>
    <t>S6T71829</t>
  </si>
  <si>
    <t>AKHB2427</t>
  </si>
  <si>
    <t>S02011</t>
  </si>
  <si>
    <t>S6T73905</t>
  </si>
  <si>
    <t>S6T51745</t>
  </si>
  <si>
    <t>CA34</t>
  </si>
  <si>
    <t>S6T63204</t>
  </si>
  <si>
    <t>EDHU0198</t>
  </si>
  <si>
    <t>CA126</t>
  </si>
  <si>
    <t>S09604</t>
  </si>
  <si>
    <t>CIB - ATM076</t>
  </si>
  <si>
    <t>DBD82220036</t>
  </si>
  <si>
    <t>CA92_ENA</t>
  </si>
  <si>
    <t>AKHB4587</t>
  </si>
  <si>
    <t>AKHK2239</t>
  </si>
  <si>
    <t>CASH2234</t>
  </si>
  <si>
    <t>S6T50102</t>
  </si>
  <si>
    <t>AKHB4418</t>
  </si>
  <si>
    <t>S01176</t>
  </si>
  <si>
    <t>AKHK2773</t>
  </si>
  <si>
    <t>AKHK2074</t>
  </si>
  <si>
    <t>S06044</t>
  </si>
  <si>
    <t>AKHB2818</t>
  </si>
  <si>
    <t>S6T72112</t>
  </si>
  <si>
    <t>S6T65118</t>
  </si>
  <si>
    <t>AKHK2656</t>
  </si>
  <si>
    <t>BBF436</t>
  </si>
  <si>
    <t>S01162</t>
  </si>
  <si>
    <t>AKHB2402</t>
  </si>
  <si>
    <t>S6T67007</t>
  </si>
  <si>
    <t>S01167</t>
  </si>
  <si>
    <t>CASH2359</t>
  </si>
  <si>
    <t>AKHK2458</t>
  </si>
  <si>
    <t>S08051</t>
  </si>
  <si>
    <t>DBD82220081</t>
  </si>
  <si>
    <t>S6T67802</t>
  </si>
  <si>
    <t>CIB - ATM029</t>
  </si>
  <si>
    <t>S09620_ENA</t>
  </si>
  <si>
    <t>DBD82220195</t>
  </si>
  <si>
    <t>S6T73615</t>
  </si>
  <si>
    <t>AKHB2979</t>
  </si>
  <si>
    <t>S02081</t>
  </si>
  <si>
    <t>S6T67803</t>
  </si>
  <si>
    <t>S6T57402</t>
  </si>
  <si>
    <t>S6T60618</t>
  </si>
  <si>
    <t>S6T68001</t>
  </si>
  <si>
    <t>S6T62810</t>
  </si>
  <si>
    <t>S02001</t>
  </si>
  <si>
    <t>S6T60605</t>
  </si>
  <si>
    <t>S6T61405</t>
  </si>
  <si>
    <t>DBD82220068</t>
  </si>
  <si>
    <t>S6T67016</t>
  </si>
  <si>
    <t>DBD82220070</t>
  </si>
  <si>
    <t>S6T17615</t>
  </si>
  <si>
    <t>S6T71806_BZ</t>
  </si>
  <si>
    <t>S6T65128</t>
  </si>
  <si>
    <t>EDHU0163</t>
  </si>
  <si>
    <t>S04046</t>
  </si>
  <si>
    <t>S6T72707</t>
  </si>
  <si>
    <t>S6T59211</t>
  </si>
  <si>
    <t>DBD82220124</t>
  </si>
  <si>
    <t>S6T53209</t>
  </si>
  <si>
    <t>S6T60606</t>
  </si>
  <si>
    <t>S6T65125</t>
  </si>
  <si>
    <t>S6T68510</t>
  </si>
  <si>
    <t>S6T63304</t>
  </si>
  <si>
    <t>CA149</t>
  </si>
  <si>
    <t>DBD82220120</t>
  </si>
  <si>
    <t>S6T51727</t>
  </si>
  <si>
    <t>S04053</t>
  </si>
  <si>
    <t>CASH2579</t>
  </si>
  <si>
    <t>S6T65136</t>
  </si>
  <si>
    <t>S6T52511</t>
  </si>
  <si>
    <t>S6T68511</t>
  </si>
  <si>
    <t>AKHK2561</t>
  </si>
  <si>
    <t>MGND2201</t>
  </si>
  <si>
    <t>S6T51703</t>
  </si>
  <si>
    <t>DBD82220183</t>
  </si>
  <si>
    <t>S6T18408</t>
  </si>
  <si>
    <t>CA40</t>
  </si>
  <si>
    <t>S04052</t>
  </si>
  <si>
    <t>AKHB2119</t>
  </si>
  <si>
    <t>CIB - ATM631</t>
  </si>
  <si>
    <t>S04033</t>
  </si>
  <si>
    <t>CA62_ENA</t>
  </si>
  <si>
    <t>S6T58902</t>
  </si>
  <si>
    <t>S6T63216</t>
  </si>
  <si>
    <t>AKHB2719</t>
  </si>
  <si>
    <t>CASH2205</t>
  </si>
  <si>
    <t>S01164</t>
  </si>
  <si>
    <t>S6T59109</t>
  </si>
  <si>
    <t>S6T68711</t>
  </si>
  <si>
    <t>S6T65108</t>
  </si>
  <si>
    <t>S6T73913</t>
  </si>
  <si>
    <t>S6T58623</t>
  </si>
  <si>
    <t>DBD82220011</t>
  </si>
  <si>
    <t>S6T65202</t>
  </si>
  <si>
    <t>AKHK2944</t>
  </si>
  <si>
    <t>AKHK2481</t>
  </si>
  <si>
    <t>CA54</t>
  </si>
  <si>
    <t>CA53_ENA</t>
  </si>
  <si>
    <t>EDHU0519</t>
  </si>
  <si>
    <t>S09203_ENA</t>
  </si>
  <si>
    <t>S6T52510</t>
  </si>
  <si>
    <t>DBD82220126</t>
  </si>
  <si>
    <t>S6T63214</t>
  </si>
  <si>
    <t>S6T65203</t>
  </si>
  <si>
    <t>S04031</t>
  </si>
  <si>
    <t>S6T64804</t>
  </si>
  <si>
    <t>CASH2562</t>
  </si>
  <si>
    <t>DBD82220129</t>
  </si>
  <si>
    <t>AKHB2967</t>
  </si>
  <si>
    <t>S6T64704</t>
  </si>
  <si>
    <t>CA183_ENA</t>
  </si>
  <si>
    <t>AKHB2416</t>
  </si>
  <si>
    <t>DBD82220060</t>
  </si>
  <si>
    <t>CASH2480</t>
  </si>
  <si>
    <t>AKHB2472</t>
  </si>
  <si>
    <t>AKHB2830</t>
  </si>
  <si>
    <t>S6T65508</t>
  </si>
  <si>
    <t>S6T72102</t>
  </si>
  <si>
    <t>CASH2531</t>
  </si>
  <si>
    <t>DBD82220118</t>
  </si>
  <si>
    <t>S08049</t>
  </si>
  <si>
    <t>CIB - ATM078</t>
  </si>
  <si>
    <t>AKHK2543</t>
  </si>
  <si>
    <t>AKHK2962</t>
  </si>
  <si>
    <t>DBD82220053</t>
  </si>
  <si>
    <t>S06063</t>
  </si>
  <si>
    <t>S6T63230</t>
  </si>
  <si>
    <t>S02069</t>
  </si>
  <si>
    <t>CA201</t>
  </si>
  <si>
    <t>AKHB2469</t>
  </si>
  <si>
    <t>AKHB2821</t>
  </si>
  <si>
    <t>DBD82220032</t>
  </si>
  <si>
    <t>CA152_ENA</t>
  </si>
  <si>
    <t>CASH2503</t>
  </si>
  <si>
    <t>CIB - ATM669</t>
  </si>
  <si>
    <t>S08040</t>
  </si>
  <si>
    <t>S01159</t>
  </si>
  <si>
    <t>S01141</t>
  </si>
  <si>
    <t>S6T60621</t>
  </si>
  <si>
    <t>S6T52509</t>
  </si>
  <si>
    <t>CASH2027</t>
  </si>
  <si>
    <t>S6T72111</t>
  </si>
  <si>
    <t>DBD82220077</t>
  </si>
  <si>
    <t>S6T65514</t>
  </si>
  <si>
    <t>S6T73616</t>
  </si>
  <si>
    <t>DBD82220080</t>
  </si>
  <si>
    <t>CA154</t>
  </si>
  <si>
    <t>S09137</t>
  </si>
  <si>
    <t>CIB - ATM015</t>
  </si>
  <si>
    <t>AKHK2494</t>
  </si>
  <si>
    <t>DBD82220092</t>
  </si>
  <si>
    <t>CASH2235</t>
  </si>
  <si>
    <t>DBD82220153</t>
  </si>
  <si>
    <t>S6T62807</t>
  </si>
  <si>
    <t>DBD82220146</t>
  </si>
  <si>
    <t>S6T62103</t>
  </si>
  <si>
    <t>S06045</t>
  </si>
  <si>
    <t>CA86_ENA</t>
  </si>
  <si>
    <t>DBD82220045</t>
  </si>
  <si>
    <t>S6T75503</t>
  </si>
  <si>
    <t>CA70</t>
  </si>
  <si>
    <t>CA71_ENA</t>
  </si>
  <si>
    <t>S6T50825</t>
  </si>
  <si>
    <t>DBD82220093</t>
  </si>
  <si>
    <t>S6T54621</t>
  </si>
  <si>
    <t>DBD82220202</t>
  </si>
  <si>
    <t>CA29_ENA</t>
  </si>
  <si>
    <t>EDHU0337</t>
  </si>
  <si>
    <t>AKHK2732</t>
  </si>
  <si>
    <t>CASH2528</t>
  </si>
  <si>
    <t>S6T69304</t>
  </si>
  <si>
    <t>CIB - ATM088</t>
  </si>
  <si>
    <t>S6T50312_BZ</t>
  </si>
  <si>
    <t>CASH2230</t>
  </si>
  <si>
    <t>S6T17614</t>
  </si>
  <si>
    <t>S6T62803</t>
  </si>
  <si>
    <t>DBD82220169</t>
  </si>
  <si>
    <t>DBD82220086</t>
  </si>
  <si>
    <t>S01190</t>
  </si>
  <si>
    <t>S01116_ENA</t>
  </si>
  <si>
    <t>S6T59519</t>
  </si>
  <si>
    <t>S02067</t>
  </si>
  <si>
    <t>S6T55111</t>
  </si>
  <si>
    <t>CA06_ENA</t>
  </si>
  <si>
    <t>CA07</t>
  </si>
  <si>
    <t>CASH2293</t>
  </si>
  <si>
    <t>AKHK4412</t>
  </si>
  <si>
    <t>CASH2508</t>
  </si>
  <si>
    <t>S6T64812</t>
  </si>
  <si>
    <t>S6T65121</t>
  </si>
  <si>
    <t>S6T58602</t>
  </si>
  <si>
    <t>S6T65704</t>
  </si>
  <si>
    <t>AKHK2803</t>
  </si>
  <si>
    <t>CASH2053</t>
  </si>
  <si>
    <t>CIB - ATM160</t>
  </si>
  <si>
    <t>CA102</t>
  </si>
  <si>
    <t>DBD82220128</t>
  </si>
  <si>
    <t>CIB - ATM034</t>
  </si>
  <si>
    <t>AKHK2698</t>
  </si>
  <si>
    <t>DBD82220035</t>
  </si>
  <si>
    <t>S6T53208</t>
  </si>
  <si>
    <t>S08062</t>
  </si>
  <si>
    <t>AKHB2191</t>
  </si>
  <si>
    <t>S6T56905</t>
  </si>
  <si>
    <t>S03027</t>
  </si>
  <si>
    <t>CIB - ATM012</t>
  </si>
  <si>
    <t>S09208</t>
  </si>
  <si>
    <t>S04014</t>
  </si>
  <si>
    <t>S04023</t>
  </si>
  <si>
    <t>S6T55112</t>
  </si>
  <si>
    <t>CIB - ATM035</t>
  </si>
  <si>
    <t>AKHK2809</t>
  </si>
  <si>
    <t>S6T69301</t>
  </si>
  <si>
    <t>DBD82220130</t>
  </si>
  <si>
    <t>CA210</t>
  </si>
  <si>
    <t>S04021</t>
  </si>
  <si>
    <t>S6T68003</t>
  </si>
  <si>
    <t>S6T72703</t>
  </si>
  <si>
    <t>S6T51716</t>
  </si>
  <si>
    <t>AKHK2608</t>
  </si>
  <si>
    <t>DBD82220102</t>
  </si>
  <si>
    <t>DBD82220127</t>
  </si>
  <si>
    <t>S06061</t>
  </si>
  <si>
    <t>S6T58605</t>
  </si>
  <si>
    <t>DBD82220198</t>
  </si>
  <si>
    <t>S01034_IDMBD</t>
  </si>
  <si>
    <t>EDHU0241</t>
  </si>
  <si>
    <t>CIB - ATM041</t>
  </si>
  <si>
    <t>S01191</t>
  </si>
  <si>
    <t>S6T64805</t>
  </si>
  <si>
    <t>AKHK2396</t>
  </si>
  <si>
    <t>CASH2211</t>
  </si>
  <si>
    <t>S6T56904</t>
  </si>
  <si>
    <t>S6T64414</t>
  </si>
  <si>
    <t>CA169_ENA</t>
  </si>
  <si>
    <t>DBD82220021</t>
  </si>
  <si>
    <t>AKHK2661</t>
  </si>
  <si>
    <t>CASH2060</t>
  </si>
  <si>
    <t>DBD82220131</t>
  </si>
  <si>
    <t>S6T68702</t>
  </si>
  <si>
    <t>S6T55113</t>
  </si>
  <si>
    <t>S6T57702</t>
  </si>
  <si>
    <t>CIB - ATM632</t>
  </si>
  <si>
    <t>CASH2525</t>
  </si>
  <si>
    <t>CASH2047</t>
  </si>
  <si>
    <t>S06023</t>
  </si>
  <si>
    <t>DBD82220082</t>
  </si>
  <si>
    <t>AKHB2947</t>
  </si>
  <si>
    <t>S08012</t>
  </si>
  <si>
    <t>S6T64401</t>
  </si>
  <si>
    <t>S6T57415</t>
  </si>
  <si>
    <t>S02059</t>
  </si>
  <si>
    <t>DBD82220125</t>
  </si>
  <si>
    <t>DBD82220132</t>
  </si>
  <si>
    <t>S01200</t>
  </si>
  <si>
    <t>S6T67901</t>
  </si>
  <si>
    <t>CA207</t>
  </si>
  <si>
    <t>S6T60611</t>
  </si>
  <si>
    <t>DBD82220136</t>
  </si>
  <si>
    <t>S6T51721</t>
  </si>
  <si>
    <t>AKHK2466</t>
  </si>
  <si>
    <t>DBD82220133</t>
  </si>
  <si>
    <t>DBD82220007</t>
  </si>
  <si>
    <t>S01210_ENA</t>
  </si>
  <si>
    <t>CA99_ENA</t>
  </si>
  <si>
    <t>CA136</t>
  </si>
  <si>
    <t>S04025</t>
  </si>
  <si>
    <t>CIB - ATM671</t>
  </si>
  <si>
    <t>S04055</t>
  </si>
  <si>
    <t>CA83</t>
  </si>
  <si>
    <t>CA161</t>
  </si>
  <si>
    <t>CASH2073</t>
  </si>
  <si>
    <t>S03013</t>
  </si>
  <si>
    <t>CIB - ATM630</t>
  </si>
  <si>
    <t>S08057</t>
  </si>
  <si>
    <t>CA167</t>
  </si>
  <si>
    <t>S03058</t>
  </si>
  <si>
    <t>S6T63221</t>
  </si>
  <si>
    <t>S6T52803</t>
  </si>
  <si>
    <t>CIB - ATM033</t>
  </si>
  <si>
    <t>DBD82220084</t>
  </si>
  <si>
    <t>S08015_ENA</t>
  </si>
  <si>
    <t>AKHK2625</t>
  </si>
  <si>
    <t>S6T74002</t>
  </si>
  <si>
    <t>DBD82220016</t>
  </si>
  <si>
    <t>CIB - ATM043</t>
  </si>
  <si>
    <t>S09411</t>
  </si>
  <si>
    <t>CASH2386</t>
  </si>
  <si>
    <t>S6T72103</t>
  </si>
  <si>
    <t>S08028</t>
  </si>
  <si>
    <t>EDHU0047</t>
  </si>
  <si>
    <t>EDHU0260</t>
  </si>
  <si>
    <t>S08036</t>
  </si>
  <si>
    <t>AKHK2650</t>
  </si>
  <si>
    <t>CASH2006</t>
  </si>
  <si>
    <t>AKHK2694</t>
  </si>
  <si>
    <t>S6T62801</t>
  </si>
  <si>
    <t>DBD82220193</t>
  </si>
  <si>
    <t>S6T68703</t>
  </si>
  <si>
    <t>DBD82220015</t>
  </si>
  <si>
    <t>CASH2109</t>
  </si>
  <si>
    <t>S6T62804</t>
  </si>
  <si>
    <t>S6T63208</t>
  </si>
  <si>
    <t>AKHK2932</t>
  </si>
  <si>
    <t>CIB - ATM037</t>
  </si>
  <si>
    <t>CASH2133</t>
  </si>
  <si>
    <t>CASH2572</t>
  </si>
  <si>
    <t>S09225_ENA</t>
  </si>
  <si>
    <t>S6T58106</t>
  </si>
  <si>
    <t>S6T50830</t>
  </si>
  <si>
    <t>S09319</t>
  </si>
  <si>
    <t>EDHU0177</t>
  </si>
  <si>
    <t>AKHK2405</t>
  </si>
  <si>
    <t>S6T55109</t>
  </si>
  <si>
    <t>CA137</t>
  </si>
  <si>
    <t>S6T65110</t>
  </si>
  <si>
    <t>S6T65504</t>
  </si>
  <si>
    <t>S6T60617</t>
  </si>
  <si>
    <t>S06074</t>
  </si>
  <si>
    <t>S6T65120</t>
  </si>
  <si>
    <t>AKHK4433</t>
  </si>
  <si>
    <t>DBD82220176</t>
  </si>
  <si>
    <t>S6T57701</t>
  </si>
  <si>
    <t>AKHB2893</t>
  </si>
  <si>
    <t>S6T72105</t>
  </si>
  <si>
    <t>AKHK2808</t>
  </si>
  <si>
    <t>S6T62809</t>
  </si>
  <si>
    <t>S6T68809</t>
  </si>
  <si>
    <t>S6T63307</t>
  </si>
  <si>
    <t>S6T59523</t>
  </si>
  <si>
    <t>DBD82220187</t>
  </si>
  <si>
    <t>S6T67012</t>
  </si>
  <si>
    <t>DBD82220019</t>
  </si>
  <si>
    <t>S03057</t>
  </si>
  <si>
    <t>DBD82220177</t>
  </si>
  <si>
    <t>S08044</t>
  </si>
  <si>
    <t>S6T63225</t>
  </si>
  <si>
    <t>S06003</t>
  </si>
  <si>
    <t>DBD82220040</t>
  </si>
  <si>
    <t>S02053</t>
  </si>
  <si>
    <t>S6T64402</t>
  </si>
  <si>
    <t>S6T65102</t>
  </si>
  <si>
    <t>CIB - ATM114</t>
  </si>
  <si>
    <t>S03007</t>
  </si>
  <si>
    <t>S6T63222</t>
  </si>
  <si>
    <t>S6T51738</t>
  </si>
  <si>
    <t>S6T64407</t>
  </si>
  <si>
    <t>S01173</t>
  </si>
  <si>
    <t>CIB - ATM080</t>
  </si>
  <si>
    <t>EDHU0349</t>
  </si>
  <si>
    <t>CA189_ENA</t>
  </si>
  <si>
    <t>CIB - ATM613</t>
  </si>
  <si>
    <t>S01015_IDMBD</t>
  </si>
  <si>
    <t>AKHK2960</t>
  </si>
  <si>
    <t>S01040</t>
  </si>
  <si>
    <t>AKHB2471</t>
  </si>
  <si>
    <t>S01194</t>
  </si>
  <si>
    <t>AKHK2765</t>
  </si>
  <si>
    <t>S6T72109</t>
  </si>
  <si>
    <t>S08002</t>
  </si>
  <si>
    <t>S09800</t>
  </si>
  <si>
    <t>S6T60300</t>
  </si>
  <si>
    <t>CIB - ATM618</t>
  </si>
  <si>
    <t>AKHB2200</t>
  </si>
  <si>
    <t>S6T50316</t>
  </si>
  <si>
    <t>CA200</t>
  </si>
  <si>
    <t>S08052</t>
  </si>
  <si>
    <t>S6T65905</t>
  </si>
  <si>
    <t>CA178</t>
  </si>
  <si>
    <t>S02064</t>
  </si>
  <si>
    <t>AKHB2423</t>
  </si>
  <si>
    <t>S6T65107</t>
  </si>
  <si>
    <t>S6T72106</t>
  </si>
  <si>
    <t>CA163_ENA</t>
  </si>
  <si>
    <t>S6T54201</t>
  </si>
  <si>
    <t>CIB - ATM014</t>
  </si>
  <si>
    <t>CIB - ATM073</t>
  </si>
  <si>
    <t>CASH2292</t>
  </si>
  <si>
    <t>S6T58611</t>
  </si>
  <si>
    <t>CA143</t>
  </si>
  <si>
    <t>S08024</t>
  </si>
  <si>
    <t>CA75_ENA</t>
  </si>
  <si>
    <t>DBD82220196</t>
  </si>
  <si>
    <t>AKHK4984</t>
  </si>
  <si>
    <t>CIB - ATM633</t>
  </si>
  <si>
    <t>DBD82220020</t>
  </si>
  <si>
    <t>CA113</t>
  </si>
  <si>
    <t>CA44_ENA</t>
  </si>
  <si>
    <t>DBD82220059</t>
  </si>
  <si>
    <t>S6T68512</t>
  </si>
  <si>
    <t>S6T58619</t>
  </si>
  <si>
    <t>CA172</t>
  </si>
  <si>
    <t>CA116</t>
  </si>
  <si>
    <t>DBD82220038</t>
  </si>
  <si>
    <t>S01192_ENA</t>
  </si>
  <si>
    <t>CA190_ENA</t>
  </si>
  <si>
    <t>CIB - ATM169</t>
  </si>
  <si>
    <t>S06047</t>
  </si>
  <si>
    <t>AKHK2319</t>
  </si>
  <si>
    <t>S06015</t>
  </si>
  <si>
    <t>S6T68513</t>
  </si>
  <si>
    <t>S06077</t>
  </si>
  <si>
    <t>AKHK2657</t>
  </si>
  <si>
    <t>AKHK2933</t>
  </si>
  <si>
    <t>S6T52512</t>
  </si>
  <si>
    <t>S6T64410</t>
  </si>
  <si>
    <t>CA140</t>
  </si>
  <si>
    <t>CIB - ATM159</t>
  </si>
  <si>
    <t>DBD82220162</t>
  </si>
  <si>
    <t>S6T59903</t>
  </si>
  <si>
    <t>CA82_ENA</t>
  </si>
  <si>
    <t>S01091</t>
  </si>
  <si>
    <t>AKHB4436</t>
  </si>
  <si>
    <t>AKHB2721</t>
  </si>
  <si>
    <t>AKHB2456</t>
  </si>
  <si>
    <t>CASH2093</t>
  </si>
  <si>
    <t>S6T50314_BZ</t>
  </si>
  <si>
    <t>EDHU0236</t>
  </si>
  <si>
    <t>EDHU0067</t>
  </si>
  <si>
    <t>S6T18401</t>
  </si>
  <si>
    <t>S01075_ENA</t>
  </si>
  <si>
    <t>EDHU0262</t>
  </si>
  <si>
    <t>EDHU0289</t>
  </si>
  <si>
    <t>CASH2514</t>
  </si>
  <si>
    <t>DBD82220008</t>
  </si>
  <si>
    <t>CIB - ATM058</t>
  </si>
  <si>
    <t>CASH2264</t>
  </si>
  <si>
    <t>CA98_ENA</t>
  </si>
  <si>
    <t>CA87_ENA</t>
  </si>
  <si>
    <t>BBF618</t>
  </si>
  <si>
    <t>S01139_ENA</t>
  </si>
  <si>
    <t>CIB - ATM614</t>
  </si>
  <si>
    <t>CASH2113</t>
  </si>
  <si>
    <t>EDHU0257</t>
  </si>
  <si>
    <t>S01050</t>
  </si>
  <si>
    <t>S03037</t>
  </si>
  <si>
    <t>AKHK4447</t>
  </si>
  <si>
    <t>CIB - ATM601</t>
  </si>
  <si>
    <t>S03001</t>
  </si>
  <si>
    <t>S03038_ENA</t>
  </si>
  <si>
    <t>DBD82220107</t>
  </si>
  <si>
    <t>MGND1301</t>
  </si>
  <si>
    <t>S06031</t>
  </si>
  <si>
    <t>CA45_ENA</t>
  </si>
  <si>
    <t>AKHK2519</t>
  </si>
  <si>
    <t>DBD82220087</t>
  </si>
  <si>
    <t>S6T59521</t>
  </si>
  <si>
    <t>CIB - ATM049</t>
  </si>
  <si>
    <t>S6T17603</t>
  </si>
  <si>
    <t>DBD82220061</t>
  </si>
  <si>
    <t>CA125_ENA</t>
  </si>
  <si>
    <t>S09809_ENA</t>
  </si>
  <si>
    <t>CASH2057</t>
  </si>
  <si>
    <t>AKHK2630</t>
  </si>
  <si>
    <t>EDHU0199</t>
  </si>
  <si>
    <t>S6T72107</t>
  </si>
  <si>
    <t>S04047</t>
  </si>
  <si>
    <t>AKHK4336</t>
  </si>
  <si>
    <t>AKHB2723</t>
  </si>
  <si>
    <t>S6T57405</t>
  </si>
  <si>
    <t>S6T68710</t>
  </si>
  <si>
    <t>AKHK2699</t>
  </si>
  <si>
    <t>S02066</t>
  </si>
  <si>
    <t>AKHB2476</t>
  </si>
  <si>
    <t>S6T72906</t>
  </si>
  <si>
    <t>S01213_ENA</t>
  </si>
  <si>
    <t>S01214</t>
  </si>
  <si>
    <t>S6T55105</t>
  </si>
  <si>
    <t>AKHK4454</t>
  </si>
  <si>
    <t>S6T60604</t>
  </si>
  <si>
    <t>S6T61404</t>
  </si>
  <si>
    <t>S09805_ENA</t>
  </si>
  <si>
    <t>S6T67004</t>
  </si>
  <si>
    <t>S6T73907</t>
  </si>
  <si>
    <t>S02020</t>
  </si>
  <si>
    <t>S6T65906</t>
  </si>
  <si>
    <t>CA147</t>
  </si>
  <si>
    <t>S6T73903</t>
  </si>
  <si>
    <t>CASH2295</t>
  </si>
  <si>
    <t>DBD82220154</t>
  </si>
  <si>
    <t>S6T50319</t>
  </si>
  <si>
    <t>S6T68802</t>
  </si>
  <si>
    <t>AKHK2744</t>
  </si>
  <si>
    <t>AKHK2581</t>
  </si>
  <si>
    <t>S6T64813</t>
  </si>
  <si>
    <t>CA04</t>
  </si>
  <si>
    <t>AKHK4331</t>
  </si>
  <si>
    <t>S6T50832</t>
  </si>
  <si>
    <t>AKHB2670</t>
  </si>
  <si>
    <t>S6T69401</t>
  </si>
  <si>
    <t>S6T63301</t>
  </si>
  <si>
    <t>DBD82220165</t>
  </si>
  <si>
    <t>S6T65210</t>
  </si>
  <si>
    <t>DBD82220142</t>
  </si>
  <si>
    <t>CA11_ENA</t>
  </si>
  <si>
    <t>S6T51746</t>
  </si>
  <si>
    <t>AKHK2460</t>
  </si>
  <si>
    <t>AKHK2170</t>
  </si>
  <si>
    <t>S6T69405</t>
  </si>
  <si>
    <t>CASH2550</t>
  </si>
  <si>
    <t>S06033</t>
  </si>
  <si>
    <t>DBD82220063</t>
  </si>
  <si>
    <t>S01125_ENA</t>
  </si>
  <si>
    <t>S6T58607</t>
  </si>
  <si>
    <t>AKHB2078</t>
  </si>
  <si>
    <t>CIB - ATM030</t>
  </si>
  <si>
    <t>CIB - ATM673</t>
  </si>
  <si>
    <t>CIB - ATM674</t>
  </si>
  <si>
    <t>S01208</t>
  </si>
  <si>
    <t>S6T64809</t>
  </si>
  <si>
    <t>S09116</t>
  </si>
  <si>
    <t>AKHK2923</t>
  </si>
  <si>
    <t>CA81</t>
  </si>
  <si>
    <t>CA80_ENA</t>
  </si>
  <si>
    <t>S01090_ENA</t>
  </si>
  <si>
    <t>DBD82220028</t>
  </si>
  <si>
    <t>CIB - ATM068</t>
  </si>
  <si>
    <t>CASH2278</t>
  </si>
  <si>
    <t>S6T65506</t>
  </si>
  <si>
    <t>S6T68514</t>
  </si>
  <si>
    <t>S01065</t>
  </si>
  <si>
    <t>AKHB2707</t>
  </si>
  <si>
    <t>CA20</t>
  </si>
  <si>
    <t>S01062</t>
  </si>
  <si>
    <t>S01106</t>
  </si>
  <si>
    <t>CA22_ENA</t>
  </si>
  <si>
    <t>AKHK2527</t>
  </si>
  <si>
    <t>DBD82220085</t>
  </si>
  <si>
    <t>CIB - ATM156</t>
  </si>
  <si>
    <t>DBD82220049</t>
  </si>
  <si>
    <t>S6T65101</t>
  </si>
  <si>
    <t>CA03_ENA</t>
  </si>
  <si>
    <t>S01186</t>
  </si>
  <si>
    <t>CA185</t>
  </si>
  <si>
    <t>CASH2044</t>
  </si>
  <si>
    <t>DBD82220058</t>
  </si>
  <si>
    <t>OPT562 1GIG-DVD-UPS-LAN-A6-CEN3(4HIGH)</t>
  </si>
  <si>
    <t>Diebold-Opteva 720 ATM Indoor</t>
  </si>
  <si>
    <t>Diebold-Opteva 760 ATM Outdoor</t>
  </si>
  <si>
    <t>ProCash 2050</t>
  </si>
  <si>
    <t>Diebold-Opteva 868 ATM</t>
  </si>
  <si>
    <t>ProCash 2000xe Frontload</t>
  </si>
  <si>
    <t>Diebold-Opteva 828 FL Cash Recycler</t>
  </si>
  <si>
    <t>Diebold-Opteva 522 Lobby Cash Dispenser</t>
  </si>
  <si>
    <t>Diebold-Opteva 520 ATM Indoor</t>
  </si>
  <si>
    <t>Diebold-Opteva 750 ATM Outdoor</t>
  </si>
  <si>
    <t>ProCash 2100xe USB Frontload</t>
  </si>
  <si>
    <t>ProCash 2050xe USB</t>
  </si>
  <si>
    <t>ProCash 2150</t>
  </si>
  <si>
    <t>Diebold-Opteva 560 ATM Outdoor</t>
  </si>
  <si>
    <t>ProCash 2100</t>
  </si>
  <si>
    <t>Diebold-Questar 3410 ATM</t>
  </si>
  <si>
    <t>ProCash 2350xe</t>
  </si>
  <si>
    <t>ProCash 2100xe Frontload</t>
  </si>
  <si>
    <t>ProCash 2150xe</t>
  </si>
  <si>
    <t>Diebold-Opteva 562r 3 High-Standard ATM</t>
  </si>
  <si>
    <t>ProCash 2250xe</t>
  </si>
  <si>
    <t>CINEO C2560</t>
  </si>
  <si>
    <t>ProCash 2050xe</t>
  </si>
  <si>
    <t>ProCash 1500</t>
  </si>
  <si>
    <t>CSC/450 system</t>
  </si>
  <si>
    <t>CINEO C2550</t>
  </si>
  <si>
    <t>Diebold-1064ix ATM Indoor</t>
  </si>
  <si>
    <t>ProCash 2000xe USB Rearload</t>
  </si>
  <si>
    <t>ProCash 280 Frontload</t>
  </si>
  <si>
    <t>ProCash 2100xe Rearload</t>
  </si>
  <si>
    <t>ProCash 2054xe USB</t>
  </si>
  <si>
    <t>ProCash 2150xe USB</t>
  </si>
  <si>
    <t>ProCash 2100xe USB Rearload</t>
  </si>
  <si>
    <t>ProCash 1500xe RL USB</t>
  </si>
  <si>
    <t>Diebold-Opteva 378 Cash Recycler</t>
  </si>
  <si>
    <t>1720FH120182</t>
  </si>
  <si>
    <t>1760RH120606</t>
  </si>
  <si>
    <t>XXS6T57704</t>
  </si>
  <si>
    <t>1828FH101803</t>
  </si>
  <si>
    <t>1562RH143046</t>
  </si>
  <si>
    <t>1828FH102186</t>
  </si>
  <si>
    <t>1828FH102255</t>
  </si>
  <si>
    <t>1828FH102204</t>
  </si>
  <si>
    <t>1868RH107553</t>
  </si>
  <si>
    <t>1522FH113851</t>
  </si>
  <si>
    <t>1760RH123651</t>
  </si>
  <si>
    <t>1720FH122106</t>
  </si>
  <si>
    <t>1520FH124915</t>
  </si>
  <si>
    <t>1562RH140535</t>
  </si>
  <si>
    <t>1868RH107574</t>
  </si>
  <si>
    <t>1562RH127305</t>
  </si>
  <si>
    <t>1868RH106117</t>
  </si>
  <si>
    <t>1760R3320898</t>
  </si>
  <si>
    <t>1760R3320557</t>
  </si>
  <si>
    <t>1562RH126039</t>
  </si>
  <si>
    <t>1750F3320011</t>
  </si>
  <si>
    <t>5300709365</t>
  </si>
  <si>
    <t>5300776003X</t>
  </si>
  <si>
    <t>1522FH105480</t>
  </si>
  <si>
    <t>XXS6T75003</t>
  </si>
  <si>
    <t>1522FH100277</t>
  </si>
  <si>
    <t>1760R3320584</t>
  </si>
  <si>
    <t>1868RH107547</t>
  </si>
  <si>
    <t>1562RH153246</t>
  </si>
  <si>
    <t>1760RH120940</t>
  </si>
  <si>
    <t>1560R3303609</t>
  </si>
  <si>
    <t>XXS6T57101</t>
  </si>
  <si>
    <t>1520FCF00889</t>
  </si>
  <si>
    <t>1562RH137084</t>
  </si>
  <si>
    <t>1720FH122348</t>
  </si>
  <si>
    <t>5300259832</t>
  </si>
  <si>
    <t>1720F3320067</t>
  </si>
  <si>
    <t>5300199608</t>
  </si>
  <si>
    <t>1720FH121857</t>
  </si>
  <si>
    <t>5300336129</t>
  </si>
  <si>
    <t>5300279234</t>
  </si>
  <si>
    <t>1520FCF00885</t>
  </si>
  <si>
    <t>1828FH101750</t>
  </si>
  <si>
    <t>1760RH120574</t>
  </si>
  <si>
    <t>XXS6T57102</t>
  </si>
  <si>
    <t>1522FH118976</t>
  </si>
  <si>
    <t>5300100743</t>
  </si>
  <si>
    <t>1760RH120542</t>
  </si>
  <si>
    <t>1562RH154081</t>
  </si>
  <si>
    <t>1520F3303649</t>
  </si>
  <si>
    <t>1720FH122114</t>
  </si>
  <si>
    <t>1520FH121649</t>
  </si>
  <si>
    <t>1520FCF00564</t>
  </si>
  <si>
    <t>1828FH101712</t>
  </si>
  <si>
    <t>1562RH153179</t>
  </si>
  <si>
    <t>1868RH107813</t>
  </si>
  <si>
    <t>1522FH118971</t>
  </si>
  <si>
    <t>1522FH108666</t>
  </si>
  <si>
    <t>1750F3320027</t>
  </si>
  <si>
    <t>1562RH157366</t>
  </si>
  <si>
    <t>1562RCF00958</t>
  </si>
  <si>
    <t>1828FH102231</t>
  </si>
  <si>
    <t>1522FH106947</t>
  </si>
  <si>
    <t>1522FH113858</t>
  </si>
  <si>
    <t>1522FH118925</t>
  </si>
  <si>
    <t>1760R3320148</t>
  </si>
  <si>
    <t>1828FH102253</t>
  </si>
  <si>
    <t>1760R3320559</t>
  </si>
  <si>
    <t>1760RH128482</t>
  </si>
  <si>
    <t>1562RH153228</t>
  </si>
  <si>
    <t>1868RH105288</t>
  </si>
  <si>
    <t>1562RH150124</t>
  </si>
  <si>
    <t>1520FH122733</t>
  </si>
  <si>
    <t>1520FCF00219</t>
  </si>
  <si>
    <t>1760RCF00115</t>
  </si>
  <si>
    <t>1720FH121724</t>
  </si>
  <si>
    <t>1522FH118968</t>
  </si>
  <si>
    <t>1522FH113846</t>
  </si>
  <si>
    <t>1760RH120725</t>
  </si>
  <si>
    <t>1760RH120534</t>
  </si>
  <si>
    <t>1760RH123963</t>
  </si>
  <si>
    <t>1562RH144919</t>
  </si>
  <si>
    <t>1868RIP00249</t>
  </si>
  <si>
    <t>1750FGR20634</t>
  </si>
  <si>
    <t>5300195196</t>
  </si>
  <si>
    <t>5300195198</t>
  </si>
  <si>
    <t>1760R3320194</t>
  </si>
  <si>
    <t>1562RH134182</t>
  </si>
  <si>
    <t>1522FH104487</t>
  </si>
  <si>
    <t>1828FH101810</t>
  </si>
  <si>
    <t>562RRH101580</t>
  </si>
  <si>
    <t>1720FH123165</t>
  </si>
  <si>
    <t>1760RH127777</t>
  </si>
  <si>
    <t>5300247896</t>
  </si>
  <si>
    <t>1760R3320563</t>
  </si>
  <si>
    <t>1562RH120095</t>
  </si>
  <si>
    <t>1562RCF01071</t>
  </si>
  <si>
    <t>5300648551</t>
  </si>
  <si>
    <t>1868RH107233</t>
  </si>
  <si>
    <t>1522FH104752</t>
  </si>
  <si>
    <t>1868RH106383</t>
  </si>
  <si>
    <t>1760RH120842</t>
  </si>
  <si>
    <t>1560R3301867</t>
  </si>
  <si>
    <t>562RRH100053</t>
  </si>
  <si>
    <t>1760RH120722</t>
  </si>
  <si>
    <t>562RRH100904</t>
  </si>
  <si>
    <t>1720FH121913</t>
  </si>
  <si>
    <t>1562RH153182</t>
  </si>
  <si>
    <t>1868RH101214</t>
  </si>
  <si>
    <t>1562RCF00942</t>
  </si>
  <si>
    <t>1520F3311674</t>
  </si>
  <si>
    <t>1720FH122067</t>
  </si>
  <si>
    <t>1760RH121546</t>
  </si>
  <si>
    <t>1760RH120964</t>
  </si>
  <si>
    <t>1868RH107234</t>
  </si>
  <si>
    <t>1760RH125411</t>
  </si>
  <si>
    <t>1560RCF00832</t>
  </si>
  <si>
    <t>1720F3320062</t>
  </si>
  <si>
    <t>1760RH120934</t>
  </si>
  <si>
    <t>1520FH120036</t>
  </si>
  <si>
    <t>1562RH128668</t>
  </si>
  <si>
    <t>1760RH125092</t>
  </si>
  <si>
    <t>1720FH120188</t>
  </si>
  <si>
    <t>1828FH101738</t>
  </si>
  <si>
    <t>1562RH128385</t>
  </si>
  <si>
    <t>1720FH120243</t>
  </si>
  <si>
    <t>1520F3305919</t>
  </si>
  <si>
    <t>1720FH123699</t>
  </si>
  <si>
    <t>1828FH101767</t>
  </si>
  <si>
    <t>1828FH101749</t>
  </si>
  <si>
    <t>1760RH120579</t>
  </si>
  <si>
    <t>1868RH107249</t>
  </si>
  <si>
    <t>5300829111</t>
  </si>
  <si>
    <t>1828FH101817</t>
  </si>
  <si>
    <t>562RRH100580</t>
  </si>
  <si>
    <t>1828FH102245</t>
  </si>
  <si>
    <t>1562RH132407</t>
  </si>
  <si>
    <t>1828FH102222</t>
  </si>
  <si>
    <t>1828FH102223</t>
  </si>
  <si>
    <t>1520FCF00447</t>
  </si>
  <si>
    <t>1562RH140531</t>
  </si>
  <si>
    <t>1760RH120724</t>
  </si>
  <si>
    <t>1760RH129214</t>
  </si>
  <si>
    <t>1562R3300028</t>
  </si>
  <si>
    <t>1520FH122877</t>
  </si>
  <si>
    <t>1562RH128669</t>
  </si>
  <si>
    <t>1562RH143042</t>
  </si>
  <si>
    <t>5300829422</t>
  </si>
  <si>
    <t>5300151252</t>
  </si>
  <si>
    <t>1720F3320068</t>
  </si>
  <si>
    <t>1760RH120532</t>
  </si>
  <si>
    <t>1760RH120575</t>
  </si>
  <si>
    <t>1828FH101697</t>
  </si>
  <si>
    <t>1520FH121651</t>
  </si>
  <si>
    <t>1520FCF00933</t>
  </si>
  <si>
    <t>1520FH123076</t>
  </si>
  <si>
    <t>5300236589</t>
  </si>
  <si>
    <t>6100692461</t>
  </si>
  <si>
    <t>1520FH120060</t>
  </si>
  <si>
    <t>1520FH121681</t>
  </si>
  <si>
    <t>1828FH101773</t>
  </si>
  <si>
    <t>1760RH127394</t>
  </si>
  <si>
    <t>1520FCF00167</t>
  </si>
  <si>
    <t>1828FH101701</t>
  </si>
  <si>
    <t>1760R3310794</t>
  </si>
  <si>
    <t>5300249957</t>
  </si>
  <si>
    <t>1520FH124920</t>
  </si>
  <si>
    <t>1828FH102259</t>
  </si>
  <si>
    <t>1720VH120055</t>
  </si>
  <si>
    <t>1520FCF00878</t>
  </si>
  <si>
    <t>5300280434</t>
  </si>
  <si>
    <t>1522FH105483</t>
  </si>
  <si>
    <t>1562RH135485</t>
  </si>
  <si>
    <t>1520FH121652</t>
  </si>
  <si>
    <t>1520FCF00894</t>
  </si>
  <si>
    <t>XXS6T56902</t>
  </si>
  <si>
    <t>1522FH107107</t>
  </si>
  <si>
    <t>1562RH120081</t>
  </si>
  <si>
    <t>1720FH122111</t>
  </si>
  <si>
    <t>1520FH122731</t>
  </si>
  <si>
    <t>1720FH122170</t>
  </si>
  <si>
    <t>1562RCF01070</t>
  </si>
  <si>
    <t>1760RH120529</t>
  </si>
  <si>
    <t>1720FH122117</t>
  </si>
  <si>
    <t>XXS6T64801</t>
  </si>
  <si>
    <t>5300121125</t>
  </si>
  <si>
    <t>1562RH153186</t>
  </si>
  <si>
    <t>1868RH101215</t>
  </si>
  <si>
    <t>562RRH100425</t>
  </si>
  <si>
    <t>1522FH113840</t>
  </si>
  <si>
    <t>1868RH102956</t>
  </si>
  <si>
    <t>1720F3320050</t>
  </si>
  <si>
    <t>1828FH101717</t>
  </si>
  <si>
    <t>1520FH124924</t>
  </si>
  <si>
    <t>1562RH136304</t>
  </si>
  <si>
    <t>1562RCF00951</t>
  </si>
  <si>
    <t>1562RH153189</t>
  </si>
  <si>
    <t>1868RH106391</t>
  </si>
  <si>
    <t>1760RH125413</t>
  </si>
  <si>
    <t>5300279433</t>
  </si>
  <si>
    <t>1760RH129105</t>
  </si>
  <si>
    <t>1562RH150123</t>
  </si>
  <si>
    <t>5300236372</t>
  </si>
  <si>
    <t>1868RH106110</t>
  </si>
  <si>
    <t>1520FH120013</t>
  </si>
  <si>
    <t>1760RH120547</t>
  </si>
  <si>
    <t>1562RH124654</t>
  </si>
  <si>
    <t>1560R3303123</t>
  </si>
  <si>
    <t>1562RH136373</t>
  </si>
  <si>
    <t>1520FH121954</t>
  </si>
  <si>
    <t>1520FCF00569</t>
  </si>
  <si>
    <t>1522FH102197</t>
  </si>
  <si>
    <t>1522FH111337</t>
  </si>
  <si>
    <t>1720V3301056</t>
  </si>
  <si>
    <t>5300128281</t>
  </si>
  <si>
    <t>1720FH123164</t>
  </si>
  <si>
    <t>1562RH127317</t>
  </si>
  <si>
    <t>1868RH107752</t>
  </si>
  <si>
    <t>1760R3320397</t>
  </si>
  <si>
    <t>1562RH155236</t>
  </si>
  <si>
    <t>1828FIP00124</t>
  </si>
  <si>
    <t>1828FH102008</t>
  </si>
  <si>
    <t>1868RH107238</t>
  </si>
  <si>
    <t>1562RH134184</t>
  </si>
  <si>
    <t>1560RCF01060</t>
  </si>
  <si>
    <t>5300336137</t>
  </si>
  <si>
    <t>5300769369</t>
  </si>
  <si>
    <t>5300208709</t>
  </si>
  <si>
    <t>1562RH135484</t>
  </si>
  <si>
    <t>5300248392</t>
  </si>
  <si>
    <t>1562RH155234</t>
  </si>
  <si>
    <t>1828FH102216</t>
  </si>
  <si>
    <t>1760R3320533</t>
  </si>
  <si>
    <t>1828FH102230</t>
  </si>
  <si>
    <t>XXS6T57602</t>
  </si>
  <si>
    <t>1522FH100289</t>
  </si>
  <si>
    <t>1868RH102957</t>
  </si>
  <si>
    <t>1562RH153176</t>
  </si>
  <si>
    <t>1562RCF00037</t>
  </si>
  <si>
    <t>5300057641</t>
  </si>
  <si>
    <t>1522FH105485</t>
  </si>
  <si>
    <t>1520FH120034</t>
  </si>
  <si>
    <t>1520FCF00888</t>
  </si>
  <si>
    <t>1520V3300628</t>
  </si>
  <si>
    <t>1760RCF00110</t>
  </si>
  <si>
    <t>1760R3320594</t>
  </si>
  <si>
    <t>1760RH120723</t>
  </si>
  <si>
    <t>1520FCF00562</t>
  </si>
  <si>
    <t>1520FH124919</t>
  </si>
  <si>
    <t>1520FCF00884</t>
  </si>
  <si>
    <t>1520FCF00880</t>
  </si>
  <si>
    <t>1560R3300847</t>
  </si>
  <si>
    <t>1760R3320569</t>
  </si>
  <si>
    <t>1760RH120564</t>
  </si>
  <si>
    <t>1520FCF00890</t>
  </si>
  <si>
    <t>1720FH122665</t>
  </si>
  <si>
    <t>1828FH102200</t>
  </si>
  <si>
    <t>1868RH107556</t>
  </si>
  <si>
    <t>XXS6T60612</t>
  </si>
  <si>
    <t>1562RH139157</t>
  </si>
  <si>
    <t>1760RH122843</t>
  </si>
  <si>
    <t>1760RH120937</t>
  </si>
  <si>
    <t>1760R3320186</t>
  </si>
  <si>
    <t>XXS6T50822</t>
  </si>
  <si>
    <t>5300104822</t>
  </si>
  <si>
    <t>1828FH101745</t>
  </si>
  <si>
    <t>1522FH110228</t>
  </si>
  <si>
    <t>1828FIP00121</t>
  </si>
  <si>
    <t>1562RH126030</t>
  </si>
  <si>
    <t>1520FH122650</t>
  </si>
  <si>
    <t>1562RH129277</t>
  </si>
  <si>
    <t>1520FCF00567</t>
  </si>
  <si>
    <t>1750F3320020</t>
  </si>
  <si>
    <t>1760R3320545</t>
  </si>
  <si>
    <t>1760R3320543</t>
  </si>
  <si>
    <t>1522FH105477</t>
  </si>
  <si>
    <t>1520FH120061</t>
  </si>
  <si>
    <t>1522FH105487</t>
  </si>
  <si>
    <t>1520FCF00563</t>
  </si>
  <si>
    <t>1760RH120558</t>
  </si>
  <si>
    <t>1828FH102030</t>
  </si>
  <si>
    <t>1562RH157850</t>
  </si>
  <si>
    <t>5300274951</t>
  </si>
  <si>
    <t>5300829451</t>
  </si>
  <si>
    <t>1828FH101716</t>
  </si>
  <si>
    <t>1520FCF00245</t>
  </si>
  <si>
    <t>1562RH140533</t>
  </si>
  <si>
    <t>1760RH120942</t>
  </si>
  <si>
    <t>1868RH106382</t>
  </si>
  <si>
    <t>1828FH101714</t>
  </si>
  <si>
    <t>1562RH145154</t>
  </si>
  <si>
    <t>1562R3320466</t>
  </si>
  <si>
    <t>1828FH101772</t>
  </si>
  <si>
    <t>1562RH140497</t>
  </si>
  <si>
    <t>1720FH122161</t>
  </si>
  <si>
    <t>1562RH124543</t>
  </si>
  <si>
    <t>1868RH106112</t>
  </si>
  <si>
    <t>1760R3320568</t>
  </si>
  <si>
    <t>XXS6T71818_BZ</t>
  </si>
  <si>
    <t>XXS6T56906</t>
  </si>
  <si>
    <t>5300221432</t>
  </si>
  <si>
    <t>1562RH157365</t>
  </si>
  <si>
    <t>5300829130</t>
  </si>
  <si>
    <t>1828FH101768</t>
  </si>
  <si>
    <t>1522FH100284</t>
  </si>
  <si>
    <t>1562RCF01068</t>
  </si>
  <si>
    <t>1760RH120708</t>
  </si>
  <si>
    <t>5300275250</t>
  </si>
  <si>
    <t>1760RH128978</t>
  </si>
  <si>
    <t>1562RH132410</t>
  </si>
  <si>
    <t>1562RH154072</t>
  </si>
  <si>
    <t>1760RCF00491</t>
  </si>
  <si>
    <t>1760R3320585</t>
  </si>
  <si>
    <t>1760RH125341</t>
  </si>
  <si>
    <t>1760RH125344</t>
  </si>
  <si>
    <t>1868RH107549</t>
  </si>
  <si>
    <t>5300275162</t>
  </si>
  <si>
    <t>1828FH101695</t>
  </si>
  <si>
    <t>1562RH139369</t>
  </si>
  <si>
    <t>1562R3320091</t>
  </si>
  <si>
    <t>1868RH107247</t>
  </si>
  <si>
    <t>XXS6T65132</t>
  </si>
  <si>
    <t>1562RH153249</t>
  </si>
  <si>
    <t>1868RH107232</t>
  </si>
  <si>
    <t>1760RH120977</t>
  </si>
  <si>
    <t>SSB3212996</t>
  </si>
  <si>
    <t>1562RH121812</t>
  </si>
  <si>
    <t>1828FH101807</t>
  </si>
  <si>
    <t>1720FH122112</t>
  </si>
  <si>
    <t>1562RH120080</t>
  </si>
  <si>
    <t>1868RH106115</t>
  </si>
  <si>
    <t>1562RH127143</t>
  </si>
  <si>
    <t>XXS6T59908</t>
  </si>
  <si>
    <t>1562RH140528</t>
  </si>
  <si>
    <t>1828FIP00116</t>
  </si>
  <si>
    <t>XXS6T57103</t>
  </si>
  <si>
    <t>1828FH101729</t>
  </si>
  <si>
    <t>1760RCF00490</t>
  </si>
  <si>
    <t>5300354899</t>
  </si>
  <si>
    <t>1560R3302880</t>
  </si>
  <si>
    <t>1720FH122115</t>
  </si>
  <si>
    <t>1868RIP00254</t>
  </si>
  <si>
    <t>1760RH120563</t>
  </si>
  <si>
    <t>1760RH120711</t>
  </si>
  <si>
    <t>1828FH102212</t>
  </si>
  <si>
    <t>1828FH102006</t>
  </si>
  <si>
    <t>1720FH121350</t>
  </si>
  <si>
    <t>4789-71-12579</t>
  </si>
  <si>
    <t>1562RH131985</t>
  </si>
  <si>
    <t>1522FH104894</t>
  </si>
  <si>
    <t>1760RH120966</t>
  </si>
  <si>
    <t>1562R3320561</t>
  </si>
  <si>
    <t>XXS6T50301_BZ</t>
  </si>
  <si>
    <t>XXS6T52002</t>
  </si>
  <si>
    <t>1760RCF00014</t>
  </si>
  <si>
    <t>1760R3320551</t>
  </si>
  <si>
    <t>1520FH121682</t>
  </si>
  <si>
    <t>1828FH102004</t>
  </si>
  <si>
    <t>1868RH107251</t>
  </si>
  <si>
    <t>5300153989</t>
  </si>
  <si>
    <t>1760RH120968</t>
  </si>
  <si>
    <t>1760R3320531</t>
  </si>
  <si>
    <t>1720FH121355</t>
  </si>
  <si>
    <t>1562RH127306</t>
  </si>
  <si>
    <t>1520FCF00913</t>
  </si>
  <si>
    <t>1520FCF00929</t>
  </si>
  <si>
    <t>1720F3320059</t>
  </si>
  <si>
    <t>1562RH145155</t>
  </si>
  <si>
    <t>1562RH126086</t>
  </si>
  <si>
    <t>1760R3310771</t>
  </si>
  <si>
    <t>1760R3320592</t>
  </si>
  <si>
    <t>5300355516X</t>
  </si>
  <si>
    <t>1760RH120969</t>
  </si>
  <si>
    <t>1562RH127309</t>
  </si>
  <si>
    <t>1760RH120612</t>
  </si>
  <si>
    <t>1522FH105479</t>
  </si>
  <si>
    <t>1522FH111639</t>
  </si>
  <si>
    <t>1562RH154083</t>
  </si>
  <si>
    <t>1760R3320588</t>
  </si>
  <si>
    <t>1522FH111866</t>
  </si>
  <si>
    <t>1760RH120613</t>
  </si>
  <si>
    <t>1562RH153237</t>
  </si>
  <si>
    <t>1828FH101820</t>
  </si>
  <si>
    <t>1720FH120192</t>
  </si>
  <si>
    <t>1562RH143041</t>
  </si>
  <si>
    <t>1828FH102009</t>
  </si>
  <si>
    <t>1720FH121348</t>
  </si>
  <si>
    <t>1562RH128272</t>
  </si>
  <si>
    <t>56DW3000056</t>
  </si>
  <si>
    <t>1522FH102199</t>
  </si>
  <si>
    <t>1760R3320556</t>
  </si>
  <si>
    <t>1562RH158141</t>
  </si>
  <si>
    <t>1720F3320063</t>
  </si>
  <si>
    <t>1520FH123072</t>
  </si>
  <si>
    <t>XXS6T65130</t>
  </si>
  <si>
    <t>1760FCF00042</t>
  </si>
  <si>
    <t>1828FH102011</t>
  </si>
  <si>
    <t>1760RCF00487</t>
  </si>
  <si>
    <t>1562RH134181</t>
  </si>
  <si>
    <t>1760RH120936</t>
  </si>
  <si>
    <t>1520FH123071</t>
  </si>
  <si>
    <t>1562RCF00953</t>
  </si>
  <si>
    <t>5300215425</t>
  </si>
  <si>
    <t>1520FH120023</t>
  </si>
  <si>
    <t>1562RH127304</t>
  </si>
  <si>
    <t>1520FCF00928</t>
  </si>
  <si>
    <t>1760RH120617</t>
  </si>
  <si>
    <t>1562RH140498</t>
  </si>
  <si>
    <t>1562RCF00955</t>
  </si>
  <si>
    <t>1562RH153188</t>
  </si>
  <si>
    <t>1868RH103311</t>
  </si>
  <si>
    <t>5300280455</t>
  </si>
  <si>
    <t>1868RH107242</t>
  </si>
  <si>
    <t>4789-41-07361</t>
  </si>
  <si>
    <t>1828FH101766</t>
  </si>
  <si>
    <t>1560R3302367</t>
  </si>
  <si>
    <t>1520FH123084</t>
  </si>
  <si>
    <t>1868RH107756</t>
  </si>
  <si>
    <t>1828FH102213</t>
  </si>
  <si>
    <t>1520V3300691</t>
  </si>
  <si>
    <t>1562RH143032</t>
  </si>
  <si>
    <t>1520F3302400</t>
  </si>
  <si>
    <t>1720FH122347</t>
  </si>
  <si>
    <t>1562RCF00040</t>
  </si>
  <si>
    <t>1828FH101655</t>
  </si>
  <si>
    <t>1720FH121361</t>
  </si>
  <si>
    <t>1562RH153212</t>
  </si>
  <si>
    <t>1868RH104504</t>
  </si>
  <si>
    <t>1828FH101652</t>
  </si>
  <si>
    <t>1520FCF00565</t>
  </si>
  <si>
    <t>1562R3301391</t>
  </si>
  <si>
    <t>1760R3320540</t>
  </si>
  <si>
    <t>XXS6T50813_BZ</t>
  </si>
  <si>
    <t>XXS6T71820_BZ</t>
  </si>
  <si>
    <t>1760RH132288</t>
  </si>
  <si>
    <t>1522FH105474</t>
  </si>
  <si>
    <t>1828FH102260</t>
  </si>
  <si>
    <t>1868RH107750</t>
  </si>
  <si>
    <t>1520FH120025</t>
  </si>
  <si>
    <t>1562RH129816</t>
  </si>
  <si>
    <t>1828FH101809</t>
  </si>
  <si>
    <t>1520FCF00568</t>
  </si>
  <si>
    <t>56DW3000057</t>
  </si>
  <si>
    <t>1720F3301190</t>
  </si>
  <si>
    <t>1760R3320538</t>
  </si>
  <si>
    <t>1760R3320566</t>
  </si>
  <si>
    <t>XXAS6T57603</t>
  </si>
  <si>
    <t>562RRH101171</t>
  </si>
  <si>
    <t>1760RH120536</t>
  </si>
  <si>
    <t>1828FH101692</t>
  </si>
  <si>
    <t>1868RH107815</t>
  </si>
  <si>
    <t>5300274970</t>
  </si>
  <si>
    <t>1828FH101759</t>
  </si>
  <si>
    <t>1720FH120200</t>
  </si>
  <si>
    <t>1828FH101657</t>
  </si>
  <si>
    <t>1720F3320066</t>
  </si>
  <si>
    <t>1828FH101696</t>
  </si>
  <si>
    <t>1760RH120878</t>
  </si>
  <si>
    <t>1828FH101746</t>
  </si>
  <si>
    <t>1720V3300881</t>
  </si>
  <si>
    <t>1560RCF00822</t>
  </si>
  <si>
    <t>1760RH120979</t>
  </si>
  <si>
    <t>1562RH153207</t>
  </si>
  <si>
    <t>1868RH103306</t>
  </si>
  <si>
    <t>1868RH107575</t>
  </si>
  <si>
    <t>1562RH153184</t>
  </si>
  <si>
    <t>1868RH102964</t>
  </si>
  <si>
    <t>1520F3305870</t>
  </si>
  <si>
    <t>1562RCF00949</t>
  </si>
  <si>
    <t>1562RH153218</t>
  </si>
  <si>
    <t>1868RH104511</t>
  </si>
  <si>
    <t>1562RH140526</t>
  </si>
  <si>
    <t>5300829231</t>
  </si>
  <si>
    <t>1520FH120030</t>
  </si>
  <si>
    <t>1720FH122166</t>
  </si>
  <si>
    <t>1760RH122690</t>
  </si>
  <si>
    <t>1562RH154214</t>
  </si>
  <si>
    <t>1562RCF00033</t>
  </si>
  <si>
    <t>1720FH122666</t>
  </si>
  <si>
    <t>XXS6T55104</t>
  </si>
  <si>
    <t>1720FH121351</t>
  </si>
  <si>
    <t>1562RH153232</t>
  </si>
  <si>
    <t>1520FH120011</t>
  </si>
  <si>
    <t>1720F3320053</t>
  </si>
  <si>
    <t>1720FH123160</t>
  </si>
  <si>
    <t>1560RCF01059</t>
  </si>
  <si>
    <t>1560RCF00830</t>
  </si>
  <si>
    <t>1868RH107749</t>
  </si>
  <si>
    <t>1868RH107239</t>
  </si>
  <si>
    <t>XXAS6T70108</t>
  </si>
  <si>
    <t>1562RH133131</t>
  </si>
  <si>
    <t>1760RH131253</t>
  </si>
  <si>
    <t>1562RH158137</t>
  </si>
  <si>
    <t>1720FH122169</t>
  </si>
  <si>
    <t>1828FH102018</t>
  </si>
  <si>
    <t>1760RCF00489</t>
  </si>
  <si>
    <t>XXAS6T69503</t>
  </si>
  <si>
    <t>562RRH101579</t>
  </si>
  <si>
    <t>1520FCF00168</t>
  </si>
  <si>
    <t>1828FH102001</t>
  </si>
  <si>
    <t>1828FH101808</t>
  </si>
  <si>
    <t>XXAS6T57604</t>
  </si>
  <si>
    <t>1720FH122344</t>
  </si>
  <si>
    <t>1562R3320388</t>
  </si>
  <si>
    <t>1760R3310789</t>
  </si>
  <si>
    <t>1760RH126603</t>
  </si>
  <si>
    <t>1522FH100497</t>
  </si>
  <si>
    <t>1562R3320354</t>
  </si>
  <si>
    <t>1828FIP00127</t>
  </si>
  <si>
    <t>1562RCF00036</t>
  </si>
  <si>
    <t>1760R3320547</t>
  </si>
  <si>
    <t>1760R3320576</t>
  </si>
  <si>
    <t>1868RH105307</t>
  </si>
  <si>
    <t>1562RH142387</t>
  </si>
  <si>
    <t>1562RH152174</t>
  </si>
  <si>
    <t>1828FH102258</t>
  </si>
  <si>
    <t>5300236424</t>
  </si>
  <si>
    <t>1760RH120973</t>
  </si>
  <si>
    <t>1562R3301393</t>
  </si>
  <si>
    <t>XXS6T65133</t>
  </si>
  <si>
    <t>562RRH103148</t>
  </si>
  <si>
    <t>1562RH139005</t>
  </si>
  <si>
    <t>1868RH108036</t>
  </si>
  <si>
    <t>1828FIP00112</t>
  </si>
  <si>
    <t>1760RH120607</t>
  </si>
  <si>
    <t>1868RH105304</t>
  </si>
  <si>
    <t>1562RH138608</t>
  </si>
  <si>
    <t>1562RH146857</t>
  </si>
  <si>
    <t>1720FH120244</t>
  </si>
  <si>
    <t>1828FH101742</t>
  </si>
  <si>
    <t>1720FH121727</t>
  </si>
  <si>
    <t>1828FH102017</t>
  </si>
  <si>
    <t>1560R3302476</t>
  </si>
  <si>
    <t>1562RH134855</t>
  </si>
  <si>
    <t>1760RH120965</t>
  </si>
  <si>
    <t>1562RH124872</t>
  </si>
  <si>
    <t>1562RCF00177</t>
  </si>
  <si>
    <t>5300249939</t>
  </si>
  <si>
    <t>1522FH119156</t>
  </si>
  <si>
    <t>1750F3320018</t>
  </si>
  <si>
    <t>1828FIP00123</t>
  </si>
  <si>
    <t>1720FH122167</t>
  </si>
  <si>
    <t>1562RH139153</t>
  </si>
  <si>
    <t>1562RH141910</t>
  </si>
  <si>
    <t>5300249958</t>
  </si>
  <si>
    <t>1562RH128671</t>
  </si>
  <si>
    <t>1562RH127743</t>
  </si>
  <si>
    <t>1828FIP00118</t>
  </si>
  <si>
    <t>1562RH145965</t>
  </si>
  <si>
    <t>XXAS6T69505</t>
  </si>
  <si>
    <t>1760RCF00046</t>
  </si>
  <si>
    <t>5300208705</t>
  </si>
  <si>
    <t>XXS6T61407</t>
  </si>
  <si>
    <t>XXS6T50315_BZ</t>
  </si>
  <si>
    <t>1868RH107758</t>
  </si>
  <si>
    <t>5300275222</t>
  </si>
  <si>
    <t>1720FH121907</t>
  </si>
  <si>
    <t>1760R3320536</t>
  </si>
  <si>
    <t>1562RH132931</t>
  </si>
  <si>
    <t>1562RH120085</t>
  </si>
  <si>
    <t>1720FH120197</t>
  </si>
  <si>
    <t>1562RCF00175</t>
  </si>
  <si>
    <t>1760RH120951</t>
  </si>
  <si>
    <t>562RRH100582</t>
  </si>
  <si>
    <t>1868RH106119</t>
  </si>
  <si>
    <t>1720FH121726</t>
  </si>
  <si>
    <t>1520FCF00286</t>
  </si>
  <si>
    <t>1760RH120938</t>
  </si>
  <si>
    <t>1720FH121354</t>
  </si>
  <si>
    <t>1760R3320578</t>
  </si>
  <si>
    <t>1520FCF00882</t>
  </si>
  <si>
    <t>1562RH140500</t>
  </si>
  <si>
    <t>1760RH120537</t>
  </si>
  <si>
    <t>1520FH120033</t>
  </si>
  <si>
    <t>1522FH102030</t>
  </si>
  <si>
    <t>1520FH122727</t>
  </si>
  <si>
    <t>1720FH122164</t>
  </si>
  <si>
    <t>1560R33001582</t>
  </si>
  <si>
    <t>1562RH140527</t>
  </si>
  <si>
    <t>1562RH137081</t>
  </si>
  <si>
    <t>1520FH120017</t>
  </si>
  <si>
    <t>1720FH122168</t>
  </si>
  <si>
    <t>1562RH130106</t>
  </si>
  <si>
    <t>5300162749</t>
  </si>
  <si>
    <t>1520FH120045</t>
  </si>
  <si>
    <t>1520FH120090</t>
  </si>
  <si>
    <t>1560FCF00823</t>
  </si>
  <si>
    <t>1520FH124912</t>
  </si>
  <si>
    <t>5300142617</t>
  </si>
  <si>
    <t>1520FCF00220</t>
  </si>
  <si>
    <t>1522FH105482</t>
  </si>
  <si>
    <t>1828FH102005</t>
  </si>
  <si>
    <t>1828FH101719</t>
  </si>
  <si>
    <t>1760R3320570</t>
  </si>
  <si>
    <t>1828FH102194</t>
  </si>
  <si>
    <t>1520FH123075</t>
  </si>
  <si>
    <t>1720FH120201</t>
  </si>
  <si>
    <t>XXS6T64807</t>
  </si>
  <si>
    <t>1828FH102215</t>
  </si>
  <si>
    <t>1720FH120185</t>
  </si>
  <si>
    <t>1720FH122663</t>
  </si>
  <si>
    <t>1520FCF00443</t>
  </si>
  <si>
    <t>1720FH122165</t>
  </si>
  <si>
    <t>1522FH113832</t>
  </si>
  <si>
    <t>1522FH113856</t>
  </si>
  <si>
    <t>1828FIP00129</t>
  </si>
  <si>
    <t>1760RH121017</t>
  </si>
  <si>
    <t>1868RH107579</t>
  </si>
  <si>
    <t>1520FH122854</t>
  </si>
  <si>
    <t>1828FH101762</t>
  </si>
  <si>
    <t>1720FH122113</t>
  </si>
  <si>
    <t>1520FCF00222</t>
  </si>
  <si>
    <t>1828FH102191</t>
  </si>
  <si>
    <t>1522FH107106</t>
  </si>
  <si>
    <t>1760RCF00501</t>
  </si>
  <si>
    <t>1560RCF00566</t>
  </si>
  <si>
    <t>1828FH102192</t>
  </si>
  <si>
    <t>XXAS6T70104</t>
  </si>
  <si>
    <t>1868RH106109</t>
  </si>
  <si>
    <t>1760RH120885</t>
  </si>
  <si>
    <t>1828FIP00125</t>
  </si>
  <si>
    <t>XXS6T50105</t>
  </si>
  <si>
    <t>1760RH123395</t>
  </si>
  <si>
    <t>1562RH157484</t>
  </si>
  <si>
    <t>1562RH157547</t>
  </si>
  <si>
    <t>1560RCF00831</t>
  </si>
  <si>
    <t>1760RH124786</t>
  </si>
  <si>
    <t>1562RH153487</t>
  </si>
  <si>
    <t>1562RH149306</t>
  </si>
  <si>
    <t>1868RH107814</t>
  </si>
  <si>
    <t>562RRH100422</t>
  </si>
  <si>
    <t>1760RH120949</t>
  </si>
  <si>
    <t>1828FH102012</t>
  </si>
  <si>
    <t>5300558416</t>
  </si>
  <si>
    <t>1720FH120190</t>
  </si>
  <si>
    <t>1720FH121364</t>
  </si>
  <si>
    <t>1520FCF00570</t>
  </si>
  <si>
    <t>1720FH123161</t>
  </si>
  <si>
    <t>1868RH108037</t>
  </si>
  <si>
    <t>XXS6T59906</t>
  </si>
  <si>
    <t>1560R3302993</t>
  </si>
  <si>
    <t>5300829249</t>
  </si>
  <si>
    <t>1828FH102016</t>
  </si>
  <si>
    <t>XXS6T57703</t>
  </si>
  <si>
    <t>1760R3300086</t>
  </si>
  <si>
    <t>1760RH120943</t>
  </si>
  <si>
    <t>SSB3205010</t>
  </si>
  <si>
    <t>1760RH123969</t>
  </si>
  <si>
    <t>5300225667</t>
  </si>
  <si>
    <t>1520FCF00225</t>
  </si>
  <si>
    <t>1720FH122163</t>
  </si>
  <si>
    <t>1522FH119158</t>
  </si>
  <si>
    <t>1760RH126604</t>
  </si>
  <si>
    <t>1868RH106379</t>
  </si>
  <si>
    <t>1828FH101732</t>
  </si>
  <si>
    <t>1760RH120582</t>
  </si>
  <si>
    <t>5300829101</t>
  </si>
  <si>
    <t>1522FH118972</t>
  </si>
  <si>
    <t>1522FH108475</t>
  </si>
  <si>
    <t>1760RH120604</t>
  </si>
  <si>
    <t>5300829125</t>
  </si>
  <si>
    <t>1522FH119151</t>
  </si>
  <si>
    <t>1750F3320056</t>
  </si>
  <si>
    <t>5300151253</t>
  </si>
  <si>
    <t>1760RCF00641</t>
  </si>
  <si>
    <t>5300829415</t>
  </si>
  <si>
    <t>1720F3320047</t>
  </si>
  <si>
    <t>1760RH120541</t>
  </si>
  <si>
    <t>5300521200</t>
  </si>
  <si>
    <t>5300208706</t>
  </si>
  <si>
    <t>1720FH122116</t>
  </si>
  <si>
    <t>5300280365</t>
  </si>
  <si>
    <t>562RRH100043</t>
  </si>
  <si>
    <t>1562RH158134</t>
  </si>
  <si>
    <t>5300624978</t>
  </si>
  <si>
    <t>1760RH120709</t>
  </si>
  <si>
    <t>1760RH121545</t>
  </si>
  <si>
    <t>1522VH101390</t>
  </si>
  <si>
    <t>1828FH102185</t>
  </si>
  <si>
    <t>1562RH127794</t>
  </si>
  <si>
    <t>1828FH101819</t>
  </si>
  <si>
    <t>1868RH108035</t>
  </si>
  <si>
    <t>5300829391</t>
  </si>
  <si>
    <t>XXS6T56801</t>
  </si>
  <si>
    <t>1760RH120578</t>
  </si>
  <si>
    <t>XXS6T50820_BZ</t>
  </si>
  <si>
    <t>56DW3000055</t>
  </si>
  <si>
    <t>1760RH126532</t>
  </si>
  <si>
    <t>1562RH141317</t>
  </si>
  <si>
    <t>1720FH121345</t>
  </si>
  <si>
    <t>1828FH101720</t>
  </si>
  <si>
    <t>1522FH102196</t>
  </si>
  <si>
    <t>1562RH133119</t>
  </si>
  <si>
    <t>1562RH131301</t>
  </si>
  <si>
    <t>1562RH125307</t>
  </si>
  <si>
    <t>1868RH106390</t>
  </si>
  <si>
    <t>1562RH133841</t>
  </si>
  <si>
    <t>1828FH101713</t>
  </si>
  <si>
    <t>1720F3320044</t>
  </si>
  <si>
    <t>1520FCF00223</t>
  </si>
  <si>
    <t>1720FH121344</t>
  </si>
  <si>
    <t>562RRH100419</t>
  </si>
  <si>
    <t>1520FCF00934</t>
  </si>
  <si>
    <t>5300829159</t>
  </si>
  <si>
    <t>1760RH120948</t>
  </si>
  <si>
    <t>5300824368</t>
  </si>
  <si>
    <t>5300497326</t>
  </si>
  <si>
    <t>1720F3320039</t>
  </si>
  <si>
    <t>1520FCF00886</t>
  </si>
  <si>
    <t>1760RH120573</t>
  </si>
  <si>
    <t>1562RH132409</t>
  </si>
  <si>
    <t>1562RH158136</t>
  </si>
  <si>
    <t>XXS6T57607</t>
  </si>
  <si>
    <t>5300829395</t>
  </si>
  <si>
    <t>1522FH111867</t>
  </si>
  <si>
    <t>1520FH120029</t>
  </si>
  <si>
    <t>1720FH121719</t>
  </si>
  <si>
    <t>1522FH106944</t>
  </si>
  <si>
    <t>1522FH119145</t>
  </si>
  <si>
    <t>1520FH123086</t>
  </si>
  <si>
    <t>1520FH123070</t>
  </si>
  <si>
    <t>1562RH147978</t>
  </si>
  <si>
    <t>5300141566</t>
  </si>
  <si>
    <t>1520FH122653</t>
  </si>
  <si>
    <t>1562RH157357</t>
  </si>
  <si>
    <t>1562R3301400</t>
  </si>
  <si>
    <t>5300199631</t>
  </si>
  <si>
    <t>1522FH106940</t>
  </si>
  <si>
    <t>1520FCF00164</t>
  </si>
  <si>
    <t>1520FH122728</t>
  </si>
  <si>
    <t>1720VH120145</t>
  </si>
  <si>
    <t>1562RH154451</t>
  </si>
  <si>
    <t>1760R3320573</t>
  </si>
  <si>
    <t>1522FH108481</t>
  </si>
  <si>
    <t>1522FH108477</t>
  </si>
  <si>
    <t>1520FCF00892</t>
  </si>
  <si>
    <t>5300228572</t>
  </si>
  <si>
    <t>1520FCF00911</t>
  </si>
  <si>
    <t>1760R3320582</t>
  </si>
  <si>
    <t>1828FH101715</t>
  </si>
  <si>
    <t>1828FH102225</t>
  </si>
  <si>
    <t>1760RH122049</t>
  </si>
  <si>
    <t>XXS6T52004</t>
  </si>
  <si>
    <t>1562R3300029</t>
  </si>
  <si>
    <t>1562R3300348</t>
  </si>
  <si>
    <t>1760RH126771</t>
  </si>
  <si>
    <t>1520FH120026</t>
  </si>
  <si>
    <t>1720FH120198</t>
  </si>
  <si>
    <t>XXS6T59905</t>
  </si>
  <si>
    <t>1720FH121908</t>
  </si>
  <si>
    <t>1562RCF00947</t>
  </si>
  <si>
    <t>5300134914</t>
  </si>
  <si>
    <t>1520FH121677</t>
  </si>
  <si>
    <t>1520FH120038</t>
  </si>
  <si>
    <t>1828FH102199</t>
  </si>
  <si>
    <t>1522FH113196</t>
  </si>
  <si>
    <t>1868RH105289</t>
  </si>
  <si>
    <t>1522FH115281</t>
  </si>
  <si>
    <t>5300829081</t>
  </si>
  <si>
    <t>1562RH142720</t>
  </si>
  <si>
    <t>5300336151</t>
  </si>
  <si>
    <t>5300829143</t>
  </si>
  <si>
    <t>XXS6T50310</t>
  </si>
  <si>
    <t>1760RH120976</t>
  </si>
  <si>
    <t>1720FH121912</t>
  </si>
  <si>
    <t>1520FCF00937</t>
  </si>
  <si>
    <t>5300199609</t>
  </si>
  <si>
    <t>1828FH101770</t>
  </si>
  <si>
    <t>1562RH141913</t>
  </si>
  <si>
    <t>1720FH121356</t>
  </si>
  <si>
    <t>1522FH100282</t>
  </si>
  <si>
    <t>1868RH107576</t>
  </si>
  <si>
    <t>5300829091</t>
  </si>
  <si>
    <t>1828FH102183</t>
  </si>
  <si>
    <t>1562RH126084</t>
  </si>
  <si>
    <t>562RRH100046</t>
  </si>
  <si>
    <t>1562RH127703</t>
  </si>
  <si>
    <t>562RRH101582</t>
  </si>
  <si>
    <t>1720FH122162</t>
  </si>
  <si>
    <t>1828FH101816</t>
  </si>
  <si>
    <t>1760RH125093</t>
  </si>
  <si>
    <t>1562RH140530</t>
  </si>
  <si>
    <t>1562RH153247</t>
  </si>
  <si>
    <t>1868RH107580</t>
  </si>
  <si>
    <t>1562RH155238</t>
  </si>
  <si>
    <t>XXS6T65124</t>
  </si>
  <si>
    <t>1760RH120611</t>
  </si>
  <si>
    <t>1828FH102195</t>
  </si>
  <si>
    <t>1562RH129338</t>
  </si>
  <si>
    <t>1760RH120554</t>
  </si>
  <si>
    <t>562RRH100420</t>
  </si>
  <si>
    <t>1760RH126795</t>
  </si>
  <si>
    <t>1760RH120550</t>
  </si>
  <si>
    <t>5300536272</t>
  </si>
  <si>
    <t>1828FH102181</t>
  </si>
  <si>
    <t>1828FH102224</t>
  </si>
  <si>
    <t>1562RH128676</t>
  </si>
  <si>
    <t>1520FCF00876</t>
  </si>
  <si>
    <t>1562RH155233</t>
  </si>
  <si>
    <t>5300275236</t>
  </si>
  <si>
    <t>1520FH120031</t>
  </si>
  <si>
    <t>1720VH120056</t>
  </si>
  <si>
    <t>1828FH101815</t>
  </si>
  <si>
    <t>1720VCF00020</t>
  </si>
  <si>
    <t>1828FH102198</t>
  </si>
  <si>
    <t>1562RH153226</t>
  </si>
  <si>
    <t>1868RH105305</t>
  </si>
  <si>
    <t>1760RCF00466</t>
  </si>
  <si>
    <t>1828FIP00115</t>
  </si>
  <si>
    <t>1760RH120572</t>
  </si>
  <si>
    <t>1562RH137083</t>
  </si>
  <si>
    <t>1720FH120178</t>
  </si>
  <si>
    <t>1520FH120056</t>
  </si>
  <si>
    <t>1828FIP00131</t>
  </si>
  <si>
    <t>5300829569</t>
  </si>
  <si>
    <t>5300829263</t>
  </si>
  <si>
    <t>1828FIP00132</t>
  </si>
  <si>
    <t>5300584491</t>
  </si>
  <si>
    <t>5300107804</t>
  </si>
  <si>
    <t>1520FH123082</t>
  </si>
  <si>
    <t>1760RH120568</t>
  </si>
  <si>
    <t>1760RH120552</t>
  </si>
  <si>
    <t>1760RH123020</t>
  </si>
  <si>
    <t>1760RH120533</t>
  </si>
  <si>
    <t>1828FH102226</t>
  </si>
  <si>
    <t>1760RH128483</t>
  </si>
  <si>
    <t>1760RH126602</t>
  </si>
  <si>
    <t>XXS6T67003</t>
  </si>
  <si>
    <t>1760RH132285</t>
  </si>
  <si>
    <t>1560R3301865</t>
  </si>
  <si>
    <t>1520FCF00235</t>
  </si>
  <si>
    <t>1720VH120058</t>
  </si>
  <si>
    <t>1760RH124785</t>
  </si>
  <si>
    <t>1562RH156698</t>
  </si>
  <si>
    <t>1562RH139158</t>
  </si>
  <si>
    <t>1720F3301953</t>
  </si>
  <si>
    <t>1828FH101722</t>
  </si>
  <si>
    <t>1720FH123159</t>
  </si>
  <si>
    <t>1828FH101969</t>
  </si>
  <si>
    <t>1562RH138601</t>
  </si>
  <si>
    <t>1720FH123162</t>
  </si>
  <si>
    <t>1760RH126434</t>
  </si>
  <si>
    <t>1828FH101763</t>
  </si>
  <si>
    <t>1522FH111869</t>
  </si>
  <si>
    <t>XXS6T67008</t>
  </si>
  <si>
    <t>1562RH145967</t>
  </si>
  <si>
    <t>5300497445</t>
  </si>
  <si>
    <t>1562R3301397</t>
  </si>
  <si>
    <t>1760RH125414</t>
  </si>
  <si>
    <t>1562RH145751</t>
  </si>
  <si>
    <t>1562RH140523</t>
  </si>
  <si>
    <t>1720FH120245</t>
  </si>
  <si>
    <t>1760RH120972</t>
  </si>
  <si>
    <t>1828FH102240</t>
  </si>
  <si>
    <t>1760R3320398</t>
  </si>
  <si>
    <t>1868RH108034</t>
  </si>
  <si>
    <t>1562RH128151</t>
  </si>
  <si>
    <t>1828FH101691</t>
  </si>
  <si>
    <t>1522FH113845</t>
  </si>
  <si>
    <t>1562RH144650</t>
  </si>
  <si>
    <t>1828FH102243</t>
  </si>
  <si>
    <t>1868RH107818</t>
  </si>
  <si>
    <t>1562RH140529</t>
  </si>
  <si>
    <t>1562RH142403</t>
  </si>
  <si>
    <t>1760RH120544</t>
  </si>
  <si>
    <t>XXS6T65131</t>
  </si>
  <si>
    <t>1828FIP00114</t>
  </si>
  <si>
    <t>1720FH122345</t>
  </si>
  <si>
    <t>1760RH120556</t>
  </si>
  <si>
    <t>1868RH107754</t>
  </si>
  <si>
    <t>1562R3320353</t>
  </si>
  <si>
    <t>5300131399</t>
  </si>
  <si>
    <t>1562RH129458</t>
  </si>
  <si>
    <t>1562R3320359</t>
  </si>
  <si>
    <t>XXS6T59904</t>
  </si>
  <si>
    <t>1562RH155247</t>
  </si>
  <si>
    <t>1562RCF00948</t>
  </si>
  <si>
    <t>1562RH138602</t>
  </si>
  <si>
    <t>1760R3320553</t>
  </si>
  <si>
    <t>1868RH107817</t>
  </si>
  <si>
    <t>1868RH107811</t>
  </si>
  <si>
    <t>1562RH129294</t>
  </si>
  <si>
    <t>1760R3320360</t>
  </si>
  <si>
    <t>1828FH102208</t>
  </si>
  <si>
    <t>562RRH100578</t>
  </si>
  <si>
    <t>1562RCF00038</t>
  </si>
  <si>
    <t>1560RCF00567</t>
  </si>
  <si>
    <t>1562RH125156</t>
  </si>
  <si>
    <t>1560R3300990</t>
  </si>
  <si>
    <t>XXS6T50106</t>
  </si>
  <si>
    <t>1562RH132667</t>
  </si>
  <si>
    <t>6101079234</t>
  </si>
  <si>
    <t>1562RH127793</t>
  </si>
  <si>
    <t>1562RH129337</t>
  </si>
  <si>
    <t>1562RCF00179</t>
  </si>
  <si>
    <t>XXS6T74509</t>
  </si>
  <si>
    <t>1562RH136372</t>
  </si>
  <si>
    <t>XXAS6T69508</t>
  </si>
  <si>
    <t>1828FH101761</t>
  </si>
  <si>
    <t>1868RH103310</t>
  </si>
  <si>
    <t>1868RH104502</t>
  </si>
  <si>
    <t>XXS6T50305_BZ</t>
  </si>
  <si>
    <t>1868RIP00251</t>
  </si>
  <si>
    <t>XXS6T61403</t>
  </si>
  <si>
    <t>1562RH139003</t>
  </si>
  <si>
    <t>1562RH129459</t>
  </si>
  <si>
    <t>1828FH101814</t>
  </si>
  <si>
    <t>1562RH129341</t>
  </si>
  <si>
    <t>1828FH102188</t>
  </si>
  <si>
    <t>1562RH139152</t>
  </si>
  <si>
    <t>1760RH120538</t>
  </si>
  <si>
    <t>XXS6T51732</t>
  </si>
  <si>
    <t>1562RH130985</t>
  </si>
  <si>
    <t>1828FH102229</t>
  </si>
  <si>
    <t>1562RH127300</t>
  </si>
  <si>
    <t>1828FH102025</t>
  </si>
  <si>
    <t>XXS6T71807_BZ</t>
  </si>
  <si>
    <t>562RRH101172</t>
  </si>
  <si>
    <t>XXAS6T70103</t>
  </si>
  <si>
    <t>1562RH139367</t>
  </si>
  <si>
    <t>1562RH129292</t>
  </si>
  <si>
    <t>1520VH120043</t>
  </si>
  <si>
    <t>1562R3301392</t>
  </si>
  <si>
    <t>1562RH153175</t>
  </si>
  <si>
    <t>1868RH102952</t>
  </si>
  <si>
    <t>1828FH102189</t>
  </si>
  <si>
    <t>1562RH132390</t>
  </si>
  <si>
    <t>1760RH120876</t>
  </si>
  <si>
    <t>5300249969</t>
  </si>
  <si>
    <t>5300829434</t>
  </si>
  <si>
    <t>1760RCF00108</t>
  </si>
  <si>
    <t>1828FIP00111</t>
  </si>
  <si>
    <t>1828FH102239</t>
  </si>
  <si>
    <t>1828FIP00119</t>
  </si>
  <si>
    <t>1828FIP00133</t>
  </si>
  <si>
    <t>1828FH102007</t>
  </si>
  <si>
    <t>1720F3320045</t>
  </si>
  <si>
    <t>NR6101299709</t>
  </si>
  <si>
    <t>1562RH136371</t>
  </si>
  <si>
    <t>1562RH153223</t>
  </si>
  <si>
    <t>5300486156</t>
  </si>
  <si>
    <t>5300272280</t>
  </si>
  <si>
    <t>5300209265</t>
  </si>
  <si>
    <t>5300818926</t>
  </si>
  <si>
    <t>1720FH122104</t>
  </si>
  <si>
    <t>1562RCF00957</t>
  </si>
  <si>
    <t>1522FH111868</t>
  </si>
  <si>
    <t>1520FCF00921</t>
  </si>
  <si>
    <t>1562RH137082</t>
  </si>
  <si>
    <t>1562RH134183</t>
  </si>
  <si>
    <t>1562RH135622</t>
  </si>
  <si>
    <t>1720FH121358</t>
  </si>
  <si>
    <t>1760RCF00039</t>
  </si>
  <si>
    <t>1868RH106049</t>
  </si>
  <si>
    <t>1828FH101741</t>
  </si>
  <si>
    <t>1868RH106116</t>
  </si>
  <si>
    <t>1522FH111864</t>
  </si>
  <si>
    <t>1868RH105286</t>
  </si>
  <si>
    <t>XXAS6T70107</t>
  </si>
  <si>
    <t>1868RH107552</t>
  </si>
  <si>
    <t>1828FH102228</t>
  </si>
  <si>
    <t>5300208708</t>
  </si>
  <si>
    <t>1562RH154062</t>
  </si>
  <si>
    <t>1760R3320554</t>
  </si>
  <si>
    <t>1760RH120726</t>
  </si>
  <si>
    <t>1760RH120874</t>
  </si>
  <si>
    <t>1522FH106939</t>
  </si>
  <si>
    <t>1720FH121352</t>
  </si>
  <si>
    <t>1828FIP00110</t>
  </si>
  <si>
    <t>1562RH143038</t>
  </si>
  <si>
    <t>1562RH140499</t>
  </si>
  <si>
    <t>1828FH102010</t>
  </si>
  <si>
    <t>1868RH106386</t>
  </si>
  <si>
    <t>1720FH121859</t>
  </si>
  <si>
    <t>1760RH125340</t>
  </si>
  <si>
    <t>1760RH120609</t>
  </si>
  <si>
    <t>1720F3320058</t>
  </si>
  <si>
    <t>1522FH113850</t>
  </si>
  <si>
    <t>1720FH121910</t>
  </si>
  <si>
    <t>1520F3302402</t>
  </si>
  <si>
    <t>1520FH124914</t>
  </si>
  <si>
    <t>5300819008</t>
  </si>
  <si>
    <t>1720F3320061</t>
  </si>
  <si>
    <t>1562RH125281</t>
  </si>
  <si>
    <t>1828FH102014</t>
  </si>
  <si>
    <t>1760RH120978</t>
  </si>
  <si>
    <t>XXS6T56903</t>
  </si>
  <si>
    <t>5300221495</t>
  </si>
  <si>
    <t>1562RH141318</t>
  </si>
  <si>
    <t>1562RH132608</t>
  </si>
  <si>
    <t>1760RH120608</t>
  </si>
  <si>
    <t>1522FH119152</t>
  </si>
  <si>
    <t>1760R3320591</t>
  </si>
  <si>
    <t>1560R3302910</t>
  </si>
  <si>
    <t>562RRH100581</t>
  </si>
  <si>
    <t>1562RH143040</t>
  </si>
  <si>
    <t>5300208703</t>
  </si>
  <si>
    <t>1760R3320532</t>
  </si>
  <si>
    <t>1828FH102220</t>
  </si>
  <si>
    <t>1760RCF00080</t>
  </si>
  <si>
    <t>1868RH101218</t>
  </si>
  <si>
    <t>1720FH122346</t>
  </si>
  <si>
    <t>1520FH123081</t>
  </si>
  <si>
    <t>1562RH143031</t>
  </si>
  <si>
    <t>1760R3320575</t>
  </si>
  <si>
    <t>1760RH122048</t>
  </si>
  <si>
    <t>1720FH123163</t>
  </si>
  <si>
    <t>1760RH120576</t>
  </si>
  <si>
    <t>5300236327</t>
  </si>
  <si>
    <t>5300829078</t>
  </si>
  <si>
    <t>1868RH107235</t>
  </si>
  <si>
    <t>1522FH113836</t>
  </si>
  <si>
    <t>1522FH113841</t>
  </si>
  <si>
    <t>1522FH113839</t>
  </si>
  <si>
    <t>562RRH105882</t>
  </si>
  <si>
    <t>XXS6T59207</t>
  </si>
  <si>
    <t>1828FH101721</t>
  </si>
  <si>
    <t>1560R3302812</t>
  </si>
  <si>
    <t>1868RH107248</t>
  </si>
  <si>
    <t>XXS6T52001</t>
  </si>
  <si>
    <t>5300829458</t>
  </si>
  <si>
    <t>1760RH128420</t>
  </si>
  <si>
    <t>1522FH118970</t>
  </si>
  <si>
    <t>1562RH154216</t>
  </si>
  <si>
    <t>1868RH107548</t>
  </si>
  <si>
    <t>1522FH100287</t>
  </si>
  <si>
    <t>1828FH101818</t>
  </si>
  <si>
    <t>1562RH153183</t>
  </si>
  <si>
    <t>1868RH102963</t>
  </si>
  <si>
    <t>1760RH127728</t>
  </si>
  <si>
    <t>1760RH120939</t>
  </si>
  <si>
    <t>1562RH153185</t>
  </si>
  <si>
    <t>1868RH102965</t>
  </si>
  <si>
    <t>1760R3320141</t>
  </si>
  <si>
    <t>1522FH108163</t>
  </si>
  <si>
    <t>5300279083</t>
  </si>
  <si>
    <t>1868RH107240</t>
  </si>
  <si>
    <t>1522FH100303</t>
  </si>
  <si>
    <t>562RRH100213</t>
  </si>
  <si>
    <t>1720FH121723</t>
  </si>
  <si>
    <t>5300829446</t>
  </si>
  <si>
    <t>1750F3320058</t>
  </si>
  <si>
    <t>1760RCF00107</t>
  </si>
  <si>
    <t>1562RH133129</t>
  </si>
  <si>
    <t>1520FCF00881</t>
  </si>
  <si>
    <t>1720FH121360</t>
  </si>
  <si>
    <t>5300389440</t>
  </si>
  <si>
    <t>1562RH153172</t>
  </si>
  <si>
    <t>1868RH102953</t>
  </si>
  <si>
    <t>1868RH106389</t>
  </si>
  <si>
    <t>1520FCF00924</t>
  </si>
  <si>
    <t>1760R3320548</t>
  </si>
  <si>
    <t>1750F3320013</t>
  </si>
  <si>
    <t>1760RH120700</t>
  </si>
  <si>
    <t>1760R3320359</t>
  </si>
  <si>
    <t>1720F3320065</t>
  </si>
  <si>
    <t>1522FH105488</t>
  </si>
  <si>
    <t>1522FH111863</t>
  </si>
  <si>
    <t>1560R3301817</t>
  </si>
  <si>
    <t>1562RCF00176</t>
  </si>
  <si>
    <t>1562RCF00944</t>
  </si>
  <si>
    <t>1562RH144184</t>
  </si>
  <si>
    <t>1522FH100288</t>
  </si>
  <si>
    <t>1760R3320847</t>
  </si>
  <si>
    <t>1760R3320558</t>
  </si>
  <si>
    <t>1760RCF00075</t>
  </si>
  <si>
    <t>1760R3320405</t>
  </si>
  <si>
    <t>1720FH120183</t>
  </si>
  <si>
    <t>1562RH131872</t>
  </si>
  <si>
    <t>1828FH102187</t>
  </si>
  <si>
    <t>XXS6T64806</t>
  </si>
  <si>
    <t>1720F3320048</t>
  </si>
  <si>
    <t>1562RCF01067</t>
  </si>
  <si>
    <t>5300199632</t>
  </si>
  <si>
    <t>1720FH121721</t>
  </si>
  <si>
    <t>XXS6T55106</t>
  </si>
  <si>
    <t>1760RH123018</t>
  </si>
  <si>
    <t>1760R3320396</t>
  </si>
  <si>
    <t>1760RH123964</t>
  </si>
  <si>
    <t>1520VH120005</t>
  </si>
  <si>
    <t>1828FH101769</t>
  </si>
  <si>
    <t>1868RH107555</t>
  </si>
  <si>
    <t>5300236628</t>
  </si>
  <si>
    <t>1720FH122670</t>
  </si>
  <si>
    <t>5300187254</t>
  </si>
  <si>
    <t>562RRH101581</t>
  </si>
  <si>
    <t>1828FH102238</t>
  </si>
  <si>
    <t>1828FH101821</t>
  </si>
  <si>
    <t>1868RH107250</t>
  </si>
  <si>
    <t>1828FH102209</t>
  </si>
  <si>
    <t>1868RH107572</t>
  </si>
  <si>
    <t>1562RH153178</t>
  </si>
  <si>
    <t>1868RH102959</t>
  </si>
  <si>
    <t>1562RH140502</t>
  </si>
  <si>
    <t>1562R3320089</t>
  </si>
  <si>
    <t>1760RH120567</t>
  </si>
  <si>
    <t>1520FCF00228</t>
  </si>
  <si>
    <t>1828FH102210</t>
  </si>
  <si>
    <t>1760R3320550</t>
  </si>
  <si>
    <t>1520FH122651</t>
  </si>
  <si>
    <t>1720FH121856</t>
  </si>
  <si>
    <t>5300162750</t>
  </si>
  <si>
    <t>1760RH120581</t>
  </si>
  <si>
    <t>1828FH102201</t>
  </si>
  <si>
    <t>1720FH123158</t>
  </si>
  <si>
    <t>1562RH143430</t>
  </si>
  <si>
    <t>1720F3320055</t>
  </si>
  <si>
    <t>1522FH105481</t>
  </si>
  <si>
    <t>1760R3304564</t>
  </si>
  <si>
    <t>1520FH122649</t>
  </si>
  <si>
    <t>1720FH122664</t>
  </si>
  <si>
    <t>1562RH153222</t>
  </si>
  <si>
    <t>1868RH104514</t>
  </si>
  <si>
    <t>1520FH124925</t>
  </si>
  <si>
    <t>56DW3000054</t>
  </si>
  <si>
    <t>1520FCF00224</t>
  </si>
  <si>
    <t>5300121104</t>
  </si>
  <si>
    <t>1720FH120194</t>
  </si>
  <si>
    <t>1828FH101748</t>
  </si>
  <si>
    <t>1720FH122109</t>
  </si>
  <si>
    <t>1560R3302811</t>
  </si>
  <si>
    <t>1562RH127781</t>
  </si>
  <si>
    <t>1562RH152824</t>
  </si>
  <si>
    <t>1760R3320567</t>
  </si>
  <si>
    <t>1750F3320057</t>
  </si>
  <si>
    <t>1520FH120054</t>
  </si>
  <si>
    <t>562RRH105881</t>
  </si>
  <si>
    <t>1868RH106392</t>
  </si>
  <si>
    <t>1760RH120540</t>
  </si>
  <si>
    <t>1520V3300495</t>
  </si>
  <si>
    <t>1562RH156886</t>
  </si>
  <si>
    <t>1562RH140525</t>
  </si>
  <si>
    <t>1868RH107241</t>
  </si>
  <si>
    <t>1720FH121346</t>
  </si>
  <si>
    <t>1520FH121676</t>
  </si>
  <si>
    <t>1828FH102193</t>
  </si>
  <si>
    <t>1520F3300009</t>
  </si>
  <si>
    <t>1520FH120012</t>
  </si>
  <si>
    <t>1760RH120719</t>
  </si>
  <si>
    <t>1520FH120010</t>
  </si>
  <si>
    <t>1520FCF00163</t>
  </si>
  <si>
    <t>1760R3320530</t>
  </si>
  <si>
    <t>1720FH121353</t>
  </si>
  <si>
    <t>1828FH102219</t>
  </si>
  <si>
    <t>1760RH120971</t>
  </si>
  <si>
    <t>1828FH102249</t>
  </si>
  <si>
    <t>1720VH120107</t>
  </si>
  <si>
    <t>1720FH121362</t>
  </si>
  <si>
    <t>1828FH101740</t>
  </si>
  <si>
    <t>1522FH102200</t>
  </si>
  <si>
    <t>1828FH102206</t>
  </si>
  <si>
    <t>1522FH100281</t>
  </si>
  <si>
    <t>1562R3301390</t>
  </si>
  <si>
    <t>XXS6T50815</t>
  </si>
  <si>
    <t>5300225669</t>
  </si>
  <si>
    <t>1760RH120931</t>
  </si>
  <si>
    <t>1760R3320528</t>
  </si>
  <si>
    <t>1760RH124443</t>
  </si>
  <si>
    <t>5300558414</t>
  </si>
  <si>
    <t>5300829094</t>
  </si>
  <si>
    <t>1522FH100278</t>
  </si>
  <si>
    <t>1562RH140532</t>
  </si>
  <si>
    <t>1760RH120933</t>
  </si>
  <si>
    <t>5300142690</t>
  </si>
  <si>
    <t>5300280265</t>
  </si>
  <si>
    <t>1868RH107812</t>
  </si>
  <si>
    <t>1520FH121290</t>
  </si>
  <si>
    <t>1562RH127704</t>
  </si>
  <si>
    <t>1760R3320534</t>
  </si>
  <si>
    <t>5300092492</t>
  </si>
  <si>
    <t>1562R3320389</t>
  </si>
  <si>
    <t>1828FH102242</t>
  </si>
  <si>
    <t>1720FH121725</t>
  </si>
  <si>
    <t>1828FH101700</t>
  </si>
  <si>
    <t>1560RCF00824</t>
  </si>
  <si>
    <t>1760RCF00086</t>
  </si>
  <si>
    <t>1562RH120096</t>
  </si>
  <si>
    <t>XXS6T50828_BZ</t>
  </si>
  <si>
    <t>5300142618</t>
  </si>
  <si>
    <t>1760R3320420</t>
  </si>
  <si>
    <t>1760RCF00012</t>
  </si>
  <si>
    <t>1760RH120605</t>
  </si>
  <si>
    <t>1760RH121766</t>
  </si>
  <si>
    <t>1828FH101765</t>
  </si>
  <si>
    <t>5300280051</t>
  </si>
  <si>
    <t>1720F3301184</t>
  </si>
  <si>
    <t>XXS6T65123</t>
  </si>
  <si>
    <t>1760RH121547</t>
  </si>
  <si>
    <t>1828FIP00128</t>
  </si>
  <si>
    <t>1562RH129812</t>
  </si>
  <si>
    <t>1562RH139370</t>
  </si>
  <si>
    <t>1562RH156629</t>
  </si>
  <si>
    <t>1562RH125314</t>
  </si>
  <si>
    <t>5300328653</t>
  </si>
  <si>
    <t>XXS6T54614</t>
  </si>
  <si>
    <t>1562RH129810</t>
  </si>
  <si>
    <t>1562RCF00946</t>
  </si>
  <si>
    <t>1828FH101751</t>
  </si>
  <si>
    <t>1760R3320549</t>
  </si>
  <si>
    <t>1560R3303608</t>
  </si>
  <si>
    <t>1522FH113859</t>
  </si>
  <si>
    <t>1562RH153244</t>
  </si>
  <si>
    <t>1868RH106385</t>
  </si>
  <si>
    <t>1868RH107755</t>
  </si>
  <si>
    <t>562RRH100621</t>
  </si>
  <si>
    <t>1562RH132404</t>
  </si>
  <si>
    <t>1562RH147979</t>
  </si>
  <si>
    <t>1562R3301402</t>
  </si>
  <si>
    <t>1760R3306867</t>
  </si>
  <si>
    <t>6100783713</t>
  </si>
  <si>
    <t>5300130781</t>
  </si>
  <si>
    <t>1868RH107243</t>
  </si>
  <si>
    <t>1760RCF00040</t>
  </si>
  <si>
    <t>1760R3320579</t>
  </si>
  <si>
    <t>1868RIP00256</t>
  </si>
  <si>
    <t>1562RH144918</t>
  </si>
  <si>
    <t>1562RH157548</t>
  </si>
  <si>
    <t>1520FH122705</t>
  </si>
  <si>
    <t>1562RH142715</t>
  </si>
  <si>
    <t>5300071595</t>
  </si>
  <si>
    <t>XXAS6T69510</t>
  </si>
  <si>
    <t>1562RH145156</t>
  </si>
  <si>
    <t>1562RH129336</t>
  </si>
  <si>
    <t>1520FH123080</t>
  </si>
  <si>
    <t>1562RH126088</t>
  </si>
  <si>
    <t>1522FH102739</t>
  </si>
  <si>
    <t>5300208704</t>
  </si>
  <si>
    <t>1828FH102202</t>
  </si>
  <si>
    <t>1828FH101760</t>
  </si>
  <si>
    <t>1562RH153187</t>
  </si>
  <si>
    <t>1868RH101216</t>
  </si>
  <si>
    <t>1720FH120242</t>
  </si>
  <si>
    <t>1562RH129293</t>
  </si>
  <si>
    <t>1520FCF00283</t>
  </si>
  <si>
    <t>1760RH120944</t>
  </si>
  <si>
    <t>1760RH123652</t>
  </si>
  <si>
    <t>1562R3301396</t>
  </si>
  <si>
    <t>1520FH124913</t>
  </si>
  <si>
    <t>5300769318</t>
  </si>
  <si>
    <t>1562RH154215</t>
  </si>
  <si>
    <t>1520FH124917</t>
  </si>
  <si>
    <t>1562RH127308</t>
  </si>
  <si>
    <t>5300057640</t>
  </si>
  <si>
    <t>1828FH101723</t>
  </si>
  <si>
    <t>1760RH130332</t>
  </si>
  <si>
    <t>5300280196</t>
  </si>
  <si>
    <t>1562RH153245</t>
  </si>
  <si>
    <t>1868RH107245</t>
  </si>
  <si>
    <t>XXS6T50102</t>
  </si>
  <si>
    <t>5300280078</t>
  </si>
  <si>
    <t>1522FH105486</t>
  </si>
  <si>
    <t>1760R3320408</t>
  </si>
  <si>
    <t>XXAS6T57609</t>
  </si>
  <si>
    <t>1760R3302647</t>
  </si>
  <si>
    <t>1520FH121650</t>
  </si>
  <si>
    <t>1520FCF00893</t>
  </si>
  <si>
    <t>4789-41-12642</t>
  </si>
  <si>
    <t>1560R3300336</t>
  </si>
  <si>
    <t>1760R3320185</t>
  </si>
  <si>
    <t>562RRH105883</t>
  </si>
  <si>
    <t>1522FH100275</t>
  </si>
  <si>
    <t>1520FH120044</t>
  </si>
  <si>
    <t>XXS6T67007</t>
  </si>
  <si>
    <t>1720FH121722</t>
  </si>
  <si>
    <t>1868RH108038</t>
  </si>
  <si>
    <t>1562RH153211</t>
  </si>
  <si>
    <t>1562RCF01074</t>
  </si>
  <si>
    <t>1828FH102203</t>
  </si>
  <si>
    <t>1760RH120970</t>
  </si>
  <si>
    <t>1828FH101775</t>
  </si>
  <si>
    <t>1562R3320391</t>
  </si>
  <si>
    <t>1720VCF00010</t>
  </si>
  <si>
    <t>1760RH120555</t>
  </si>
  <si>
    <t>1828FH102254</t>
  </si>
  <si>
    <t>1560R3301581</t>
  </si>
  <si>
    <t>1520FCF00566</t>
  </si>
  <si>
    <t>1760R3320555</t>
  </si>
  <si>
    <t>1562R3320090</t>
  </si>
  <si>
    <t>XXS6T57402</t>
  </si>
  <si>
    <t>1562RH146858</t>
  </si>
  <si>
    <t>1760RH122172</t>
  </si>
  <si>
    <t>1562RH157546</t>
  </si>
  <si>
    <t>5300005168</t>
  </si>
  <si>
    <t>1760R3320546</t>
  </si>
  <si>
    <t>1760R3320411</t>
  </si>
  <si>
    <t>XXS6T61405</t>
  </si>
  <si>
    <t>1868RH107551</t>
  </si>
  <si>
    <t>1828FH101753</t>
  </si>
  <si>
    <t>1760RH126435</t>
  </si>
  <si>
    <t>1828FH101764</t>
  </si>
  <si>
    <t>1760RH123967</t>
  </si>
  <si>
    <t>XXS6T71806_BZ</t>
  </si>
  <si>
    <t>XXS6T65128</t>
  </si>
  <si>
    <t>1562RH154061</t>
  </si>
  <si>
    <t>1760R3320593</t>
  </si>
  <si>
    <t>1760R3320589</t>
  </si>
  <si>
    <t>1562RH138183</t>
  </si>
  <si>
    <t>1760RH121121</t>
  </si>
  <si>
    <t>1828FH102019</t>
  </si>
  <si>
    <t>5300415927</t>
  </si>
  <si>
    <t>1760RH123016</t>
  </si>
  <si>
    <t>XXS6T65125</t>
  </si>
  <si>
    <t>1562RH134856</t>
  </si>
  <si>
    <t>1562RCF00032</t>
  </si>
  <si>
    <t>1520FH123083</t>
  </si>
  <si>
    <t>1828FH102015</t>
  </si>
  <si>
    <t>1562RH139368</t>
  </si>
  <si>
    <t>1562RH143049</t>
  </si>
  <si>
    <t>1828FIP00122</t>
  </si>
  <si>
    <t>1520FH122585</t>
  </si>
  <si>
    <t>1760R3320139</t>
  </si>
  <si>
    <t>1562RH142719</t>
  </si>
  <si>
    <t>1562RH153242</t>
  </si>
  <si>
    <t>1562RH129339</t>
  </si>
  <si>
    <t>1562RH138599</t>
  </si>
  <si>
    <t>1828FH102221</t>
  </si>
  <si>
    <t>1522FH116005</t>
  </si>
  <si>
    <t>1562RCF00034</t>
  </si>
  <si>
    <t>5300486146</t>
  </si>
  <si>
    <t>1520FH121648</t>
  </si>
  <si>
    <t>1562RH153239</t>
  </si>
  <si>
    <t>1760RH120710</t>
  </si>
  <si>
    <t>1760R3320544</t>
  </si>
  <si>
    <t>1720FH122342</t>
  </si>
  <si>
    <t>1760RH121756</t>
  </si>
  <si>
    <t>5300294126</t>
  </si>
  <si>
    <t>1520FCF00883</t>
  </si>
  <si>
    <t>1868RH106393</t>
  </si>
  <si>
    <t>1522FH100280</t>
  </si>
  <si>
    <t>1562RH129813</t>
  </si>
  <si>
    <t>1560RCF00828</t>
  </si>
  <si>
    <t>1560R3300546</t>
  </si>
  <si>
    <t>1562RH149305</t>
  </si>
  <si>
    <t>1562RH131912</t>
  </si>
  <si>
    <t>1828FH101694</t>
  </si>
  <si>
    <t>1760RCF00045</t>
  </si>
  <si>
    <t>1750F3320014</t>
  </si>
  <si>
    <t>1760R3304549</t>
  </si>
  <si>
    <t>1562RH129958</t>
  </si>
  <si>
    <t>1520V3300478</t>
  </si>
  <si>
    <t>1720FH121782</t>
  </si>
  <si>
    <t>1562RH154066</t>
  </si>
  <si>
    <t>1720FH121915</t>
  </si>
  <si>
    <t>XXS6T52510</t>
  </si>
  <si>
    <t>1828FH102021</t>
  </si>
  <si>
    <t>5300558444</t>
  </si>
  <si>
    <t>1760RH120980</t>
  </si>
  <si>
    <t>1868RH106388</t>
  </si>
  <si>
    <t>1720FH120191</t>
  </si>
  <si>
    <t>XXS6T64804</t>
  </si>
  <si>
    <t>1828FIP00126</t>
  </si>
  <si>
    <t>1828FH102261</t>
  </si>
  <si>
    <t>1522FH113852</t>
  </si>
  <si>
    <t>5300065267</t>
  </si>
  <si>
    <t>1720FH122669</t>
  </si>
  <si>
    <t>1520FH120051</t>
  </si>
  <si>
    <t>1828FH101755</t>
  </si>
  <si>
    <t>1828FH102237</t>
  </si>
  <si>
    <t>1522FH119148</t>
  </si>
  <si>
    <t>1520FH120053</t>
  </si>
  <si>
    <t>1562RH154598</t>
  </si>
  <si>
    <t>1760RCF00469</t>
  </si>
  <si>
    <t>1828FH102244</t>
  </si>
  <si>
    <t>1828FH102013</t>
  </si>
  <si>
    <t>1562RH140501</t>
  </si>
  <si>
    <t>5300100745</t>
  </si>
  <si>
    <t>1760R3320160</t>
  </si>
  <si>
    <t>1562RH153230</t>
  </si>
  <si>
    <t>1868RH105290</t>
  </si>
  <si>
    <t>1828FH101747</t>
  </si>
  <si>
    <t>1522FH105489</t>
  </si>
  <si>
    <t>5300558412</t>
  </si>
  <si>
    <t>1720FH121909</t>
  </si>
  <si>
    <t>1522FH113854</t>
  </si>
  <si>
    <t>1520FH120035</t>
  </si>
  <si>
    <t>1828FH101724</t>
  </si>
  <si>
    <t>1720FH122667</t>
  </si>
  <si>
    <t>1828FIP00113</t>
  </si>
  <si>
    <t>5300236575</t>
  </si>
  <si>
    <t>1720FH121347</t>
  </si>
  <si>
    <t>1760RH120946</t>
  </si>
  <si>
    <t>1868RH105287</t>
  </si>
  <si>
    <t>1868RIP00250</t>
  </si>
  <si>
    <t>1562RH139366</t>
  </si>
  <si>
    <t>1562R3320030</t>
  </si>
  <si>
    <t>1760RH125410</t>
  </si>
  <si>
    <t>1760RH131254</t>
  </si>
  <si>
    <t>1828FH101972</t>
  </si>
  <si>
    <t>4789-41-08325</t>
  </si>
  <si>
    <t>1828FH101771</t>
  </si>
  <si>
    <t>562RRH100044</t>
  </si>
  <si>
    <t>XXAS6T70106</t>
  </si>
  <si>
    <t>1520FH123001</t>
  </si>
  <si>
    <t>1828FH101774</t>
  </si>
  <si>
    <t>1562RCF00035</t>
  </si>
  <si>
    <t>1562RH127315</t>
  </si>
  <si>
    <t>1760RCF00041</t>
  </si>
  <si>
    <t>1828FH101811</t>
  </si>
  <si>
    <t>1868RH107753</t>
  </si>
  <si>
    <t>1828FH102196</t>
  </si>
  <si>
    <t>SSB3213011</t>
  </si>
  <si>
    <t>1828FH102184</t>
  </si>
  <si>
    <t>1562RH127314</t>
  </si>
  <si>
    <t>1720FH123166</t>
  </si>
  <si>
    <t>1868RH106381</t>
  </si>
  <si>
    <t>1828FH101744</t>
  </si>
  <si>
    <t>1560R3302368</t>
  </si>
  <si>
    <t>1520F3306008</t>
  </si>
  <si>
    <t>1720FH121780</t>
  </si>
  <si>
    <t>1760RH122523</t>
  </si>
  <si>
    <t>1828FH101812</t>
  </si>
  <si>
    <t>1868RH107550</t>
  </si>
  <si>
    <t>1562RH127742</t>
  </si>
  <si>
    <t>1828FH102262</t>
  </si>
  <si>
    <t>1760RH126770</t>
  </si>
  <si>
    <t>1562RH157104</t>
  </si>
  <si>
    <t>1760R3320355</t>
  </si>
  <si>
    <t>1828FIP00117</t>
  </si>
  <si>
    <t>5300147994</t>
  </si>
  <si>
    <t>5300142615</t>
  </si>
  <si>
    <t>XXS6T50312_BZ</t>
  </si>
  <si>
    <t>1868RH107246</t>
  </si>
  <si>
    <t>1760RH122801</t>
  </si>
  <si>
    <t>5300517465</t>
  </si>
  <si>
    <t>XXAS6T69501</t>
  </si>
  <si>
    <t>1828FH102211</t>
  </si>
  <si>
    <t>1828FH102024</t>
  </si>
  <si>
    <t>1760RH120941</t>
  </si>
  <si>
    <t>1720F3320060</t>
  </si>
  <si>
    <t>1562RH138603</t>
  </si>
  <si>
    <t>1868RH107236</t>
  </si>
  <si>
    <t>1522FH100279</t>
  </si>
  <si>
    <t>XXS6T55111</t>
  </si>
  <si>
    <t>1720FH121785</t>
  </si>
  <si>
    <t>1520FH123069</t>
  </si>
  <si>
    <t>5300829273</t>
  </si>
  <si>
    <t>1520FH120050</t>
  </si>
  <si>
    <t>XXAS6T69504</t>
  </si>
  <si>
    <t>1828FH101971</t>
  </si>
  <si>
    <t>XXS6T64812</t>
  </si>
  <si>
    <t>1562RH131285</t>
  </si>
  <si>
    <t>1760RH127659</t>
  </si>
  <si>
    <t>1562RH138600</t>
  </si>
  <si>
    <t>1562RH125297</t>
  </si>
  <si>
    <t>1760R3320399</t>
  </si>
  <si>
    <t>1760RCF00083</t>
  </si>
  <si>
    <t>1868RH102962</t>
  </si>
  <si>
    <t>XXAS6T69506</t>
  </si>
  <si>
    <t>1868RH104515</t>
  </si>
  <si>
    <t>1560R3301866</t>
  </si>
  <si>
    <t>1562RCF00039</t>
  </si>
  <si>
    <t>1828FH102023</t>
  </si>
  <si>
    <t>1720VCF00012</t>
  </si>
  <si>
    <t>1562RH153205</t>
  </si>
  <si>
    <t>1868RH103304</t>
  </si>
  <si>
    <t>1828FH101718</t>
  </si>
  <si>
    <t>5300377755</t>
  </si>
  <si>
    <t>1520FCF00239</t>
  </si>
  <si>
    <t>1520FH120039</t>
  </si>
  <si>
    <t>XXS6T56905</t>
  </si>
  <si>
    <t>1720F3320064</t>
  </si>
  <si>
    <t>1720VH120063</t>
  </si>
  <si>
    <t>1760RH120528</t>
  </si>
  <si>
    <t>1760R3320577</t>
  </si>
  <si>
    <t>1562RH126083</t>
  </si>
  <si>
    <t>1760RCF00498</t>
  </si>
  <si>
    <t>1760RH122173</t>
  </si>
  <si>
    <t>1562RH153229</t>
  </si>
  <si>
    <t>1868RH105306</t>
  </si>
  <si>
    <t>5300584737</t>
  </si>
  <si>
    <t>1828FH102026</t>
  </si>
  <si>
    <t>1520FH120024</t>
  </si>
  <si>
    <t>1562RH127303</t>
  </si>
  <si>
    <t>1562RH156887</t>
  </si>
  <si>
    <t>1562RH128670</t>
  </si>
  <si>
    <t>1560R3301584</t>
  </si>
  <si>
    <t>1562RH153174</t>
  </si>
  <si>
    <t>1868RH102955</t>
  </si>
  <si>
    <t>1828FH101813</t>
  </si>
  <si>
    <t>1760RH120527</t>
  </si>
  <si>
    <t>1828FH102022</t>
  </si>
  <si>
    <t>1562RH140534</t>
  </si>
  <si>
    <t>1562RH131874</t>
  </si>
  <si>
    <t>1828FH102257</t>
  </si>
  <si>
    <t>1760RH120571</t>
  </si>
  <si>
    <t>1562RH154078</t>
  </si>
  <si>
    <t>1720VH120053</t>
  </si>
  <si>
    <t>1562RCF01073</t>
  </si>
  <si>
    <t>XXS6T64805</t>
  </si>
  <si>
    <t>1760R3320187</t>
  </si>
  <si>
    <t>XXAS6T69507</t>
  </si>
  <si>
    <t>1868RH107237</t>
  </si>
  <si>
    <t>XXS6T56904</t>
  </si>
  <si>
    <t>1562RCF00956</t>
  </si>
  <si>
    <t>1760RH125343</t>
  </si>
  <si>
    <t>1828FH101727</t>
  </si>
  <si>
    <t>1562RH153225</t>
  </si>
  <si>
    <t>1868RH104513</t>
  </si>
  <si>
    <t>1828FH102027</t>
  </si>
  <si>
    <t>1562R3320092</t>
  </si>
  <si>
    <t>XXS6T57702</t>
  </si>
  <si>
    <t>1760RH120721</t>
  </si>
  <si>
    <t>1562RH147066</t>
  </si>
  <si>
    <t>1828FIP00120</t>
  </si>
  <si>
    <t>1868RH107577</t>
  </si>
  <si>
    <t>1760R3320527</t>
  </si>
  <si>
    <t>1868RH107573</t>
  </si>
  <si>
    <t>1828FH101802</t>
  </si>
  <si>
    <t>1522FH113843</t>
  </si>
  <si>
    <t>1760RH120580</t>
  </si>
  <si>
    <t>1760RH126432</t>
  </si>
  <si>
    <t>1522FH119143</t>
  </si>
  <si>
    <t>1760RH120967</t>
  </si>
  <si>
    <t>1828FH102020</t>
  </si>
  <si>
    <t>1828FH102028</t>
  </si>
  <si>
    <t>1562RH143043</t>
  </si>
  <si>
    <t>1520FH123073</t>
  </si>
  <si>
    <t>1760RH129104</t>
  </si>
  <si>
    <t>1828FH102180</t>
  </si>
  <si>
    <t>1760RCF00467</t>
  </si>
  <si>
    <t>1562RH153208</t>
  </si>
  <si>
    <t>1868RH103307</t>
  </si>
  <si>
    <t>1868RH107751</t>
  </si>
  <si>
    <t>1828FH102029</t>
  </si>
  <si>
    <t>1828FH101654</t>
  </si>
  <si>
    <t>1720FH120199</t>
  </si>
  <si>
    <t>1720FH122108</t>
  </si>
  <si>
    <t>1522FH102029</t>
  </si>
  <si>
    <t>1720F3320054</t>
  </si>
  <si>
    <t>5300236582</t>
  </si>
  <si>
    <t>1520FCF00090</t>
  </si>
  <si>
    <t>1520V3300634</t>
  </si>
  <si>
    <t>1522FH100285</t>
  </si>
  <si>
    <t>1760RH120531</t>
  </si>
  <si>
    <t>1868RH105308</t>
  </si>
  <si>
    <t>1760RH120935</t>
  </si>
  <si>
    <t>1828FH101733</t>
  </si>
  <si>
    <t>1760RH120720</t>
  </si>
  <si>
    <t>1562RH143047</t>
  </si>
  <si>
    <t>1562RH133120</t>
  </si>
  <si>
    <t>1562RH127318</t>
  </si>
  <si>
    <t>1562RH139098</t>
  </si>
  <si>
    <t>1562RH132666</t>
  </si>
  <si>
    <t>5300275203</t>
  </si>
  <si>
    <t>1868RH106380</t>
  </si>
  <si>
    <t>1828FH101804</t>
  </si>
  <si>
    <t>1760R3320574</t>
  </si>
  <si>
    <t>1760R3320571</t>
  </si>
  <si>
    <t>1760R3320158</t>
  </si>
  <si>
    <t>1562R3320464</t>
  </si>
  <si>
    <t>1828FH101699</t>
  </si>
  <si>
    <t>1720VH120062</t>
  </si>
  <si>
    <t>1520FCF00233</t>
  </si>
  <si>
    <t>1828FH102241</t>
  </si>
  <si>
    <t>1760R3320416</t>
  </si>
  <si>
    <t>1562RH143044</t>
  </si>
  <si>
    <t>1522FH108479</t>
  </si>
  <si>
    <t>1522FH111859</t>
  </si>
  <si>
    <t>1562RCF01069</t>
  </si>
  <si>
    <t>1868RH101217</t>
  </si>
  <si>
    <t>1760R3320156</t>
  </si>
  <si>
    <t>1868RH101220</t>
  </si>
  <si>
    <t>1562RH153181</t>
  </si>
  <si>
    <t>1868RH102961</t>
  </si>
  <si>
    <t>5300517450</t>
  </si>
  <si>
    <t>1828FH102252</t>
  </si>
  <si>
    <t>1562RH120082</t>
  </si>
  <si>
    <t>1828FH101703</t>
  </si>
  <si>
    <t>1868RH107581</t>
  </si>
  <si>
    <t>SSB3208985</t>
  </si>
  <si>
    <t>5300769341</t>
  </si>
  <si>
    <t>1562RH153204</t>
  </si>
  <si>
    <t>1868RH103303</t>
  </si>
  <si>
    <t>1720VH120146</t>
  </si>
  <si>
    <t>1868RH106384</t>
  </si>
  <si>
    <t>1828FIP00130</t>
  </si>
  <si>
    <t>1720FH120195</t>
  </si>
  <si>
    <t>5300651212X</t>
  </si>
  <si>
    <t>1760RCF00484</t>
  </si>
  <si>
    <t>1760R3320560</t>
  </si>
  <si>
    <t>1562RH154069</t>
  </si>
  <si>
    <t>1868RH102960</t>
  </si>
  <si>
    <t>1562RH153180</t>
  </si>
  <si>
    <t>1562R3320390</t>
  </si>
  <si>
    <t>1520FCF00165</t>
  </si>
  <si>
    <t>1560R3302909</t>
  </si>
  <si>
    <t>1562RH120079</t>
  </si>
  <si>
    <t>1562RH130871</t>
  </si>
  <si>
    <t>1520F3305879</t>
  </si>
  <si>
    <t>XXAS6T70110</t>
  </si>
  <si>
    <t>1560R3300547</t>
  </si>
  <si>
    <t>5300829580</t>
  </si>
  <si>
    <t>1828FH102218</t>
  </si>
  <si>
    <t>XXS6T57701</t>
  </si>
  <si>
    <t>1520FH120048</t>
  </si>
  <si>
    <t>1760R3303365</t>
  </si>
  <si>
    <t>1760R3320418</t>
  </si>
  <si>
    <t>SSB3211080</t>
  </si>
  <si>
    <t>1760RH128261</t>
  </si>
  <si>
    <t>1562RH138184</t>
  </si>
  <si>
    <t>1562RH144648</t>
  </si>
  <si>
    <t>1828FH102227</t>
  </si>
  <si>
    <t>1868RH106048</t>
  </si>
  <si>
    <t>1868RH104510</t>
  </si>
  <si>
    <t>1760RH122689</t>
  </si>
  <si>
    <t>1828FH101726</t>
  </si>
  <si>
    <t>562RRH100421</t>
  </si>
  <si>
    <t>1828FH101743</t>
  </si>
  <si>
    <t>1720FH121720</t>
  </si>
  <si>
    <t>5300558436</t>
  </si>
  <si>
    <t>1562RCF01072</t>
  </si>
  <si>
    <t>1828FH101656</t>
  </si>
  <si>
    <t>1760R3320539</t>
  </si>
  <si>
    <t>1750F3320017</t>
  </si>
  <si>
    <t>1560R3304426</t>
  </si>
  <si>
    <t>5300195199</t>
  </si>
  <si>
    <t>1760RH120950</t>
  </si>
  <si>
    <t>1562RH139156</t>
  </si>
  <si>
    <t>1562RH145157</t>
  </si>
  <si>
    <t>1750FGR20980</t>
  </si>
  <si>
    <t>1522FH105478</t>
  </si>
  <si>
    <t>1868RH101148</t>
  </si>
  <si>
    <t>1720VH120051</t>
  </si>
  <si>
    <t>1562RH157109</t>
  </si>
  <si>
    <t>1720FH122105</t>
  </si>
  <si>
    <t>1562RH128143</t>
  </si>
  <si>
    <t>1720FH120189</t>
  </si>
  <si>
    <t>1562RH153224</t>
  </si>
  <si>
    <t>1760RH120974</t>
  </si>
  <si>
    <t>1522FH119146</t>
  </si>
  <si>
    <t>1522FH106938</t>
  </si>
  <si>
    <t>1562RH153213</t>
  </si>
  <si>
    <t>1760RCF00468</t>
  </si>
  <si>
    <t>1562RH126082</t>
  </si>
  <si>
    <t>1720F3320057</t>
  </si>
  <si>
    <t>1720FCF00089</t>
  </si>
  <si>
    <t>5300204505</t>
  </si>
  <si>
    <t>1520FCF00289</t>
  </si>
  <si>
    <t>XXS6T50316</t>
  </si>
  <si>
    <t>1522FH104893</t>
  </si>
  <si>
    <t>1760RH121548</t>
  </si>
  <si>
    <t>1562RCF01176</t>
  </si>
  <si>
    <t>1520FH124922</t>
  </si>
  <si>
    <t>1720FH121363</t>
  </si>
  <si>
    <t>1720F3301172</t>
  </si>
  <si>
    <t>1760RH128044</t>
  </si>
  <si>
    <t>1760RH123397</t>
  </si>
  <si>
    <t>1720FH122110</t>
  </si>
  <si>
    <t>1868RH106113</t>
  </si>
  <si>
    <t>5300827421</t>
  </si>
  <si>
    <t>1562RH141911</t>
  </si>
  <si>
    <t>1562RH132408</t>
  </si>
  <si>
    <t>1560R3302881</t>
  </si>
  <si>
    <t>5300057642</t>
  </si>
  <si>
    <t>1868RH107757</t>
  </si>
  <si>
    <t>1520FH123077</t>
  </si>
  <si>
    <t>1760RH120615</t>
  </si>
  <si>
    <t>1720FH122160</t>
  </si>
  <si>
    <t>1828FH102256</t>
  </si>
  <si>
    <t>5300829087</t>
  </si>
  <si>
    <t>1760RH120701</t>
  </si>
  <si>
    <t>1828FH101728</t>
  </si>
  <si>
    <t>1520FH121679</t>
  </si>
  <si>
    <t>1720FH122107</t>
  </si>
  <si>
    <t>1828FH101754</t>
  </si>
  <si>
    <t>1562RH142717</t>
  </si>
  <si>
    <t>1562RH125336</t>
  </si>
  <si>
    <t>1522FH100290</t>
  </si>
  <si>
    <t>1520FH122734</t>
  </si>
  <si>
    <t>1828FH101725</t>
  </si>
  <si>
    <t>1720FH121914</t>
  </si>
  <si>
    <t>1720FH122068</t>
  </si>
  <si>
    <t>1760RH121470</t>
  </si>
  <si>
    <t>1720FH120246</t>
  </si>
  <si>
    <t>1562RH153206</t>
  </si>
  <si>
    <t>1868RH103305</t>
  </si>
  <si>
    <t>1520FH120092</t>
  </si>
  <si>
    <t>1562RH142718</t>
  </si>
  <si>
    <t>1868RH104512</t>
  </si>
  <si>
    <t>1868RH103308</t>
  </si>
  <si>
    <t>1520FCF00241</t>
  </si>
  <si>
    <t>1760R3320184</t>
  </si>
  <si>
    <t>1750F3320012</t>
  </si>
  <si>
    <t>1562R3301389</t>
  </si>
  <si>
    <t>1560R3301575</t>
  </si>
  <si>
    <t>1562RH129815</t>
  </si>
  <si>
    <t>1560R3300737</t>
  </si>
  <si>
    <t>1828FH102205</t>
  </si>
  <si>
    <t>XXS6T59903</t>
  </si>
  <si>
    <t>1868RH107819</t>
  </si>
  <si>
    <t>1720FH122159</t>
  </si>
  <si>
    <t>1760RH120945</t>
  </si>
  <si>
    <t>5300280210</t>
  </si>
  <si>
    <t>1520FCF00877</t>
  </si>
  <si>
    <t>1520FH120037</t>
  </si>
  <si>
    <t>1868RH106114</t>
  </si>
  <si>
    <t>XXS6T50314_BZ</t>
  </si>
  <si>
    <t>1562RH154453</t>
  </si>
  <si>
    <t>1522FH108478</t>
  </si>
  <si>
    <t>1520FH120085</t>
  </si>
  <si>
    <t>1760R3320552</t>
  </si>
  <si>
    <t>1522FH115041</t>
  </si>
  <si>
    <t>1522FH115038</t>
  </si>
  <si>
    <t>1828FH102246</t>
  </si>
  <si>
    <t>1828FH101693</t>
  </si>
  <si>
    <t>5300006240</t>
  </si>
  <si>
    <t>1868RH107554</t>
  </si>
  <si>
    <t>1720FH121783</t>
  </si>
  <si>
    <t>1720FH121781</t>
  </si>
  <si>
    <t>1378FDC04449</t>
  </si>
  <si>
    <t>1828FH102190</t>
  </si>
  <si>
    <t>1760R3320535</t>
  </si>
  <si>
    <t>5300204503</t>
  </si>
  <si>
    <t>1868RH106120</t>
  </si>
  <si>
    <t>1720FH120186</t>
  </si>
  <si>
    <t>1562RH154454</t>
  </si>
  <si>
    <t>1522FH105476</t>
  </si>
  <si>
    <t>1760RH120551</t>
  </si>
  <si>
    <t>5300829286</t>
  </si>
  <si>
    <t>5300076627</t>
  </si>
  <si>
    <t>1760R3320580</t>
  </si>
  <si>
    <t>1760R3320581</t>
  </si>
  <si>
    <t>1828FH102002</t>
  </si>
  <si>
    <t>1378FDC03839</t>
  </si>
  <si>
    <t>1562RH124076</t>
  </si>
  <si>
    <t>1760RH120543</t>
  </si>
  <si>
    <t>1760RH127727</t>
  </si>
  <si>
    <t>1562RH153210</t>
  </si>
  <si>
    <t>1868RH103309</t>
  </si>
  <si>
    <t>1828FH101806</t>
  </si>
  <si>
    <t>1562RH138186</t>
  </si>
  <si>
    <t>1760RH120840</t>
  </si>
  <si>
    <t>1760RCF00493</t>
  </si>
  <si>
    <t>1828FH101756</t>
  </si>
  <si>
    <t>1868RH107816</t>
  </si>
  <si>
    <t>1760RH132286</t>
  </si>
  <si>
    <t>1720FH120184</t>
  </si>
  <si>
    <t>1868RH104516</t>
  </si>
  <si>
    <t>1868RH107578</t>
  </si>
  <si>
    <t>1760R3320153</t>
  </si>
  <si>
    <t>1562RH154444</t>
  </si>
  <si>
    <t>1760RH123396</t>
  </si>
  <si>
    <t>1720FH121728</t>
  </si>
  <si>
    <t>5300829152</t>
  </si>
  <si>
    <t>1520FCF00887</t>
  </si>
  <si>
    <t>XXS6T57405</t>
  </si>
  <si>
    <t>1562RH142716</t>
  </si>
  <si>
    <t>1760RCF00084</t>
  </si>
  <si>
    <t>1522FH100276</t>
  </si>
  <si>
    <t>1522FH119154</t>
  </si>
  <si>
    <t>1562RH132934</t>
  </si>
  <si>
    <t>1760R3320524</t>
  </si>
  <si>
    <t>1760R3320572</t>
  </si>
  <si>
    <t>1760RH125090</t>
  </si>
  <si>
    <t>5300829440</t>
  </si>
  <si>
    <t>1760RH123017</t>
  </si>
  <si>
    <t>XXS6T61404</t>
  </si>
  <si>
    <t>1760RH120570</t>
  </si>
  <si>
    <t>XXS6T67004</t>
  </si>
  <si>
    <t>1562R3320358</t>
  </si>
  <si>
    <t>1760RH120577</t>
  </si>
  <si>
    <t>1562R3320355</t>
  </si>
  <si>
    <t>1520FH124918</t>
  </si>
  <si>
    <t>1562RH149307</t>
  </si>
  <si>
    <t>1828FH102197</t>
  </si>
  <si>
    <t>1760R3320870</t>
  </si>
  <si>
    <t>1760RH126433</t>
  </si>
  <si>
    <t>1760R3320407</t>
  </si>
  <si>
    <t>1760R3306762</t>
  </si>
  <si>
    <t>1522FH102740</t>
  </si>
  <si>
    <t>1522FH100283</t>
  </si>
  <si>
    <t>5300829141</t>
  </si>
  <si>
    <t>1760RH128697</t>
  </si>
  <si>
    <t>1520FCF00561</t>
  </si>
  <si>
    <t>562RRH100579</t>
  </si>
  <si>
    <t>1828FH102207</t>
  </si>
  <si>
    <t>1760RH121758</t>
  </si>
  <si>
    <t>1828FH102182</t>
  </si>
  <si>
    <t>1760RH124784</t>
  </si>
  <si>
    <t>1562RH132702</t>
  </si>
  <si>
    <t>1562RH153177</t>
  </si>
  <si>
    <t>1868RH102958</t>
  </si>
  <si>
    <t>1760R3320133</t>
  </si>
  <si>
    <t>1868RIP00255</t>
  </si>
  <si>
    <t>1560R3301574</t>
  </si>
  <si>
    <t>1868RIP00253</t>
  </si>
  <si>
    <t>1520FCF00085</t>
  </si>
  <si>
    <t>1828FH101758</t>
  </si>
  <si>
    <t>1760RH120610</t>
  </si>
  <si>
    <t>1562RH125286</t>
  </si>
  <si>
    <t>1720F3301167</t>
  </si>
  <si>
    <t>1562RH132406</t>
  </si>
  <si>
    <t>5300236561</t>
  </si>
  <si>
    <t>5300236605</t>
  </si>
  <si>
    <t>1760RH120932</t>
  </si>
  <si>
    <t>XXS6T64809</t>
  </si>
  <si>
    <t>1562RCF01075</t>
  </si>
  <si>
    <t>1562RH153173</t>
  </si>
  <si>
    <t>1868RH102954</t>
  </si>
  <si>
    <t>1520FH124923</t>
  </si>
  <si>
    <t>1720FH121784</t>
  </si>
  <si>
    <t>1760R3320417</t>
  </si>
  <si>
    <t>1828FH101702</t>
  </si>
  <si>
    <t>5300154033</t>
  </si>
  <si>
    <t>562RRH100045</t>
  </si>
  <si>
    <t>1562RH147977</t>
  </si>
  <si>
    <t>1562RH127307</t>
  </si>
  <si>
    <t>XXAS6T56802</t>
  </si>
  <si>
    <t>1520FH120042</t>
  </si>
  <si>
    <t>1520FCF00930</t>
  </si>
  <si>
    <t>1868RH106121</t>
  </si>
  <si>
    <t>1760RH120569</t>
  </si>
  <si>
    <t>1562RH143036</t>
  </si>
  <si>
    <t>1720FH121779</t>
  </si>
  <si>
    <t>1562RH153192</t>
  </si>
  <si>
    <t>1868RH103302</t>
  </si>
  <si>
    <t>1828FH101805</t>
  </si>
  <si>
    <t>1720VH120091</t>
  </si>
  <si>
    <t>1828FH101739</t>
  </si>
  <si>
    <t>1520FH121289</t>
  </si>
  <si>
    <t>1760RH125342</t>
  </si>
  <si>
    <t>1562RH126085</t>
  </si>
  <si>
    <t>1562RCF00042</t>
  </si>
  <si>
    <t>1868RH104503</t>
  </si>
  <si>
    <t>1828FH101752</t>
  </si>
  <si>
    <t>változó</t>
  </si>
  <si>
    <t>Karb/év</t>
  </si>
  <si>
    <t>1138</t>
  </si>
  <si>
    <t>Budapest</t>
  </si>
  <si>
    <t>7030</t>
  </si>
  <si>
    <t>Paks</t>
  </si>
  <si>
    <t>3422</t>
  </si>
  <si>
    <t>Bükkábrány</t>
  </si>
  <si>
    <t>2490</t>
  </si>
  <si>
    <t>Pusztaszabolcs</t>
  </si>
  <si>
    <t>2890</t>
  </si>
  <si>
    <t>Tata</t>
  </si>
  <si>
    <t>5520</t>
  </si>
  <si>
    <t>Szeghalom</t>
  </si>
  <si>
    <t>7000</t>
  </si>
  <si>
    <t>Sárbogárd</t>
  </si>
  <si>
    <t>9317</t>
  </si>
  <si>
    <t>Szany</t>
  </si>
  <si>
    <t>8640</t>
  </si>
  <si>
    <t>Fonyód</t>
  </si>
  <si>
    <t>4625</t>
  </si>
  <si>
    <t>Záhony</t>
  </si>
  <si>
    <t>8648</t>
  </si>
  <si>
    <t>Balatonmáriafürdő</t>
  </si>
  <si>
    <t>8200</t>
  </si>
  <si>
    <t>Veszprém</t>
  </si>
  <si>
    <t>7815</t>
  </si>
  <si>
    <t>Harkány</t>
  </si>
  <si>
    <t>4765</t>
  </si>
  <si>
    <t>Csenger</t>
  </si>
  <si>
    <t>8000</t>
  </si>
  <si>
    <t>Székesfehérvár</t>
  </si>
  <si>
    <t>8624</t>
  </si>
  <si>
    <t>Balatonszárszó</t>
  </si>
  <si>
    <t>4211</t>
  </si>
  <si>
    <t>Ebes</t>
  </si>
  <si>
    <t>8638</t>
  </si>
  <si>
    <t>Balatonlelle</t>
  </si>
  <si>
    <t>2200</t>
  </si>
  <si>
    <t>Monor</t>
  </si>
  <si>
    <t>2015</t>
  </si>
  <si>
    <t>Szigetmonostor</t>
  </si>
  <si>
    <t>8754</t>
  </si>
  <si>
    <t>Galambok</t>
  </si>
  <si>
    <t>1196</t>
  </si>
  <si>
    <t>1146</t>
  </si>
  <si>
    <t>6000</t>
  </si>
  <si>
    <t>Kecskemét</t>
  </si>
  <si>
    <t>1054</t>
  </si>
  <si>
    <t>1072</t>
  </si>
  <si>
    <t>1074</t>
  </si>
  <si>
    <t>3763</t>
  </si>
  <si>
    <t>Bódvaszilas</t>
  </si>
  <si>
    <t>6762</t>
  </si>
  <si>
    <t>Sándorfalva</t>
  </si>
  <si>
    <t>4700</t>
  </si>
  <si>
    <t>Mátészalka</t>
  </si>
  <si>
    <t>2851</t>
  </si>
  <si>
    <t>Környe</t>
  </si>
  <si>
    <t>1123</t>
  </si>
  <si>
    <t>2545</t>
  </si>
  <si>
    <t>Dunaalmás</t>
  </si>
  <si>
    <t>7900</t>
  </si>
  <si>
    <t>Szigetvár</t>
  </si>
  <si>
    <t>6600</t>
  </si>
  <si>
    <t>Szentes</t>
  </si>
  <si>
    <t>6800</t>
  </si>
  <si>
    <t>Hódmezővásárhely</t>
  </si>
  <si>
    <t>3533</t>
  </si>
  <si>
    <t>Miskolc</t>
  </si>
  <si>
    <t>6792</t>
  </si>
  <si>
    <t>Zsombó</t>
  </si>
  <si>
    <t>5600</t>
  </si>
  <si>
    <t>Békéscsaba</t>
  </si>
  <si>
    <t>1061</t>
  </si>
  <si>
    <t>1062</t>
  </si>
  <si>
    <t>3780</t>
  </si>
  <si>
    <t>Edelény</t>
  </si>
  <si>
    <t>4552</t>
  </si>
  <si>
    <t>Napkor</t>
  </si>
  <si>
    <t>1124</t>
  </si>
  <si>
    <t>1051</t>
  </si>
  <si>
    <t>1052</t>
  </si>
  <si>
    <t>9022</t>
  </si>
  <si>
    <t>Győr</t>
  </si>
  <si>
    <t>6720</t>
  </si>
  <si>
    <t>Szeged</t>
  </si>
  <si>
    <t>9021</t>
  </si>
  <si>
    <t>7100</t>
  </si>
  <si>
    <t>Szekszárd</t>
  </si>
  <si>
    <t>8713</t>
  </si>
  <si>
    <t>Kéthely</t>
  </si>
  <si>
    <t>4461</t>
  </si>
  <si>
    <t>Nyírtelek</t>
  </si>
  <si>
    <t>2400</t>
  </si>
  <si>
    <t>Dunaújváros</t>
  </si>
  <si>
    <t>8230</t>
  </si>
  <si>
    <t>Balatonfüred</t>
  </si>
  <si>
    <t>2030</t>
  </si>
  <si>
    <t>Érd</t>
  </si>
  <si>
    <t>3700</t>
  </si>
  <si>
    <t>Kazincbarcika</t>
  </si>
  <si>
    <t>4600</t>
  </si>
  <si>
    <t>Kisvárda</t>
  </si>
  <si>
    <t>4274</t>
  </si>
  <si>
    <t>Hosszúpályi</t>
  </si>
  <si>
    <t>6239</t>
  </si>
  <si>
    <t>Császártöltés</t>
  </si>
  <si>
    <t>7500</t>
  </si>
  <si>
    <t>Nagyatád</t>
  </si>
  <si>
    <t>2365</t>
  </si>
  <si>
    <t>Inárcs</t>
  </si>
  <si>
    <t>2310</t>
  </si>
  <si>
    <t>Szigetszentmiklós</t>
  </si>
  <si>
    <t>2045</t>
  </si>
  <si>
    <t>Törökbálint</t>
  </si>
  <si>
    <t>2500</t>
  </si>
  <si>
    <t>Esztergom</t>
  </si>
  <si>
    <t>2670</t>
  </si>
  <si>
    <t>Nagykáta</t>
  </si>
  <si>
    <t>2081</t>
  </si>
  <si>
    <t>Piliscsaba</t>
  </si>
  <si>
    <t>7622</t>
  </si>
  <si>
    <t>Pécs</t>
  </si>
  <si>
    <t>3537</t>
  </si>
  <si>
    <t>3910</t>
  </si>
  <si>
    <t>Tokaj</t>
  </si>
  <si>
    <t>8124</t>
  </si>
  <si>
    <t>Káloz</t>
  </si>
  <si>
    <t>7570</t>
  </si>
  <si>
    <t>Barcs</t>
  </si>
  <si>
    <t>8060</t>
  </si>
  <si>
    <t>Mór</t>
  </si>
  <si>
    <t>1065</t>
  </si>
  <si>
    <t>1055</t>
  </si>
  <si>
    <t>2330</t>
  </si>
  <si>
    <t>Dunaharaszti</t>
  </si>
  <si>
    <t>2484</t>
  </si>
  <si>
    <t>Agárd</t>
  </si>
  <si>
    <t>8623</t>
  </si>
  <si>
    <t>Balatonföldvár</t>
  </si>
  <si>
    <t>3300</t>
  </si>
  <si>
    <t>Eger</t>
  </si>
  <si>
    <t>8220</t>
  </si>
  <si>
    <t>Balatonalmádi</t>
  </si>
  <si>
    <t>9024</t>
  </si>
  <si>
    <t>5000</t>
  </si>
  <si>
    <t>Szolnok</t>
  </si>
  <si>
    <t>7400</t>
  </si>
  <si>
    <t>Kaposvár</t>
  </si>
  <si>
    <t>1087</t>
  </si>
  <si>
    <t>1082</t>
  </si>
  <si>
    <t>4281</t>
  </si>
  <si>
    <t>Létavértes</t>
  </si>
  <si>
    <t>9300</t>
  </si>
  <si>
    <t>Csorna</t>
  </si>
  <si>
    <t>9028</t>
  </si>
  <si>
    <t>2370</t>
  </si>
  <si>
    <t>Dabas</t>
  </si>
  <si>
    <t>4031</t>
  </si>
  <si>
    <t>Debrecen</t>
  </si>
  <si>
    <t>9023</t>
  </si>
  <si>
    <t>1111</t>
  </si>
  <si>
    <t>1114</t>
  </si>
  <si>
    <t>2194</t>
  </si>
  <si>
    <t>Tura</t>
  </si>
  <si>
    <t>2120</t>
  </si>
  <si>
    <t>Dunakeszi</t>
  </si>
  <si>
    <t>9600</t>
  </si>
  <si>
    <t>Sárvár</t>
  </si>
  <si>
    <t>8154</t>
  </si>
  <si>
    <t>Polgárdi</t>
  </si>
  <si>
    <t>1011</t>
  </si>
  <si>
    <t>8790</t>
  </si>
  <si>
    <t>Zalaszentgrót</t>
  </si>
  <si>
    <t>3860</t>
  </si>
  <si>
    <t>Encs</t>
  </si>
  <si>
    <t>4026</t>
  </si>
  <si>
    <t>3100</t>
  </si>
  <si>
    <t>Salgótarján</t>
  </si>
  <si>
    <t>8360</t>
  </si>
  <si>
    <t>Keszthely</t>
  </si>
  <si>
    <t>6795</t>
  </si>
  <si>
    <t>Bordány</t>
  </si>
  <si>
    <t>9025</t>
  </si>
  <si>
    <t>5309</t>
  </si>
  <si>
    <t>Berekfürdő</t>
  </si>
  <si>
    <t>9700</t>
  </si>
  <si>
    <t>Szombathely</t>
  </si>
  <si>
    <t>9545</t>
  </si>
  <si>
    <t>Jánosháza</t>
  </si>
  <si>
    <t>8710</t>
  </si>
  <si>
    <t>Balatonszentgyörgy</t>
  </si>
  <si>
    <t>8900</t>
  </si>
  <si>
    <t>Zalaegerszeg</t>
  </si>
  <si>
    <t>6400</t>
  </si>
  <si>
    <t>Kiskunhalas</t>
  </si>
  <si>
    <t>4400</t>
  </si>
  <si>
    <t>Nyíregyháza</t>
  </si>
  <si>
    <t>3580</t>
  </si>
  <si>
    <t>Tiszaújváros</t>
  </si>
  <si>
    <t>7600</t>
  </si>
  <si>
    <t>1239</t>
  </si>
  <si>
    <t>3000</t>
  </si>
  <si>
    <t>Hatvan</t>
  </si>
  <si>
    <t>5502</t>
  </si>
  <si>
    <t>Gyomaendrőd</t>
  </si>
  <si>
    <t>2800</t>
  </si>
  <si>
    <t>Tatabánya</t>
  </si>
  <si>
    <t>2060</t>
  </si>
  <si>
    <t>Bicske</t>
  </si>
  <si>
    <t>4242</t>
  </si>
  <si>
    <t>Hajdúhadház</t>
  </si>
  <si>
    <t>4080</t>
  </si>
  <si>
    <t>Hajdúnánás</t>
  </si>
  <si>
    <t>1113</t>
  </si>
  <si>
    <t>5700</t>
  </si>
  <si>
    <t>Gyula</t>
  </si>
  <si>
    <t>3002</t>
  </si>
  <si>
    <t>3800</t>
  </si>
  <si>
    <t>Szikszó</t>
  </si>
  <si>
    <t>1095</t>
  </si>
  <si>
    <t>1149</t>
  </si>
  <si>
    <t>8800</t>
  </si>
  <si>
    <t>Nagykanizsa</t>
  </si>
  <si>
    <t>3600</t>
  </si>
  <si>
    <t>Ózd</t>
  </si>
  <si>
    <t>2462</t>
  </si>
  <si>
    <t>Martonvásár</t>
  </si>
  <si>
    <t>1117</t>
  </si>
  <si>
    <t>6753</t>
  </si>
  <si>
    <t>Tápé</t>
  </si>
  <si>
    <t>7630</t>
  </si>
  <si>
    <t>7140</t>
  </si>
  <si>
    <t>2051</t>
  </si>
  <si>
    <t>Biatorbágy</t>
  </si>
  <si>
    <t>1112</t>
  </si>
  <si>
    <t>8175</t>
  </si>
  <si>
    <t>Balatonfűzfő</t>
  </si>
  <si>
    <t>3200</t>
  </si>
  <si>
    <t>Gyöngyös</t>
  </si>
  <si>
    <t>9400</t>
  </si>
  <si>
    <t>Sopron</t>
  </si>
  <si>
    <t>6300</t>
  </si>
  <si>
    <t>Kalocsa</t>
  </si>
  <si>
    <t>9200</t>
  </si>
  <si>
    <t>Mosonmagyaróvár</t>
  </si>
  <si>
    <t>2510</t>
  </si>
  <si>
    <t>Dorog</t>
  </si>
  <si>
    <t>1034</t>
  </si>
  <si>
    <t>1036</t>
  </si>
  <si>
    <t>1032</t>
  </si>
  <si>
    <t>2518</t>
  </si>
  <si>
    <t>Leányvár</t>
  </si>
  <si>
    <t>1037</t>
  </si>
  <si>
    <t>1023</t>
  </si>
  <si>
    <t>9151</t>
  </si>
  <si>
    <t>Abda</t>
  </si>
  <si>
    <t>1022</t>
  </si>
  <si>
    <t>5820</t>
  </si>
  <si>
    <t>Mezőhegyes</t>
  </si>
  <si>
    <t>7020</t>
  </si>
  <si>
    <t>Dunaföldvár</t>
  </si>
  <si>
    <t>6320</t>
  </si>
  <si>
    <t>Solt</t>
  </si>
  <si>
    <t>6060</t>
  </si>
  <si>
    <t>Tiszakécske</t>
  </si>
  <si>
    <t>1135</t>
  </si>
  <si>
    <t>4553</t>
  </si>
  <si>
    <t>Apagy</t>
  </si>
  <si>
    <t>9766</t>
  </si>
  <si>
    <t>Rum</t>
  </si>
  <si>
    <t>9144</t>
  </si>
  <si>
    <t>Kóny</t>
  </si>
  <si>
    <t>2943</t>
  </si>
  <si>
    <t>Bábolna</t>
  </si>
  <si>
    <t>2481</t>
  </si>
  <si>
    <t>Velence</t>
  </si>
  <si>
    <t>3881</t>
  </si>
  <si>
    <t>Abaújszántó</t>
  </si>
  <si>
    <t>5650</t>
  </si>
  <si>
    <t>Mezőberény</t>
  </si>
  <si>
    <t>4371</t>
  </si>
  <si>
    <t>Nyírlugos</t>
  </si>
  <si>
    <t>1203</t>
  </si>
  <si>
    <t>4032</t>
  </si>
  <si>
    <t>4024</t>
  </si>
  <si>
    <t>1126</t>
  </si>
  <si>
    <t>6750</t>
  </si>
  <si>
    <t>Algyő</t>
  </si>
  <si>
    <t>3256</t>
  </si>
  <si>
    <t>3526</t>
  </si>
  <si>
    <t>7626</t>
  </si>
  <si>
    <t>2750</t>
  </si>
  <si>
    <t>Nagykőrös</t>
  </si>
  <si>
    <t>8500</t>
  </si>
  <si>
    <t>Pápa</t>
  </si>
  <si>
    <t>1165</t>
  </si>
  <si>
    <t>3530</t>
  </si>
  <si>
    <t>5540</t>
  </si>
  <si>
    <t>Szarvas</t>
  </si>
  <si>
    <t>1015</t>
  </si>
  <si>
    <t>6900</t>
  </si>
  <si>
    <t>Makó</t>
  </si>
  <si>
    <t>6120</t>
  </si>
  <si>
    <t>Kiskunmajsa</t>
  </si>
  <si>
    <t>4241</t>
  </si>
  <si>
    <t>Bocskaikert</t>
  </si>
  <si>
    <t>2911</t>
  </si>
  <si>
    <t>Mocsa</t>
  </si>
  <si>
    <t>8840</t>
  </si>
  <si>
    <t>Csurgó</t>
  </si>
  <si>
    <t>7632</t>
  </si>
  <si>
    <t>8151</t>
  </si>
  <si>
    <t>Szabadbattyán</t>
  </si>
  <si>
    <t>1093</t>
  </si>
  <si>
    <t>4562</t>
  </si>
  <si>
    <t>Vaja</t>
  </si>
  <si>
    <t>2440</t>
  </si>
  <si>
    <t>Százhalombatta</t>
  </si>
  <si>
    <t>1181</t>
  </si>
  <si>
    <t>4300</t>
  </si>
  <si>
    <t>Nyírbátor</t>
  </si>
  <si>
    <t>2600</t>
  </si>
  <si>
    <t>Vác</t>
  </si>
  <si>
    <t>8130</t>
  </si>
  <si>
    <t>Enying</t>
  </si>
  <si>
    <t>2767</t>
  </si>
  <si>
    <t>Tápiógyörgye</t>
  </si>
  <si>
    <t>7130</t>
  </si>
  <si>
    <t>Tolna</t>
  </si>
  <si>
    <t>4177</t>
  </si>
  <si>
    <t>Földes</t>
  </si>
  <si>
    <t>6500</t>
  </si>
  <si>
    <t>Baja</t>
  </si>
  <si>
    <t>5310</t>
  </si>
  <si>
    <t>Kisújszállás</t>
  </si>
  <si>
    <t>8300</t>
  </si>
  <si>
    <t>Tapolca</t>
  </si>
  <si>
    <t>3263</t>
  </si>
  <si>
    <t>Domoszló</t>
  </si>
  <si>
    <t>8897</t>
  </si>
  <si>
    <t>Söjtör</t>
  </si>
  <si>
    <t>Pécs-Kertváros</t>
  </si>
  <si>
    <t>2000</t>
  </si>
  <si>
    <t>Szentendre</t>
  </si>
  <si>
    <t>7181</t>
  </si>
  <si>
    <t>Tevel</t>
  </si>
  <si>
    <t>6791</t>
  </si>
  <si>
    <t>Kiskundorozsma</t>
  </si>
  <si>
    <t>9501</t>
  </si>
  <si>
    <t>Celldömölk</t>
  </si>
  <si>
    <t>2133</t>
  </si>
  <si>
    <t>Sződliget</t>
  </si>
  <si>
    <t>7827</t>
  </si>
  <si>
    <t>Beremend</t>
  </si>
  <si>
    <t>2360</t>
  </si>
  <si>
    <t>Gyál</t>
  </si>
  <si>
    <t>3501</t>
  </si>
  <si>
    <t>1014</t>
  </si>
  <si>
    <t>2243</t>
  </si>
  <si>
    <t>Kóka</t>
  </si>
  <si>
    <t>2151</t>
  </si>
  <si>
    <t>Fót</t>
  </si>
  <si>
    <t>4100</t>
  </si>
  <si>
    <t>Berettyóújfalu</t>
  </si>
  <si>
    <t>3441</t>
  </si>
  <si>
    <t>Mezőkeresztes</t>
  </si>
  <si>
    <t>2747</t>
  </si>
  <si>
    <t>Törtel</t>
  </si>
  <si>
    <t>2760</t>
  </si>
  <si>
    <t>3814</t>
  </si>
  <si>
    <t>Felsővadász</t>
  </si>
  <si>
    <t>5400</t>
  </si>
  <si>
    <t>Mezőtúr</t>
  </si>
  <si>
    <t>2254</t>
  </si>
  <si>
    <t>Tápiószecső</t>
  </si>
  <si>
    <t>2074</t>
  </si>
  <si>
    <t>Perbál</t>
  </si>
  <si>
    <t>2340</t>
  </si>
  <si>
    <t>Kiskunlacháza</t>
  </si>
  <si>
    <t>4060</t>
  </si>
  <si>
    <t>Balmazújváros</t>
  </si>
  <si>
    <t>6050</t>
  </si>
  <si>
    <t>Lajosmizse</t>
  </si>
  <si>
    <t>6763</t>
  </si>
  <si>
    <t>Szatymaz</t>
  </si>
  <si>
    <t>3035</t>
  </si>
  <si>
    <t>Gyöngyöspata</t>
  </si>
  <si>
    <t>2134</t>
  </si>
  <si>
    <t>Sződ</t>
  </si>
  <si>
    <t>3994</t>
  </si>
  <si>
    <t>Pálháza</t>
  </si>
  <si>
    <t>2100</t>
  </si>
  <si>
    <t>Gödöllő</t>
  </si>
  <si>
    <t>6115</t>
  </si>
  <si>
    <t>Kunszállás</t>
  </si>
  <si>
    <t>6222</t>
  </si>
  <si>
    <t>Csengőd</t>
  </si>
  <si>
    <t>1068</t>
  </si>
  <si>
    <t>2451</t>
  </si>
  <si>
    <t>Ercsi</t>
  </si>
  <si>
    <t>3971</t>
  </si>
  <si>
    <t>Tiszakarád</t>
  </si>
  <si>
    <t>7696</t>
  </si>
  <si>
    <t>Hidas</t>
  </si>
  <si>
    <t>6032</t>
  </si>
  <si>
    <t>Nyárlőrinc</t>
  </si>
  <si>
    <t>4243</t>
  </si>
  <si>
    <t>Téglás</t>
  </si>
  <si>
    <t>8391</t>
  </si>
  <si>
    <t>Sármellék</t>
  </si>
  <si>
    <t>4231</t>
  </si>
  <si>
    <t>Bököny</t>
  </si>
  <si>
    <t>3400</t>
  </si>
  <si>
    <t>Mezőkövesd</t>
  </si>
  <si>
    <t>9026</t>
  </si>
  <si>
    <t>6722</t>
  </si>
  <si>
    <t>3515</t>
  </si>
  <si>
    <t>8136</t>
  </si>
  <si>
    <t>Lajoskomárom</t>
  </si>
  <si>
    <t>1073</t>
  </si>
  <si>
    <t>8380</t>
  </si>
  <si>
    <t>Hévíz</t>
  </si>
  <si>
    <t>1143</t>
  </si>
  <si>
    <t>1041</t>
  </si>
  <si>
    <t>3271</t>
  </si>
  <si>
    <t>2234</t>
  </si>
  <si>
    <t>Maglód</t>
  </si>
  <si>
    <t>1119</t>
  </si>
  <si>
    <t>1101</t>
  </si>
  <si>
    <t>2700</t>
  </si>
  <si>
    <t>Cegléd</t>
  </si>
  <si>
    <t>3950</t>
  </si>
  <si>
    <t>Sárospatak</t>
  </si>
  <si>
    <t>2363</t>
  </si>
  <si>
    <t>Felsőpakony</t>
  </si>
  <si>
    <t>2364</t>
  </si>
  <si>
    <t>Ócsa</t>
  </si>
  <si>
    <t>4034</t>
  </si>
  <si>
    <t>1106</t>
  </si>
  <si>
    <t>2642</t>
  </si>
  <si>
    <t>8100</t>
  </si>
  <si>
    <t>Várpalota</t>
  </si>
  <si>
    <t>1116</t>
  </si>
  <si>
    <t>7800</t>
  </si>
  <si>
    <t>Siklós</t>
  </si>
  <si>
    <t>6033</t>
  </si>
  <si>
    <t>Városföld</t>
  </si>
  <si>
    <t>2432</t>
  </si>
  <si>
    <t>Szabadegyháza</t>
  </si>
  <si>
    <t>9232</t>
  </si>
  <si>
    <t>Darnózseli</t>
  </si>
  <si>
    <t>1094</t>
  </si>
  <si>
    <t>7621</t>
  </si>
  <si>
    <t>1053</t>
  </si>
  <si>
    <t>1173</t>
  </si>
  <si>
    <t>1033</t>
  </si>
  <si>
    <t>7985</t>
  </si>
  <si>
    <t>Nagydobsza</t>
  </si>
  <si>
    <t>7694</t>
  </si>
  <si>
    <t>Hosszúhetény</t>
  </si>
  <si>
    <t>7192</t>
  </si>
  <si>
    <t>Szakály</t>
  </si>
  <si>
    <t>1083</t>
  </si>
  <si>
    <t>1139</t>
  </si>
  <si>
    <t>5100</t>
  </si>
  <si>
    <t>Jászberény</t>
  </si>
  <si>
    <t>1024</t>
  </si>
  <si>
    <t>4027</t>
  </si>
  <si>
    <t>6721</t>
  </si>
  <si>
    <t>6726</t>
  </si>
  <si>
    <t>6412</t>
  </si>
  <si>
    <t>Balotaszállás</t>
  </si>
  <si>
    <t>2096</t>
  </si>
  <si>
    <t>Üröm</t>
  </si>
  <si>
    <t>8600</t>
  </si>
  <si>
    <t>Siófok</t>
  </si>
  <si>
    <t>9330</t>
  </si>
  <si>
    <t>Kapuvár</t>
  </si>
  <si>
    <t>2765</t>
  </si>
  <si>
    <t>Farmos</t>
  </si>
  <si>
    <t>9730</t>
  </si>
  <si>
    <t>Kőszeg</t>
  </si>
  <si>
    <t>6237</t>
  </si>
  <si>
    <t>Kecel</t>
  </si>
  <si>
    <t>4181</t>
  </si>
  <si>
    <t>Nádudvar</t>
  </si>
  <si>
    <t>3358</t>
  </si>
  <si>
    <t>Erdőtelek</t>
  </si>
  <si>
    <t>2085</t>
  </si>
  <si>
    <t>Pilisvörösvár</t>
  </si>
  <si>
    <t>2092</t>
  </si>
  <si>
    <t>Budakeszi</t>
  </si>
  <si>
    <t>9484</t>
  </si>
  <si>
    <t>Pereszteg</t>
  </si>
  <si>
    <t>8111</t>
  </si>
  <si>
    <t>Seregélyes</t>
  </si>
  <si>
    <t>3434</t>
  </si>
  <si>
    <t>Mályi</t>
  </si>
  <si>
    <t>9461</t>
  </si>
  <si>
    <t>Lövő</t>
  </si>
  <si>
    <t>2220</t>
  </si>
  <si>
    <t>Vecsés</t>
  </si>
  <si>
    <t>2475</t>
  </si>
  <si>
    <t>Kápolnásnyék</t>
  </si>
  <si>
    <t>8444</t>
  </si>
  <si>
    <t>Szentgál</t>
  </si>
  <si>
    <t>2112</t>
  </si>
  <si>
    <t>Veresegyház</t>
  </si>
  <si>
    <t>5322</t>
  </si>
  <si>
    <t>Tiszaszentimre</t>
  </si>
  <si>
    <t>9178</t>
  </si>
  <si>
    <t>Hédervár</t>
  </si>
  <si>
    <t>6221</t>
  </si>
  <si>
    <t>Akasztó</t>
  </si>
  <si>
    <t>2252</t>
  </si>
  <si>
    <t>Tóalmás</t>
  </si>
  <si>
    <t>5054</t>
  </si>
  <si>
    <t>Jászalsószentgyörgy</t>
  </si>
  <si>
    <t>9221</t>
  </si>
  <si>
    <t>Levél</t>
  </si>
  <si>
    <t>3060</t>
  </si>
  <si>
    <t>Pásztó</t>
  </si>
  <si>
    <t>6793</t>
  </si>
  <si>
    <t>Forráskút</t>
  </si>
  <si>
    <t>3360</t>
  </si>
  <si>
    <t>Heves</t>
  </si>
  <si>
    <t>9155</t>
  </si>
  <si>
    <t>Lébény</t>
  </si>
  <si>
    <t>4085</t>
  </si>
  <si>
    <t>Hajdúnánás-Tedej</t>
  </si>
  <si>
    <t>2235</t>
  </si>
  <si>
    <t>Mende</t>
  </si>
  <si>
    <t>8086</t>
  </si>
  <si>
    <t>Felcsút</t>
  </si>
  <si>
    <t>8935</t>
  </si>
  <si>
    <t>Nagykapornak</t>
  </si>
  <si>
    <t>7200</t>
  </si>
  <si>
    <t>Dombóvár</t>
  </si>
  <si>
    <t>5363</t>
  </si>
  <si>
    <t>Nagyiván</t>
  </si>
  <si>
    <t>1151</t>
  </si>
  <si>
    <t>2476</t>
  </si>
  <si>
    <t>Pázmánd</t>
  </si>
  <si>
    <t>2746</t>
  </si>
  <si>
    <t>Jászkarajenő</t>
  </si>
  <si>
    <t>9153</t>
  </si>
  <si>
    <t>Öttevény</t>
  </si>
  <si>
    <t>2534</t>
  </si>
  <si>
    <t>Tát</t>
  </si>
  <si>
    <t>5500</t>
  </si>
  <si>
    <t>5244</t>
  </si>
  <si>
    <t>Tiszaszőlős</t>
  </si>
  <si>
    <t>8174</t>
  </si>
  <si>
    <t>Balatonkenese</t>
  </si>
  <si>
    <t>2098</t>
  </si>
  <si>
    <t>Piliszentkereszt</t>
  </si>
  <si>
    <t>4551</t>
  </si>
  <si>
    <t>Nyíregyháza-Oros</t>
  </si>
  <si>
    <t>4511</t>
  </si>
  <si>
    <t>Nyírbogdány</t>
  </si>
  <si>
    <t>3849</t>
  </si>
  <si>
    <t>Forró</t>
  </si>
  <si>
    <t>8400</t>
  </si>
  <si>
    <t>Ajka</t>
  </si>
  <si>
    <t>2351</t>
  </si>
  <si>
    <t>Alsónémedi</t>
  </si>
  <si>
    <t>5211</t>
  </si>
  <si>
    <t>Tiszapüspöki</t>
  </si>
  <si>
    <t>3973</t>
  </si>
  <si>
    <t>Cigánd</t>
  </si>
  <si>
    <t>3842</t>
  </si>
  <si>
    <t>Halmaj</t>
  </si>
  <si>
    <t>9233</t>
  </si>
  <si>
    <t>Lipót</t>
  </si>
  <si>
    <t>9100</t>
  </si>
  <si>
    <t>Tét</t>
  </si>
  <si>
    <t>2941</t>
  </si>
  <si>
    <t>Ács</t>
  </si>
  <si>
    <t>9181</t>
  </si>
  <si>
    <t>Kimle</t>
  </si>
  <si>
    <t>5111</t>
  </si>
  <si>
    <t>Jászfelsőszentgyörgy</t>
  </si>
  <si>
    <t>9800</t>
  </si>
  <si>
    <t>Vasvár</t>
  </si>
  <si>
    <t>4150</t>
  </si>
  <si>
    <t>Püspökladány</t>
  </si>
  <si>
    <t>7090</t>
  </si>
  <si>
    <t>Tamási</t>
  </si>
  <si>
    <t>1076</t>
  </si>
  <si>
    <t>1118</t>
  </si>
  <si>
    <t>2040</t>
  </si>
  <si>
    <t>Budaörs</t>
  </si>
  <si>
    <t>9027</t>
  </si>
  <si>
    <t>6100</t>
  </si>
  <si>
    <t>Kiskunfélegyháza</t>
  </si>
  <si>
    <t>2900</t>
  </si>
  <si>
    <t>Komárom</t>
  </si>
  <si>
    <t>3900</t>
  </si>
  <si>
    <t>Szerencs</t>
  </si>
  <si>
    <t>3792</t>
  </si>
  <si>
    <t>Sajóbábony</t>
  </si>
  <si>
    <t>8749</t>
  </si>
  <si>
    <t>Zalakaros</t>
  </si>
  <si>
    <t>1103</t>
  </si>
  <si>
    <t>9177</t>
  </si>
  <si>
    <t>Ásványráró</t>
  </si>
  <si>
    <t>9121</t>
  </si>
  <si>
    <t>Győrszemere</t>
  </si>
  <si>
    <t>1026</t>
  </si>
  <si>
    <t>1027</t>
  </si>
  <si>
    <t>8948</t>
  </si>
  <si>
    <t>Nova</t>
  </si>
  <si>
    <t>1212</t>
  </si>
  <si>
    <t>7801</t>
  </si>
  <si>
    <t>4025</t>
  </si>
  <si>
    <t>2141</t>
  </si>
  <si>
    <t>Csömör</t>
  </si>
  <si>
    <t>1039</t>
  </si>
  <si>
    <t>2316</t>
  </si>
  <si>
    <t>Tököl</t>
  </si>
  <si>
    <t>1021</t>
  </si>
  <si>
    <t>1028</t>
  </si>
  <si>
    <t>2251</t>
  </si>
  <si>
    <t>7700</t>
  </si>
  <si>
    <t>Mohács</t>
  </si>
  <si>
    <t>4069</t>
  </si>
  <si>
    <t>Egyek</t>
  </si>
  <si>
    <t>9326</t>
  </si>
  <si>
    <t>Szil</t>
  </si>
  <si>
    <t>6640</t>
  </si>
  <si>
    <t>Csongrád</t>
  </si>
  <si>
    <t>7811</t>
  </si>
  <si>
    <t>Szalánta</t>
  </si>
  <si>
    <t>4356</t>
  </si>
  <si>
    <t>Nyírcsaholy</t>
  </si>
  <si>
    <t>9970</t>
  </si>
  <si>
    <t>Szentgotthárd</t>
  </si>
  <si>
    <t>9342</t>
  </si>
  <si>
    <t>Mihályi</t>
  </si>
  <si>
    <t>4352</t>
  </si>
  <si>
    <t>Mérk</t>
  </si>
  <si>
    <t>6931</t>
  </si>
  <si>
    <t>Apátfalva</t>
  </si>
  <si>
    <t>8417</t>
  </si>
  <si>
    <t>Csetény</t>
  </si>
  <si>
    <t>2013</t>
  </si>
  <si>
    <t>Pomáz</t>
  </si>
  <si>
    <t>8372</t>
  </si>
  <si>
    <t>Cserszegtomaj</t>
  </si>
  <si>
    <t>4110</t>
  </si>
  <si>
    <t>Biharkeresztes</t>
  </si>
  <si>
    <t>4200</t>
  </si>
  <si>
    <t>Hajdúszoboszló</t>
  </si>
  <si>
    <t>3752</t>
  </si>
  <si>
    <t>Szendrő</t>
  </si>
  <si>
    <t>5510</t>
  </si>
  <si>
    <t>Dévaványa</t>
  </si>
  <si>
    <t>2465</t>
  </si>
  <si>
    <t>Ráckeresztúr</t>
  </si>
  <si>
    <t>7753</t>
  </si>
  <si>
    <t>Szajk</t>
  </si>
  <si>
    <t>3326</t>
  </si>
  <si>
    <t>Ostoros</t>
  </si>
  <si>
    <t>7754</t>
  </si>
  <si>
    <t>Bóly</t>
  </si>
  <si>
    <t>8237</t>
  </si>
  <si>
    <t>Tihany</t>
  </si>
  <si>
    <t>1214</t>
  </si>
  <si>
    <t>1211</t>
  </si>
  <si>
    <t>6230</t>
  </si>
  <si>
    <t>Soltvadkert</t>
  </si>
  <si>
    <t>6725</t>
  </si>
  <si>
    <t>2660</t>
  </si>
  <si>
    <t>Balassagyarmat</t>
  </si>
  <si>
    <t>9485</t>
  </si>
  <si>
    <t>Nagycenk</t>
  </si>
  <si>
    <t>4460</t>
  </si>
  <si>
    <t>5130</t>
  </si>
  <si>
    <t>Jászapáti</t>
  </si>
  <si>
    <t>3327</t>
  </si>
  <si>
    <t>Novaj</t>
  </si>
  <si>
    <t>1043</t>
  </si>
  <si>
    <t>1042</t>
  </si>
  <si>
    <t>1137</t>
  </si>
  <si>
    <t>7013</t>
  </si>
  <si>
    <t>Cece</t>
  </si>
  <si>
    <t>1631</t>
  </si>
  <si>
    <t>4264</t>
  </si>
  <si>
    <t>Nyírábrány</t>
  </si>
  <si>
    <t>1066</t>
  </si>
  <si>
    <t>1163</t>
  </si>
  <si>
    <t>6775</t>
  </si>
  <si>
    <t>Kiszombor</t>
  </si>
  <si>
    <t>7975</t>
  </si>
  <si>
    <t>Kétújfalu</t>
  </si>
  <si>
    <t>8420</t>
  </si>
  <si>
    <t>Zirc</t>
  </si>
  <si>
    <t>3527</t>
  </si>
  <si>
    <t>8761</t>
  </si>
  <si>
    <t>Pacsa</t>
  </si>
  <si>
    <t>2532</t>
  </si>
  <si>
    <t>Tokodaltáró</t>
  </si>
  <si>
    <t>1085</t>
  </si>
  <si>
    <t>3502</t>
  </si>
  <si>
    <t>4028</t>
  </si>
  <si>
    <t>3561</t>
  </si>
  <si>
    <t>Felsőzsolca</t>
  </si>
  <si>
    <t>3876</t>
  </si>
  <si>
    <t>Hidasnémeti</t>
  </si>
  <si>
    <t>3980</t>
  </si>
  <si>
    <t>Sátoraljaújhely</t>
  </si>
  <si>
    <t>3525</t>
  </si>
  <si>
    <t>6235</t>
  </si>
  <si>
    <t>Bócsa</t>
  </si>
  <si>
    <t>1081</t>
  </si>
  <si>
    <t>1148</t>
  </si>
  <si>
    <t>2038</t>
  </si>
  <si>
    <t>Sóskút</t>
  </si>
  <si>
    <t>8258</t>
  </si>
  <si>
    <t>Badacsonytomaj</t>
  </si>
  <si>
    <t>7631</t>
  </si>
  <si>
    <t>9012</t>
  </si>
  <si>
    <t>2898</t>
  </si>
  <si>
    <t>Kocs</t>
  </si>
  <si>
    <t>6085</t>
  </si>
  <si>
    <t>Fülöpszállás</t>
  </si>
  <si>
    <t>4524</t>
  </si>
  <si>
    <t>Ajak</t>
  </si>
  <si>
    <t>5300</t>
  </si>
  <si>
    <t>Karcag</t>
  </si>
  <si>
    <t>3524</t>
  </si>
  <si>
    <t>Miskolc-Avas</t>
  </si>
  <si>
    <t>7838</t>
  </si>
  <si>
    <t>Vajszló</t>
  </si>
  <si>
    <t>1155</t>
  </si>
  <si>
    <t>1097</t>
  </si>
  <si>
    <t>4220</t>
  </si>
  <si>
    <t>Hajdúböszörmény</t>
  </si>
  <si>
    <t>2377</t>
  </si>
  <si>
    <t>Örkény</t>
  </si>
  <si>
    <t>2094</t>
  </si>
  <si>
    <t>Nagykovácsi</t>
  </si>
  <si>
    <t>2095</t>
  </si>
  <si>
    <t>Pilisszántó</t>
  </si>
  <si>
    <t>7720</t>
  </si>
  <si>
    <t>Pécsvárad</t>
  </si>
  <si>
    <t>8660</t>
  </si>
  <si>
    <t>Tab</t>
  </si>
  <si>
    <t>4621</t>
  </si>
  <si>
    <t>Fényeslitke</t>
  </si>
  <si>
    <t>4372</t>
  </si>
  <si>
    <t>Nyírbéltek</t>
  </si>
  <si>
    <t>2711</t>
  </si>
  <si>
    <t>Tápiószentmárton</t>
  </si>
  <si>
    <t>5430</t>
  </si>
  <si>
    <t>Tiszaföldvár</t>
  </si>
  <si>
    <t>2521</t>
  </si>
  <si>
    <t>Csolnok</t>
  </si>
  <si>
    <t>5900</t>
  </si>
  <si>
    <t>Orosháza</t>
  </si>
  <si>
    <t>3325</t>
  </si>
  <si>
    <t>Noszvaj</t>
  </si>
  <si>
    <t>1204</t>
  </si>
  <si>
    <t>2344</t>
  </si>
  <si>
    <t>Dömsöd</t>
  </si>
  <si>
    <t>6200</t>
  </si>
  <si>
    <t>Kiskőrös</t>
  </si>
  <si>
    <t>4361</t>
  </si>
  <si>
    <t>Nyírbogát</t>
  </si>
  <si>
    <t>2536</t>
  </si>
  <si>
    <t>Nyergesújfalu</t>
  </si>
  <si>
    <t>7300</t>
  </si>
  <si>
    <t>Komló</t>
  </si>
  <si>
    <t>2381</t>
  </si>
  <si>
    <t>Táborfalva</t>
  </si>
  <si>
    <t>5440</t>
  </si>
  <si>
    <t>Kunszentmárton</t>
  </si>
  <si>
    <t>9228</t>
  </si>
  <si>
    <t>Halászi</t>
  </si>
  <si>
    <t>2049</t>
  </si>
  <si>
    <t>Diósd</t>
  </si>
  <si>
    <t>4800</t>
  </si>
  <si>
    <t>Vásárosnamény</t>
  </si>
  <si>
    <t>6760</t>
  </si>
  <si>
    <t>Kistelek</t>
  </si>
  <si>
    <t>5200</t>
  </si>
  <si>
    <t>Törökszentmiklós</t>
  </si>
  <si>
    <t>3770</t>
  </si>
  <si>
    <t>Sajószentpéter</t>
  </si>
  <si>
    <t>4900</t>
  </si>
  <si>
    <t>Fehérgyarmat</t>
  </si>
  <si>
    <t>2740</t>
  </si>
  <si>
    <t>Abony</t>
  </si>
  <si>
    <t>8719</t>
  </si>
  <si>
    <t>Böhönye</t>
  </si>
  <si>
    <t>1221</t>
  </si>
  <si>
    <t>6326</t>
  </si>
  <si>
    <t>Harta</t>
  </si>
  <si>
    <t>2300</t>
  </si>
  <si>
    <t>Ráckeve</t>
  </si>
  <si>
    <t>2870</t>
  </si>
  <si>
    <t>Kisbér</t>
  </si>
  <si>
    <t>2646</t>
  </si>
  <si>
    <t>Drégelypalánk</t>
  </si>
  <si>
    <t>7562</t>
  </si>
  <si>
    <t>Segesd</t>
  </si>
  <si>
    <t>8676</t>
  </si>
  <si>
    <t>Karád</t>
  </si>
  <si>
    <t>2336</t>
  </si>
  <si>
    <t>Dunavarsány</t>
  </si>
  <si>
    <t>3872</t>
  </si>
  <si>
    <t>Novajidrány</t>
  </si>
  <si>
    <t>6334</t>
  </si>
  <si>
    <t>Géderlak</t>
  </si>
  <si>
    <t>8856</t>
  </si>
  <si>
    <t>Surd</t>
  </si>
  <si>
    <t>5350</t>
  </si>
  <si>
    <t>Tiszafüred</t>
  </si>
  <si>
    <t>2119</t>
  </si>
  <si>
    <t>Pécel</t>
  </si>
  <si>
    <t>9184</t>
  </si>
  <si>
    <t>Kunsziget</t>
  </si>
  <si>
    <t>8999</t>
  </si>
  <si>
    <t>Zalalövő</t>
  </si>
  <si>
    <t>1191</t>
  </si>
  <si>
    <t>4337</t>
  </si>
  <si>
    <t>Jármi</t>
  </si>
  <si>
    <t>9483</t>
  </si>
  <si>
    <t>Sopronkövesd</t>
  </si>
  <si>
    <t>2170</t>
  </si>
  <si>
    <t>Aszód</t>
  </si>
  <si>
    <t>4064</t>
  </si>
  <si>
    <t>Nagyhegyes</t>
  </si>
  <si>
    <t>4440</t>
  </si>
  <si>
    <t>Tiszavasvári</t>
  </si>
  <si>
    <t>7936</t>
  </si>
  <si>
    <t>Szentlászló</t>
  </si>
  <si>
    <t>4324</t>
  </si>
  <si>
    <t>Kállósemjén</t>
  </si>
  <si>
    <t>4536</t>
  </si>
  <si>
    <t>Ramocsaháza</t>
  </si>
  <si>
    <t>4741</t>
  </si>
  <si>
    <t>Jánkmajtis</t>
  </si>
  <si>
    <t>6031</t>
  </si>
  <si>
    <t>Szentkirály</t>
  </si>
  <si>
    <t>5721</t>
  </si>
  <si>
    <t>Sarkad</t>
  </si>
  <si>
    <t>5451</t>
  </si>
  <si>
    <t>Öcsöd</t>
  </si>
  <si>
    <t>8868</t>
  </si>
  <si>
    <t>Letenye</t>
  </si>
  <si>
    <t>2117</t>
  </si>
  <si>
    <t>Isaszeg</t>
  </si>
  <si>
    <t>2525</t>
  </si>
  <si>
    <t>Bajna</t>
  </si>
  <si>
    <t>7766</t>
  </si>
  <si>
    <t>Újpetre</t>
  </si>
  <si>
    <t>8330</t>
  </si>
  <si>
    <t>Sümeg</t>
  </si>
  <si>
    <t>5622</t>
  </si>
  <si>
    <t>Köröstarcsa</t>
  </si>
  <si>
    <t>3932</t>
  </si>
  <si>
    <t>Erdőbénye</t>
  </si>
  <si>
    <t>4482</t>
  </si>
  <si>
    <t>Kótaj</t>
  </si>
  <si>
    <t>8788</t>
  </si>
  <si>
    <t>9500</t>
  </si>
  <si>
    <t>5144</t>
  </si>
  <si>
    <t>Jászboldogháza</t>
  </si>
  <si>
    <t>7745</t>
  </si>
  <si>
    <t>Olasz</t>
  </si>
  <si>
    <t>4173</t>
  </si>
  <si>
    <t>Nagyrábé</t>
  </si>
  <si>
    <t>4931</t>
  </si>
  <si>
    <t>Tarpa</t>
  </si>
  <si>
    <t>8474</t>
  </si>
  <si>
    <t>Csabrendek</t>
  </si>
  <si>
    <t>4523</t>
  </si>
  <si>
    <t>Pátroha</t>
  </si>
  <si>
    <t>7710</t>
  </si>
  <si>
    <t>9224</t>
  </si>
  <si>
    <t>Rajka</t>
  </si>
  <si>
    <t>8960</t>
  </si>
  <si>
    <t>Lenti</t>
  </si>
  <si>
    <t>8314</t>
  </si>
  <si>
    <t>Vonyarcvashegy</t>
  </si>
  <si>
    <t>8315</t>
  </si>
  <si>
    <t>Gyenesdiás</t>
  </si>
  <si>
    <t>3630</t>
  </si>
  <si>
    <t>Putnok</t>
  </si>
  <si>
    <t>7396</t>
  </si>
  <si>
    <t>Magyarszék</t>
  </si>
  <si>
    <t>9082</t>
  </si>
  <si>
    <t>Nyúl</t>
  </si>
  <si>
    <t>5235</t>
  </si>
  <si>
    <t>Tiszabura</t>
  </si>
  <si>
    <t>6113</t>
  </si>
  <si>
    <t>Petőfiszállás</t>
  </si>
  <si>
    <t>2724</t>
  </si>
  <si>
    <t>Újlengyel</t>
  </si>
  <si>
    <t>4450</t>
  </si>
  <si>
    <t>Tiszalök</t>
  </si>
  <si>
    <t>4127</t>
  </si>
  <si>
    <t>Nagykereki</t>
  </si>
  <si>
    <t>9225</t>
  </si>
  <si>
    <t>Dunakiliti</t>
  </si>
  <si>
    <t>4485</t>
  </si>
  <si>
    <t>Nagyhalász</t>
  </si>
  <si>
    <t>4172</t>
  </si>
  <si>
    <t>Biharnagybajom</t>
  </si>
  <si>
    <t>5940</t>
  </si>
  <si>
    <t>Tótkomlós</t>
  </si>
  <si>
    <t>3895</t>
  </si>
  <si>
    <t>Gönc</t>
  </si>
  <si>
    <t>3916</t>
  </si>
  <si>
    <t>Bodrogkeresztúr</t>
  </si>
  <si>
    <t>4631</t>
  </si>
  <si>
    <t>Pap</t>
  </si>
  <si>
    <t>3812</t>
  </si>
  <si>
    <t>Homrogd</t>
  </si>
  <si>
    <t>4492</t>
  </si>
  <si>
    <t>Dombrád</t>
  </si>
  <si>
    <t>3384</t>
  </si>
  <si>
    <t>Kisköre</t>
  </si>
  <si>
    <t>3433</t>
  </si>
  <si>
    <t>Nyékládháza</t>
  </si>
  <si>
    <t>3450</t>
  </si>
  <si>
    <t>Mezőcsát</t>
  </si>
  <si>
    <t>3594</t>
  </si>
  <si>
    <t>Hejőpapi</t>
  </si>
  <si>
    <t>1013</t>
  </si>
  <si>
    <t>4086</t>
  </si>
  <si>
    <t>Hajdúvíd</t>
  </si>
  <si>
    <t>5008</t>
  </si>
  <si>
    <t>Szolnok-Szandaszőllős</t>
  </si>
  <si>
    <t>5321</t>
  </si>
  <si>
    <t>Kunmadaras</t>
  </si>
  <si>
    <t>6090</t>
  </si>
  <si>
    <t>Kunszentmiklós</t>
  </si>
  <si>
    <t>1091</t>
  </si>
  <si>
    <t>1075</t>
  </si>
  <si>
    <t>1122</t>
  </si>
  <si>
    <t>4516</t>
  </si>
  <si>
    <t>Demecser</t>
  </si>
  <si>
    <t>8438</t>
  </si>
  <si>
    <t>Veszprémvarsány</t>
  </si>
  <si>
    <t>2840</t>
  </si>
  <si>
    <t>Oroszlány</t>
  </si>
  <si>
    <t>1161</t>
  </si>
  <si>
    <t>3458</t>
  </si>
  <si>
    <t>Tiszakeszi</t>
  </si>
  <si>
    <t>2524</t>
  </si>
  <si>
    <t>Nagysáp</t>
  </si>
  <si>
    <t>4116</t>
  </si>
  <si>
    <t>Berekböszörmény</t>
  </si>
  <si>
    <t>6781</t>
  </si>
  <si>
    <t>Domaszék</t>
  </si>
  <si>
    <t>2028</t>
  </si>
  <si>
    <t>Pilismarót</t>
  </si>
  <si>
    <t>2531</t>
  </si>
  <si>
    <t>Tokod</t>
  </si>
  <si>
    <t>2376</t>
  </si>
  <si>
    <t>Hernád</t>
  </si>
  <si>
    <t>4441</t>
  </si>
  <si>
    <t>Szorgalmatos</t>
  </si>
  <si>
    <t>1047</t>
  </si>
  <si>
    <t>1102</t>
  </si>
  <si>
    <t>8700</t>
  </si>
  <si>
    <t>4484</t>
  </si>
  <si>
    <t>Ibrány</t>
  </si>
  <si>
    <t>6065</t>
  </si>
  <si>
    <t>Lakitelek</t>
  </si>
  <si>
    <t>3332</t>
  </si>
  <si>
    <t>Sirok</t>
  </si>
  <si>
    <t>9081</t>
  </si>
  <si>
    <t>Győrújbarát</t>
  </si>
  <si>
    <t>1185</t>
  </si>
  <si>
    <t>6724</t>
  </si>
  <si>
    <t>1115</t>
  </si>
  <si>
    <t>7634</t>
  </si>
  <si>
    <t>6723</t>
  </si>
  <si>
    <t>2241</t>
  </si>
  <si>
    <t>Sülysáp</t>
  </si>
  <si>
    <t>2523</t>
  </si>
  <si>
    <t>Sárisáp</t>
  </si>
  <si>
    <t>2942</t>
  </si>
  <si>
    <t>Nagyigmánd</t>
  </si>
  <si>
    <t>1180</t>
  </si>
  <si>
    <t>2230</t>
  </si>
  <si>
    <t>Gyömrő</t>
  </si>
  <si>
    <t>4030</t>
  </si>
  <si>
    <t>2211</t>
  </si>
  <si>
    <t>Vasad</t>
  </si>
  <si>
    <t>3534</t>
  </si>
  <si>
    <t>2046</t>
  </si>
  <si>
    <t>7940</t>
  </si>
  <si>
    <t>Szentlőrinc</t>
  </si>
  <si>
    <t>8852</t>
  </si>
  <si>
    <t>Zákány</t>
  </si>
  <si>
    <t>1056</t>
  </si>
  <si>
    <t>3023</t>
  </si>
  <si>
    <t>Petőfibánya</t>
  </si>
  <si>
    <t>2944</t>
  </si>
  <si>
    <t>Bana</t>
  </si>
  <si>
    <t>4033</t>
  </si>
  <si>
    <t>2083</t>
  </si>
  <si>
    <t>Solymár</t>
  </si>
  <si>
    <t>7960</t>
  </si>
  <si>
    <t>Sellye</t>
  </si>
  <si>
    <t>3711</t>
  </si>
  <si>
    <t>Szirmabesenyő</t>
  </si>
  <si>
    <t>3508</t>
  </si>
  <si>
    <t>5123</t>
  </si>
  <si>
    <t>Jászárokszállás</t>
  </si>
  <si>
    <t>1141</t>
  </si>
  <si>
    <t>4287</t>
  </si>
  <si>
    <t>Vámospércs</t>
  </si>
  <si>
    <t>4272</t>
  </si>
  <si>
    <t>Sáránd</t>
  </si>
  <si>
    <t>1188</t>
  </si>
  <si>
    <t>1222</t>
  </si>
  <si>
    <t>1223</t>
  </si>
  <si>
    <t>3955</t>
  </si>
  <si>
    <t>Kenézlő</t>
  </si>
  <si>
    <t>Marcali</t>
  </si>
  <si>
    <t>1131</t>
  </si>
  <si>
    <t>2723</t>
  </si>
  <si>
    <t>Nyáregyháza</t>
  </si>
  <si>
    <t>4434</t>
  </si>
  <si>
    <t>Kálmánháza</t>
  </si>
  <si>
    <t>1156</t>
  </si>
  <si>
    <t>4183</t>
  </si>
  <si>
    <t>Kaba</t>
  </si>
  <si>
    <t>1132</t>
  </si>
  <si>
    <t>1125</t>
  </si>
  <si>
    <t>2011</t>
  </si>
  <si>
    <t>Budakalász</t>
  </si>
  <si>
    <t>6328</t>
  </si>
  <si>
    <t>Dunapataj</t>
  </si>
  <si>
    <t>7761</t>
  </si>
  <si>
    <t>Kozármisleny</t>
  </si>
  <si>
    <t>1038</t>
  </si>
  <si>
    <t>9174</t>
  </si>
  <si>
    <t>Dunaszeg</t>
  </si>
  <si>
    <t>7150</t>
  </si>
  <si>
    <t>Bonyhád</t>
  </si>
  <si>
    <t>3516</t>
  </si>
  <si>
    <t>2118</t>
  </si>
  <si>
    <t>Dány</t>
  </si>
  <si>
    <t>2131</t>
  </si>
  <si>
    <t>2730</t>
  </si>
  <si>
    <t>Albertirsa</t>
  </si>
  <si>
    <t>Göd</t>
  </si>
  <si>
    <t>2225</t>
  </si>
  <si>
    <t>Üllő</t>
  </si>
  <si>
    <t>8127</t>
  </si>
  <si>
    <t>Aba</t>
  </si>
  <si>
    <t>6345</t>
  </si>
  <si>
    <t>Nemesnádudvar</t>
  </si>
  <si>
    <t>7285</t>
  </si>
  <si>
    <t>Törökkoppány</t>
  </si>
  <si>
    <t>9653</t>
  </si>
  <si>
    <t>Répcelak</t>
  </si>
  <si>
    <t>9444</t>
  </si>
  <si>
    <t>Fertőszentmiklós</t>
  </si>
  <si>
    <t>8460</t>
  </si>
  <si>
    <t>Devecser</t>
  </si>
  <si>
    <t>7017</t>
  </si>
  <si>
    <t>Mezőszilas</t>
  </si>
  <si>
    <t>4644</t>
  </si>
  <si>
    <t>Mándok</t>
  </si>
  <si>
    <t>2209</t>
  </si>
  <si>
    <t>Péteri</t>
  </si>
  <si>
    <t>8053</t>
  </si>
  <si>
    <t>Bodajk</t>
  </si>
  <si>
    <t>6078</t>
  </si>
  <si>
    <t>Jakabszállás</t>
  </si>
  <si>
    <t>3896</t>
  </si>
  <si>
    <t>Telkibánya</t>
  </si>
  <si>
    <t>4002</t>
  </si>
  <si>
    <t>6101</t>
  </si>
  <si>
    <t>5420</t>
  </si>
  <si>
    <t>Túrkeve</t>
  </si>
  <si>
    <t>2821</t>
  </si>
  <si>
    <t>Gyermely</t>
  </si>
  <si>
    <t>9437</t>
  </si>
  <si>
    <t>Hegykő</t>
  </si>
  <si>
    <t>8654</t>
  </si>
  <si>
    <t>Ságvár</t>
  </si>
  <si>
    <t>7530</t>
  </si>
  <si>
    <t>Kadarkút</t>
  </si>
  <si>
    <t>9090</t>
  </si>
  <si>
    <t>Pannonhalma</t>
  </si>
  <si>
    <t>5643</t>
  </si>
  <si>
    <t>Bélmegyer</t>
  </si>
  <si>
    <t>2021</t>
  </si>
  <si>
    <t>Tahitótfalu</t>
  </si>
  <si>
    <t>4471</t>
  </si>
  <si>
    <t>Gávavencsellő</t>
  </si>
  <si>
    <t>9737</t>
  </si>
  <si>
    <t>Bük</t>
  </si>
  <si>
    <t>2889</t>
  </si>
  <si>
    <t>Súr</t>
  </si>
  <si>
    <t>4232</t>
  </si>
  <si>
    <t>Geszteréd</t>
  </si>
  <si>
    <t>9443</t>
  </si>
  <si>
    <t>Petőháza</t>
  </si>
  <si>
    <t>7122</t>
  </si>
  <si>
    <t>Kakasd</t>
  </si>
  <si>
    <t>3821</t>
  </si>
  <si>
    <t>Krasznokvajda</t>
  </si>
  <si>
    <t>5055</t>
  </si>
  <si>
    <t>Jászladány</t>
  </si>
  <si>
    <t>2173</t>
  </si>
  <si>
    <t>Kartal</t>
  </si>
  <si>
    <t>7031</t>
  </si>
  <si>
    <t>7144</t>
  </si>
  <si>
    <t>Decs</t>
  </si>
  <si>
    <t>8412</t>
  </si>
  <si>
    <t>Gyulafirátót</t>
  </si>
  <si>
    <t>7228</t>
  </si>
  <si>
    <t>Döbrököz</t>
  </si>
  <si>
    <t>7751</t>
  </si>
  <si>
    <t>Szederkény</t>
  </si>
  <si>
    <t>9019</t>
  </si>
  <si>
    <t>3001</t>
  </si>
  <si>
    <t>9791</t>
  </si>
  <si>
    <t>Torony</t>
  </si>
  <si>
    <t>1162</t>
  </si>
  <si>
    <t>8730</t>
  </si>
  <si>
    <t>8725</t>
  </si>
  <si>
    <t>Iharosberény</t>
  </si>
  <si>
    <t>Balasagyarmat</t>
  </si>
  <si>
    <t>8093</t>
  </si>
  <si>
    <t>Lovasberény</t>
  </si>
  <si>
    <t>7370</t>
  </si>
  <si>
    <t>Sásd</t>
  </si>
  <si>
    <t>4951</t>
  </si>
  <si>
    <t>Tiszabecs</t>
  </si>
  <si>
    <t>6764</t>
  </si>
  <si>
    <t>Balástya</t>
  </si>
  <si>
    <t>4355</t>
  </si>
  <si>
    <t>Nagyecsed</t>
  </si>
  <si>
    <t>3399</t>
  </si>
  <si>
    <t>Andornaktálya</t>
  </si>
  <si>
    <t>7601</t>
  </si>
  <si>
    <t>4130</t>
  </si>
  <si>
    <t>Derecske</t>
  </si>
  <si>
    <t>2651</t>
  </si>
  <si>
    <t>Rétság</t>
  </si>
  <si>
    <t>7362</t>
  </si>
  <si>
    <t>Vásárosdombó</t>
  </si>
  <si>
    <t>2721</t>
  </si>
  <si>
    <t>Pilis</t>
  </si>
  <si>
    <t>Mecseknádasd</t>
  </si>
  <si>
    <t>9756</t>
  </si>
  <si>
    <t>Ikervár</t>
  </si>
  <si>
    <t>9113</t>
  </si>
  <si>
    <t>Koroncó</t>
  </si>
  <si>
    <t>5555</t>
  </si>
  <si>
    <t>Hunya</t>
  </si>
  <si>
    <t>4251</t>
  </si>
  <si>
    <t>Hajdúsámson</t>
  </si>
  <si>
    <t>2764</t>
  </si>
  <si>
    <t>Tápióbicske</t>
  </si>
  <si>
    <t>4555</t>
  </si>
  <si>
    <t>Levelek</t>
  </si>
  <si>
    <t>6440</t>
  </si>
  <si>
    <t>Jánoshalma</t>
  </si>
  <si>
    <t>6075</t>
  </si>
  <si>
    <t>Páhi</t>
  </si>
  <si>
    <t>4464</t>
  </si>
  <si>
    <t>Tiszaeszlár</t>
  </si>
  <si>
    <t>1088</t>
  </si>
  <si>
    <t>6133</t>
  </si>
  <si>
    <t>Jászszentlászló</t>
  </si>
  <si>
    <t>2541</t>
  </si>
  <si>
    <t>Lábatlan</t>
  </si>
  <si>
    <t>3851</t>
  </si>
  <si>
    <t>Ináncs</t>
  </si>
  <si>
    <t>3170</t>
  </si>
  <si>
    <t>Szécsény</t>
  </si>
  <si>
    <t>9343</t>
  </si>
  <si>
    <t>Beled</t>
  </si>
  <si>
    <t>9476</t>
  </si>
  <si>
    <t>Zsira</t>
  </si>
  <si>
    <t>4483</t>
  </si>
  <si>
    <t>Buj</t>
  </si>
  <si>
    <t>2244</t>
  </si>
  <si>
    <t>Úri</t>
  </si>
  <si>
    <t>8558</t>
  </si>
  <si>
    <t>Csót</t>
  </si>
  <si>
    <t>9231</t>
  </si>
  <si>
    <t>Máriakálnok</t>
  </si>
  <si>
    <t>Szentmártonkáta</t>
  </si>
  <si>
    <t>Bakonycsernye</t>
  </si>
  <si>
    <t>5085</t>
  </si>
  <si>
    <t>Rákóczifalva</t>
  </si>
  <si>
    <t>6076</t>
  </si>
  <si>
    <t>Ágasegyháza</t>
  </si>
  <si>
    <t>3390</t>
  </si>
  <si>
    <t>Füzesabony</t>
  </si>
  <si>
    <t>2831</t>
  </si>
  <si>
    <t>Tarján</t>
  </si>
  <si>
    <t>2766</t>
  </si>
  <si>
    <t>Tápiószele</t>
  </si>
  <si>
    <t>3574</t>
  </si>
  <si>
    <t>Bőcs</t>
  </si>
  <si>
    <t>2461</t>
  </si>
  <si>
    <t>Tárnok</t>
  </si>
  <si>
    <t>2025</t>
  </si>
  <si>
    <t>Visegrád</t>
  </si>
  <si>
    <t>1134</t>
  </si>
  <si>
    <t>5126</t>
  </si>
  <si>
    <t>Jászfényszaru</t>
  </si>
  <si>
    <t>2366</t>
  </si>
  <si>
    <t>Kakucs</t>
  </si>
  <si>
    <t>2314</t>
  </si>
  <si>
    <t>Halásztelek</t>
  </si>
  <si>
    <t>2945</t>
  </si>
  <si>
    <t>Tárkány</t>
  </si>
  <si>
    <t>9900</t>
  </si>
  <si>
    <t>Körmend</t>
  </si>
  <si>
    <t>6729</t>
  </si>
  <si>
    <t>2346</t>
  </si>
  <si>
    <t>4141</t>
  </si>
  <si>
    <t>Furta</t>
  </si>
  <si>
    <t>5071</t>
  </si>
  <si>
    <t>Besenyszög</t>
  </si>
  <si>
    <t>6070</t>
  </si>
  <si>
    <t>Izsák</t>
  </si>
  <si>
    <t>5040</t>
  </si>
  <si>
    <t>9798</t>
  </si>
  <si>
    <t>Ják</t>
  </si>
  <si>
    <t>5340</t>
  </si>
  <si>
    <t>Kunhegyes</t>
  </si>
  <si>
    <t>8083</t>
  </si>
  <si>
    <t>Csákvár</t>
  </si>
  <si>
    <t>3250</t>
  </si>
  <si>
    <t>Pétervására</t>
  </si>
  <si>
    <t>3021</t>
  </si>
  <si>
    <t>Lőrinci</t>
  </si>
  <si>
    <t>8796</t>
  </si>
  <si>
    <t>Türje</t>
  </si>
  <si>
    <t>8621</t>
  </si>
  <si>
    <t>Zamárdi</t>
  </si>
  <si>
    <t>3934</t>
  </si>
  <si>
    <t>Tolcsva</t>
  </si>
  <si>
    <t>3715</t>
  </si>
  <si>
    <t>Gesztely</t>
  </si>
  <si>
    <t>3351</t>
  </si>
  <si>
    <t>Verpelét</t>
  </si>
  <si>
    <t>2483</t>
  </si>
  <si>
    <t>Gárdony</t>
  </si>
  <si>
    <t>2144</t>
  </si>
  <si>
    <t>Kerepes</t>
  </si>
  <si>
    <t>9244</t>
  </si>
  <si>
    <t>Újrónafő</t>
  </si>
  <si>
    <t>3462</t>
  </si>
  <si>
    <t>Borsodivánka</t>
  </si>
  <si>
    <t>6413</t>
  </si>
  <si>
    <t>Kunfehértó</t>
  </si>
  <si>
    <t>9241</t>
  </si>
  <si>
    <t>Jánossomorja</t>
  </si>
  <si>
    <t>3987</t>
  </si>
  <si>
    <t>Bodroghalom</t>
  </si>
  <si>
    <t>2084</t>
  </si>
  <si>
    <t>Pilisszentiván</t>
  </si>
  <si>
    <t>3258</t>
  </si>
  <si>
    <t>Tarnalelesz</t>
  </si>
  <si>
    <t>5125</t>
  </si>
  <si>
    <t>Pusztamonostor</t>
  </si>
  <si>
    <t>5630</t>
  </si>
  <si>
    <t>Békés</t>
  </si>
  <si>
    <t>5672</t>
  </si>
  <si>
    <t>Murony</t>
  </si>
  <si>
    <t>6787</t>
  </si>
  <si>
    <t>Zákányszék</t>
  </si>
  <si>
    <t>3431</t>
  </si>
  <si>
    <t>Vatta</t>
  </si>
  <si>
    <t>5231</t>
  </si>
  <si>
    <t>Fegyvernek</t>
  </si>
  <si>
    <t>3529</t>
  </si>
  <si>
    <t>4821</t>
  </si>
  <si>
    <t>Ópályi</t>
  </si>
  <si>
    <t>9751</t>
  </si>
  <si>
    <t>Vép</t>
  </si>
  <si>
    <t>5142</t>
  </si>
  <si>
    <t>Alattyán</t>
  </si>
  <si>
    <t>6783</t>
  </si>
  <si>
    <t>Ásotthalom</t>
  </si>
  <si>
    <t>3933</t>
  </si>
  <si>
    <t>Olaszliszka</t>
  </si>
  <si>
    <t>6430</t>
  </si>
  <si>
    <t>Bácsalmás</t>
  </si>
  <si>
    <t>2371</t>
  </si>
  <si>
    <t>Dabas-Sári</t>
  </si>
  <si>
    <t>Hodmezovasarhely</t>
  </si>
  <si>
    <t>6622</t>
  </si>
  <si>
    <t>Nagymágocs</t>
  </si>
  <si>
    <t>4225</t>
  </si>
  <si>
    <t>Debrecen-Józsa</t>
  </si>
  <si>
    <t>1152</t>
  </si>
  <si>
    <t>2856</t>
  </si>
  <si>
    <t>Szákszend</t>
  </si>
  <si>
    <t>6098</t>
  </si>
  <si>
    <t>Tass</t>
  </si>
  <si>
    <t>8945</t>
  </si>
  <si>
    <t>Bak</t>
  </si>
  <si>
    <t>9735</t>
  </si>
  <si>
    <t>Csepreg</t>
  </si>
  <si>
    <t>2921</t>
  </si>
  <si>
    <t>Szőny</t>
  </si>
  <si>
    <t>8135</t>
  </si>
  <si>
    <t>Dég</t>
  </si>
  <si>
    <t>3418</t>
  </si>
  <si>
    <t>Szentistván</t>
  </si>
  <si>
    <t>2233</t>
  </si>
  <si>
    <t>Ecser</t>
  </si>
  <si>
    <t>4171</t>
  </si>
  <si>
    <t>Sárrétudvari</t>
  </si>
  <si>
    <t>5324</t>
  </si>
  <si>
    <t>Tomajmonostora</t>
  </si>
  <si>
    <t>2143</t>
  </si>
  <si>
    <t>Kistarcsa</t>
  </si>
  <si>
    <t>2454</t>
  </si>
  <si>
    <t>Iváncsa</t>
  </si>
  <si>
    <t>3394</t>
  </si>
  <si>
    <t>Egerszalók</t>
  </si>
  <si>
    <t>4233</t>
  </si>
  <si>
    <t>Balkány</t>
  </si>
  <si>
    <t>9226</t>
  </si>
  <si>
    <t>Dunasziget</t>
  </si>
  <si>
    <t>8630</t>
  </si>
  <si>
    <t>Balatonboglár</t>
  </si>
  <si>
    <t>2896</t>
  </si>
  <si>
    <t>Szomód</t>
  </si>
  <si>
    <t>2350</t>
  </si>
  <si>
    <t>Bugyi</t>
  </si>
  <si>
    <t>2834</t>
  </si>
  <si>
    <t>Tardos</t>
  </si>
  <si>
    <t>6236</t>
  </si>
  <si>
    <t>Tázlár</t>
  </si>
  <si>
    <t>2347</t>
  </si>
  <si>
    <t>1067</t>
  </si>
  <si>
    <t>1064</t>
  </si>
  <si>
    <t>9740</t>
  </si>
  <si>
    <t>Bükfürdő</t>
  </si>
  <si>
    <t>4087</t>
  </si>
  <si>
    <t>Hajdúdorog</t>
  </si>
  <si>
    <t>2116</t>
  </si>
  <si>
    <t>Zsámbok</t>
  </si>
  <si>
    <t>9777</t>
  </si>
  <si>
    <t>Rábahídvég</t>
  </si>
  <si>
    <t>3412</t>
  </si>
  <si>
    <t>Bogács</t>
  </si>
  <si>
    <t>3963</t>
  </si>
  <si>
    <t>Karcsa</t>
  </si>
  <si>
    <t>5004</t>
  </si>
  <si>
    <t>2519</t>
  </si>
  <si>
    <t>Piliscsév</t>
  </si>
  <si>
    <t>1145</t>
  </si>
  <si>
    <t>4531</t>
  </si>
  <si>
    <t>Nyírpazony</t>
  </si>
  <si>
    <t>6224</t>
  </si>
  <si>
    <t>Tabdi</t>
  </si>
  <si>
    <t>2373</t>
  </si>
  <si>
    <t>Gyón</t>
  </si>
  <si>
    <t>8181</t>
  </si>
  <si>
    <t>Berhida</t>
  </si>
  <si>
    <t>1133</t>
  </si>
  <si>
    <t>1044</t>
  </si>
  <si>
    <t>9941</t>
  </si>
  <si>
    <t>Őriszentpéter</t>
  </si>
  <si>
    <t>6821</t>
  </si>
  <si>
    <t>Székkutas</t>
  </si>
  <si>
    <t>4474</t>
  </si>
  <si>
    <t>Tiszabercel</t>
  </si>
  <si>
    <t>4254</t>
  </si>
  <si>
    <t>Nyíradony</t>
  </si>
  <si>
    <t>4161</t>
  </si>
  <si>
    <t>Báránd</t>
  </si>
  <si>
    <t>8716</t>
  </si>
  <si>
    <t>Mesztegnyő</t>
  </si>
  <si>
    <t>7633</t>
  </si>
  <si>
    <t>4320</t>
  </si>
  <si>
    <t>Nagykálló</t>
  </si>
  <si>
    <t>2053</t>
  </si>
  <si>
    <t>Herceghalom</t>
  </si>
  <si>
    <t>1031</t>
  </si>
  <si>
    <t>1045</t>
  </si>
  <si>
    <t>2769</t>
  </si>
  <si>
    <t>Tápiószőlős</t>
  </si>
  <si>
    <t>6336</t>
  </si>
  <si>
    <t>Szakmár</t>
  </si>
  <si>
    <t>5800</t>
  </si>
  <si>
    <t>Mezőkovácsháza</t>
  </si>
  <si>
    <t>3284</t>
  </si>
  <si>
    <t>Tarnaméra</t>
  </si>
  <si>
    <t>1048</t>
  </si>
  <si>
    <t>2091</t>
  </si>
  <si>
    <t>Etyek</t>
  </si>
  <si>
    <t>2367</t>
  </si>
  <si>
    <t>Újhartyán</t>
  </si>
  <si>
    <t>4532</t>
  </si>
  <si>
    <t>Nyírtura</t>
  </si>
  <si>
    <t>1193</t>
  </si>
  <si>
    <t>1195</t>
  </si>
  <si>
    <t>1184</t>
  </si>
  <si>
    <t>1189</t>
  </si>
  <si>
    <t>1182</t>
  </si>
  <si>
    <t>1089</t>
  </si>
  <si>
    <t>1. Porta</t>
  </si>
  <si>
    <t>3 sz. főút</t>
  </si>
  <si>
    <t>Adonyi u. 41.</t>
  </si>
  <si>
    <t>Ady E. u. 1-3.</t>
  </si>
  <si>
    <t>Ady E. u. 10-12.</t>
  </si>
  <si>
    <t>Ady E. u. 170.</t>
  </si>
  <si>
    <t>Ady E. u. 2.</t>
  </si>
  <si>
    <t>Ady E. u. 25.</t>
  </si>
  <si>
    <t>Ady E. u. 3.</t>
  </si>
  <si>
    <t>Ady E. u. 37/b</t>
  </si>
  <si>
    <t>Ady E. u. 8.</t>
  </si>
  <si>
    <t>Ady Endre u. 1.</t>
  </si>
  <si>
    <t>Ady Endre u. 1/A.</t>
  </si>
  <si>
    <t>Ady Endre u. 162.</t>
  </si>
  <si>
    <t>Ady Endre u. 2.</t>
  </si>
  <si>
    <t>Ady Endre u. 2/a</t>
  </si>
  <si>
    <t>Ady Endre u. 27-31.</t>
  </si>
  <si>
    <t>Ady Endre u. 3.</t>
  </si>
  <si>
    <t>Ady Endre u. 57-59.</t>
  </si>
  <si>
    <t>Ady Endre u. 7.</t>
  </si>
  <si>
    <t>Ady Endre u.4/a</t>
  </si>
  <si>
    <t>Ady Endre út 107.</t>
  </si>
  <si>
    <t>Ady Endre út 19.</t>
  </si>
  <si>
    <t>Ady Endre út 4.</t>
  </si>
  <si>
    <t>Ady Endre út 42-44.</t>
  </si>
  <si>
    <t>Ady u. 1.</t>
  </si>
  <si>
    <t>Ajtósi Dürer sor 10.</t>
  </si>
  <si>
    <t>Akadémia körút</t>
  </si>
  <si>
    <t>Alkotmány krt. 21.</t>
  </si>
  <si>
    <t>Alkotmány u. 1/a</t>
  </si>
  <si>
    <t>Alkotmány u. 14.</t>
  </si>
  <si>
    <t>Alkotmány u. 2.</t>
  </si>
  <si>
    <t>Alkotmány u. 4.</t>
  </si>
  <si>
    <t>Alkotás u. 53.</t>
  </si>
  <si>
    <t>Alkotás u. 53..MOM park</t>
  </si>
  <si>
    <t>Alkotás út 50.</t>
  </si>
  <si>
    <t>Almási u. 57.</t>
  </si>
  <si>
    <t>Almáspatak u.7</t>
  </si>
  <si>
    <t>Alsórét 258.</t>
  </si>
  <si>
    <t>Andrássy u. 1.</t>
  </si>
  <si>
    <t>Andrássy u. 43.</t>
  </si>
  <si>
    <t>Andrássy út 104.</t>
  </si>
  <si>
    <t>Andrássy út 2.</t>
  </si>
  <si>
    <t>Andrássy út 20.</t>
  </si>
  <si>
    <t>Andrássy út 30.</t>
  </si>
  <si>
    <t>Andrássy út 37-43</t>
  </si>
  <si>
    <t>Andrássy út 37-43.</t>
  </si>
  <si>
    <t>Andrássy út 49.</t>
  </si>
  <si>
    <t>Andrássy út 58.</t>
  </si>
  <si>
    <t>Andrássy út 86.</t>
  </si>
  <si>
    <t>Andrássy út 98.</t>
  </si>
  <si>
    <t>Anker köz 2-4.</t>
  </si>
  <si>
    <t>Apagyi út 2.</t>
  </si>
  <si>
    <t>Apor Vilmos tér 11.</t>
  </si>
  <si>
    <t>Apáczai Csere János u. 4.</t>
  </si>
  <si>
    <t>Apáczai Csere János u.12-14.</t>
  </si>
  <si>
    <t>Aradi Vértanuk u. 15.</t>
  </si>
  <si>
    <t>Aradi Vértanúk tere 4</t>
  </si>
  <si>
    <t>Aradi vértanúk tere 3.</t>
  </si>
  <si>
    <t>Aradi vértanúk útja 10.</t>
  </si>
  <si>
    <t>Arany J. u. 17-21.</t>
  </si>
  <si>
    <t>Arany J. u. 2.</t>
  </si>
  <si>
    <t>Arany János u. 15-17.</t>
  </si>
  <si>
    <t>Arany János u. 20.</t>
  </si>
  <si>
    <t>Arany János utca 1.</t>
  </si>
  <si>
    <t>Aranyvölgyi út 6.</t>
  </si>
  <si>
    <t>Aranyvölgyi út.</t>
  </si>
  <si>
    <t>Arácsi u.16.</t>
  </si>
  <si>
    <t>Aszalvölgyi út 1</t>
  </si>
  <si>
    <t>Asztalos u. 7.</t>
  </si>
  <si>
    <t>Attila u. 10/b</t>
  </si>
  <si>
    <t>Attila u. 2/A.</t>
  </si>
  <si>
    <t>Attila út 3.</t>
  </si>
  <si>
    <t>Bagosi u. 2.</t>
  </si>
  <si>
    <t>Bajai utca 1.</t>
  </si>
  <si>
    <t>Bajcsy ZS. u. 1/a</t>
  </si>
  <si>
    <t>Bajcsy Zs. 94.</t>
  </si>
  <si>
    <t>Bajcsy Zs. u. 1/A.</t>
  </si>
  <si>
    <t>Bajcsy Zs. u.5.</t>
  </si>
  <si>
    <t>Bajcsy Zsilinszky út 12.</t>
  </si>
  <si>
    <t>Bajcsy- Zs. u. 11.</t>
  </si>
  <si>
    <t>Bajcsy-Zs. u. 1.</t>
  </si>
  <si>
    <t>Bajcsy-Zs. u. 14.</t>
  </si>
  <si>
    <t>Bajcsy-Zs. u. 26.</t>
  </si>
  <si>
    <t>Bajcsy-Zs. u. 7.</t>
  </si>
  <si>
    <t>Bajcsy-Zs. u. 75.</t>
  </si>
  <si>
    <t>Bajcsy-Zs. út 1-3.</t>
  </si>
  <si>
    <t>Bajcsy-Zsilinszky E.u.11</t>
  </si>
  <si>
    <t>Bajcsy-Zsilinszky Endre út 18.</t>
  </si>
  <si>
    <t>Bajcsy-Zsilinszky u. 11.</t>
  </si>
  <si>
    <t>Bajcsy-Zsilinszky u. 3.</t>
  </si>
  <si>
    <t>Bajcsy-Zsilinszky u. 73.</t>
  </si>
  <si>
    <t>Bajcsy-Zsilinszky u. 83.</t>
  </si>
  <si>
    <t>Bajcsy-Zsilinszky u.10.</t>
  </si>
  <si>
    <t>Bajcsy-Zsilinszky út 5-7.</t>
  </si>
  <si>
    <t>Baktai tér 1.</t>
  </si>
  <si>
    <t>Balassi Bálint u. 9-11.</t>
  </si>
  <si>
    <t>Balatoni u. 21.</t>
  </si>
  <si>
    <t>Balatoni út 43.</t>
  </si>
  <si>
    <t>Balatoni út 44-46.</t>
  </si>
  <si>
    <t>Balatonszentgyörgyi út 1.</t>
  </si>
  <si>
    <t>Barkóczy u. 3.</t>
  </si>
  <si>
    <t>Barkóczy út 3.</t>
  </si>
  <si>
    <t>Baross G. u 11</t>
  </si>
  <si>
    <t>Baross G. u. 43</t>
  </si>
  <si>
    <t>Baross G. út 27-29</t>
  </si>
  <si>
    <t>Baross Gábor út</t>
  </si>
  <si>
    <t>Baross Gábor út 24.</t>
  </si>
  <si>
    <t>Baross tér 2.</t>
  </si>
  <si>
    <t>Baross u. 1.</t>
  </si>
  <si>
    <t>Baross u. 8.</t>
  </si>
  <si>
    <t>Baross u.53.</t>
  </si>
  <si>
    <t>Bartók B. út 3/c</t>
  </si>
  <si>
    <t>Bartók B. út 5.</t>
  </si>
  <si>
    <t>Bartók B. út 63.</t>
  </si>
  <si>
    <t>Bartók Béla u. 2-26.</t>
  </si>
  <si>
    <t>Bartók Béla u. 53/b</t>
  </si>
  <si>
    <t>Bartók Béla út 34.</t>
  </si>
  <si>
    <t>Bartók Béla út 43-47.</t>
  </si>
  <si>
    <t>Bartók Béla út 46.</t>
  </si>
  <si>
    <t>Barátság u. 29.</t>
  </si>
  <si>
    <t>Barátság u.2.</t>
  </si>
  <si>
    <t>Batthyány u. 1.</t>
  </si>
  <si>
    <t>Batthyány u. 19-21</t>
  </si>
  <si>
    <t>Batthyány u. 2.</t>
  </si>
  <si>
    <t>Batthyány u. 20.</t>
  </si>
  <si>
    <t>Batthyány u.115.</t>
  </si>
  <si>
    <t>Batthyányi tér</t>
  </si>
  <si>
    <t>Batthyányi u. 11.</t>
  </si>
  <si>
    <t>Bem József u. 1.</t>
  </si>
  <si>
    <t>Bem tér 14. földszint 1-3</t>
  </si>
  <si>
    <t>Bercsényi M. út 16/A</t>
  </si>
  <si>
    <t>Bereck S. u. 2.</t>
  </si>
  <si>
    <t>Berek tér 11. (Strand bejárata)</t>
  </si>
  <si>
    <t>Berzsenyi tér 2.</t>
  </si>
  <si>
    <t>Berzsenyi u. 13.</t>
  </si>
  <si>
    <t>Berzsenyi u. 3.</t>
  </si>
  <si>
    <t>Berzsenyi u. 68.</t>
  </si>
  <si>
    <t>Berzsenyi u. 9.</t>
  </si>
  <si>
    <t>Berzsenyi u.12</t>
  </si>
  <si>
    <t>Berényi út 72-100.</t>
  </si>
  <si>
    <t>Bethlen G. tér 4.</t>
  </si>
  <si>
    <t>Bethlen G. u. 4.</t>
  </si>
  <si>
    <t>Bethlen Gábor út 9.</t>
  </si>
  <si>
    <t>Bevásárló u. 2-6.</t>
  </si>
  <si>
    <t>Bevásárló u. 2.</t>
  </si>
  <si>
    <t>Bibó István út 1.</t>
  </si>
  <si>
    <t>Blaha u. 5.</t>
  </si>
  <si>
    <t>Bláthy O. u. 1.</t>
  </si>
  <si>
    <t>Bláthy Ottó u. 1.</t>
  </si>
  <si>
    <t>Bocskai köz 1.</t>
  </si>
  <si>
    <t>Bocskai u. 2.</t>
  </si>
  <si>
    <t>Bocskai út 134-146.</t>
  </si>
  <si>
    <t>Bodoky u. és Béke sugárút sarok 9.</t>
  </si>
  <si>
    <t>Boldogi u. 1.</t>
  </si>
  <si>
    <t>Bolt út 26.</t>
  </si>
  <si>
    <t>Boráros tér 7.</t>
  </si>
  <si>
    <t>Bosnyák tér 17.</t>
  </si>
  <si>
    <t>Bosnyák tér 9.</t>
  </si>
  <si>
    <t>Boszorkány u 2.</t>
  </si>
  <si>
    <t>Brassói u.3</t>
  </si>
  <si>
    <t>Brassói út 3.</t>
  </si>
  <si>
    <t>Brunszwick Teréz u 3.</t>
  </si>
  <si>
    <t>Budafoki út 2-4.</t>
  </si>
  <si>
    <t>Budafoki út 56.</t>
  </si>
  <si>
    <t>Budai Nagy Antal u. 27/c</t>
  </si>
  <si>
    <t>Budai Vám 1.</t>
  </si>
  <si>
    <t>Budai u. 9-11.</t>
  </si>
  <si>
    <t>Budai út 1.</t>
  </si>
  <si>
    <t>Budai út 1. (2. ATM)</t>
  </si>
  <si>
    <t>Budai út 1. (Árkád)</t>
  </si>
  <si>
    <t>Budai út 13.</t>
  </si>
  <si>
    <t>Budai út 20.</t>
  </si>
  <si>
    <t>Budai út 22.</t>
  </si>
  <si>
    <t>Budai út 26.</t>
  </si>
  <si>
    <t>Budai út 42.</t>
  </si>
  <si>
    <t>Budapest u. 6.</t>
  </si>
  <si>
    <t>Budapest út 20-28.</t>
  </si>
  <si>
    <t>Budapest út 4.</t>
  </si>
  <si>
    <t>Budaörsi út 4.</t>
  </si>
  <si>
    <t>Budaörsi út 64.</t>
  </si>
  <si>
    <t>Bugyogó Forrás u. 1.</t>
  </si>
  <si>
    <t>Bugát Pál tér 6.</t>
  </si>
  <si>
    <t>Bánfalvi u. 12.</t>
  </si>
  <si>
    <t>Bányai út 8-10</t>
  </si>
  <si>
    <t>Bástya utca 15.</t>
  </si>
  <si>
    <t>Báthory u. 1.</t>
  </si>
  <si>
    <t>Báthory u. 2.</t>
  </si>
  <si>
    <t>Bécsi u.45.</t>
  </si>
  <si>
    <t>Bécsi út 136.</t>
  </si>
  <si>
    <t>Bécsi út 154.</t>
  </si>
  <si>
    <t>Bécsi út 182.</t>
  </si>
  <si>
    <t>Bécsi út 183.</t>
  </si>
  <si>
    <t>Bécsi út 195.</t>
  </si>
  <si>
    <t>Bécsi út 258.</t>
  </si>
  <si>
    <t>Bécsi út 3-5.</t>
  </si>
  <si>
    <t>Bécsi út 38-44.</t>
  </si>
  <si>
    <t>Bécsi út 64.</t>
  </si>
  <si>
    <t>Bécsi út 67/a.</t>
  </si>
  <si>
    <t>Bég u. 3-5.</t>
  </si>
  <si>
    <t>Béke park 1.</t>
  </si>
  <si>
    <t>Béke tér 13.</t>
  </si>
  <si>
    <t>Béke tér 4.</t>
  </si>
  <si>
    <t>Béke tér 6</t>
  </si>
  <si>
    <t>Béke tér 6.</t>
  </si>
  <si>
    <t>Béke tér 9.</t>
  </si>
  <si>
    <t>Béke u. 2/a</t>
  </si>
  <si>
    <t>Béke u. 24.</t>
  </si>
  <si>
    <t>Béke u.2/A</t>
  </si>
  <si>
    <t>Béke utca. 1.</t>
  </si>
  <si>
    <t>Béke út</t>
  </si>
  <si>
    <t>Béke út 32.</t>
  </si>
  <si>
    <t>Békési út 6.</t>
  </si>
  <si>
    <t>Bíró Mihály út 7.</t>
  </si>
  <si>
    <t>Böszörményi út 140.</t>
  </si>
  <si>
    <t>Böszörményi út 9-11.</t>
  </si>
  <si>
    <t>Búza tér 1.</t>
  </si>
  <si>
    <t>Búza tér 6/a</t>
  </si>
  <si>
    <t>Búza tér 6/a.</t>
  </si>
  <si>
    <t>Búzavirág u. 14</t>
  </si>
  <si>
    <t>Casalgrande tér 4.</t>
  </si>
  <si>
    <t>Ceglédi u. 28.</t>
  </si>
  <si>
    <t>Ceglédi u. 32.</t>
  </si>
  <si>
    <t>Celli út 92.</t>
  </si>
  <si>
    <t>Centenáriumi sétány 16.</t>
  </si>
  <si>
    <t>Citrom u. 5.</t>
  </si>
  <si>
    <t>Corvin u. 1-3.</t>
  </si>
  <si>
    <t>Corvin u. 29-33.</t>
  </si>
  <si>
    <t>Csabai út 3.</t>
  </si>
  <si>
    <t>Csabai út 9.</t>
  </si>
  <si>
    <t>Csabdi u. 4.</t>
  </si>
  <si>
    <t>Csabdi út 4.</t>
  </si>
  <si>
    <t>Csalogány u. 30-32.</t>
  </si>
  <si>
    <t>Csanád Vezér tér 5.</t>
  </si>
  <si>
    <t>Csapás u. 27.</t>
  </si>
  <si>
    <t>Csapó u. 30.</t>
  </si>
  <si>
    <t>Csendes köz 1.</t>
  </si>
  <si>
    <t>Cserhát ltp. 8.</t>
  </si>
  <si>
    <t>Csillag u. 1.</t>
  </si>
  <si>
    <t>Csillag utca 1.</t>
  </si>
  <si>
    <t>Csipkegyári utca 11.</t>
  </si>
  <si>
    <t>Csokonai Vitéz M. u. 8.</t>
  </si>
  <si>
    <t>Csokonai utca 14.</t>
  </si>
  <si>
    <t>Csontváry u. 10.</t>
  </si>
  <si>
    <t>Csányi u. 1-3.</t>
  </si>
  <si>
    <t>Csányi út - Korona u. 2.</t>
  </si>
  <si>
    <t>Csíkvár tér 10.</t>
  </si>
  <si>
    <t>Csörsz u. 43.</t>
  </si>
  <si>
    <t>Czuczor utca 2-10.</t>
  </si>
  <si>
    <t>Daimler út 1</t>
  </si>
  <si>
    <t>Damjanich u. 29.</t>
  </si>
  <si>
    <t>Danubius u. 5.</t>
  </si>
  <si>
    <t>Darabos u. 9-11.</t>
  </si>
  <si>
    <t>Darus u. 5.</t>
  </si>
  <si>
    <t>Debreceni út 71.</t>
  </si>
  <si>
    <t>Deres u. 2.</t>
  </si>
  <si>
    <t>Deres u.2.</t>
  </si>
  <si>
    <t>Deák F. u. 1.</t>
  </si>
  <si>
    <t>Deák F. u. 10.</t>
  </si>
  <si>
    <t>Deák F. u. 2.</t>
  </si>
  <si>
    <t>Deák F. u. 28.</t>
  </si>
  <si>
    <t>Deák F.u. 15.</t>
  </si>
  <si>
    <t>Deák F.u.2</t>
  </si>
  <si>
    <t>Deák Ferenc u. 1.</t>
  </si>
  <si>
    <t>Deák Ferenc u. 13-17.</t>
  </si>
  <si>
    <t>Deák Ferenc u. 81</t>
  </si>
  <si>
    <t>Deák Ferenc utca 2-4.</t>
  </si>
  <si>
    <t>Deák tér 1.</t>
  </si>
  <si>
    <t>Deák tér 15.</t>
  </si>
  <si>
    <t>Deák tér 6.</t>
  </si>
  <si>
    <t>Deák utca 142.</t>
  </si>
  <si>
    <t>Diana tér 14.</t>
  </si>
  <si>
    <t>Diósdi u. 46.</t>
  </si>
  <si>
    <t>Dobogókői út 1.</t>
  </si>
  <si>
    <t>Dobó krt. 9</t>
  </si>
  <si>
    <t>Dobó tér 1.</t>
  </si>
  <si>
    <t>Dorogi u. 396.</t>
  </si>
  <si>
    <t>Dorozsmai út 196.</t>
  </si>
  <si>
    <t>Dr. Géfin L. tér 13.</t>
  </si>
  <si>
    <t>Dr. Kemény J. út 30.</t>
  </si>
  <si>
    <t>Dugonics tér 1.</t>
  </si>
  <si>
    <t>Duna korzó 18.</t>
  </si>
  <si>
    <t>Duna-Dráva Cement</t>
  </si>
  <si>
    <t>Dunaföldvári út 2.</t>
  </si>
  <si>
    <t>Dunakanyar krt. 46.</t>
  </si>
  <si>
    <t>Délibáb u. 4-6.</t>
  </si>
  <si>
    <t>Déri Frigyes sétány 1-3.</t>
  </si>
  <si>
    <t>Déryné u. 1-3.</t>
  </si>
  <si>
    <t>Déryné u. 11.</t>
  </si>
  <si>
    <t>Dísz tér 8.</t>
  </si>
  <si>
    <t>Dózsa Gy. u. 1.</t>
  </si>
  <si>
    <t>Dózsa Gy. u. 18.</t>
  </si>
  <si>
    <t>Dózsa Gy. u. 2.</t>
  </si>
  <si>
    <t>Dózsa Gy. u. 37.</t>
  </si>
  <si>
    <t>Dózsa Gy. u. 47.</t>
  </si>
  <si>
    <t>Dózsa Gy. u. 8.</t>
  </si>
  <si>
    <t>Dózsa Gy. u.5.</t>
  </si>
  <si>
    <t>Dózsa Gy. út 10.</t>
  </si>
  <si>
    <t>Dózsa Gy. út 15.</t>
  </si>
  <si>
    <t>Dózsa Gy. út 24.</t>
  </si>
  <si>
    <t>Dózsa Gy. út 33.</t>
  </si>
  <si>
    <t>Dózsa Gy. út 4/d</t>
  </si>
  <si>
    <t>Dózsa Gy.út 17.</t>
  </si>
  <si>
    <t>Dózsa György u. 15-17.</t>
  </si>
  <si>
    <t>Dózsa György u. 168.</t>
  </si>
  <si>
    <t>Dózsa György u. 2.</t>
  </si>
  <si>
    <t>Dózsa György u. 20-22.</t>
  </si>
  <si>
    <t>Dózsa György u. 21.</t>
  </si>
  <si>
    <t>Dózsa György u. 25-27.</t>
  </si>
  <si>
    <t>Dózsa György u. 4/e.</t>
  </si>
  <si>
    <t>Dózsa György út 1.</t>
  </si>
  <si>
    <t>Dózsa György út 102</t>
  </si>
  <si>
    <t>Dózsa György út 119.</t>
  </si>
  <si>
    <t>Dózsa György út 13.</t>
  </si>
  <si>
    <t>Dózsa György út 16-18.</t>
  </si>
  <si>
    <t>Dózsa György út 2/a</t>
  </si>
  <si>
    <t>Dózsa György út 20/a</t>
  </si>
  <si>
    <t>Dózsa György út 219.</t>
  </si>
  <si>
    <t>Dózsa György út 25.</t>
  </si>
  <si>
    <t>Dózsa György út 27.</t>
  </si>
  <si>
    <t>Dózsa György út 64.</t>
  </si>
  <si>
    <t>Dózsa György út 69.</t>
  </si>
  <si>
    <t>Dózsa György út 84/b</t>
  </si>
  <si>
    <t>Dózsa György út Spar</t>
  </si>
  <si>
    <t>Dózsa tér 2.</t>
  </si>
  <si>
    <t>Dózsa u. 1.</t>
  </si>
  <si>
    <t>Dózsa u. 12/a</t>
  </si>
  <si>
    <t>Dózsa u. 13.</t>
  </si>
  <si>
    <t>Dózsa u. 317.</t>
  </si>
  <si>
    <t>Dózsa út 5.</t>
  </si>
  <si>
    <t>Dózsakert u. 57.</t>
  </si>
  <si>
    <t>Egressy B. u. 1.</t>
  </si>
  <si>
    <t>Egressy B. u. 50.</t>
  </si>
  <si>
    <t>Egressy Béni út 1/c</t>
  </si>
  <si>
    <t>Egri út 1.</t>
  </si>
  <si>
    <t>Egri út 51</t>
  </si>
  <si>
    <t>Egry József u. 2.</t>
  </si>
  <si>
    <t>Egyetem tér 1.</t>
  </si>
  <si>
    <t>Egyetem u. 1.</t>
  </si>
  <si>
    <t>Egyetem u. 2.</t>
  </si>
  <si>
    <t>Egyetem utca 19.</t>
  </si>
  <si>
    <t>Egyetemváros A/2.</t>
  </si>
  <si>
    <t>Egészségház u. 4.</t>
  </si>
  <si>
    <t>Előkapu u. 2-4</t>
  </si>
  <si>
    <t>Enyingi u. 3.</t>
  </si>
  <si>
    <t>Erkel Ferenc u. 1. Spar Áruház</t>
  </si>
  <si>
    <t>Erkel Ferenc utca 3.</t>
  </si>
  <si>
    <t>Erzsébet Királyné útja 23.</t>
  </si>
  <si>
    <t>Erzsébet királyné útja 125.</t>
  </si>
  <si>
    <t>Erzsébet krt 27.</t>
  </si>
  <si>
    <t>Erzsébet krt. 2.</t>
  </si>
  <si>
    <t>Erzsébet krt. 24.</t>
  </si>
  <si>
    <t>Erzsébet krt. 8.</t>
  </si>
  <si>
    <t>Erzsébet tér</t>
  </si>
  <si>
    <t>Erzsébet tér 5.</t>
  </si>
  <si>
    <t>Erzsébet tér 9.</t>
  </si>
  <si>
    <t>Erzsébet utca 50.</t>
  </si>
  <si>
    <t>Erőmű út 11.</t>
  </si>
  <si>
    <t>Esterházy J. u. 1.</t>
  </si>
  <si>
    <t>Esterházy János u. 1.</t>
  </si>
  <si>
    <t>Esztergomi út 27.</t>
  </si>
  <si>
    <t>Eszterházy J. u .1</t>
  </si>
  <si>
    <t>Eszterházy János u. 1.</t>
  </si>
  <si>
    <t>Eszterházy tér 2.</t>
  </si>
  <si>
    <t>Etele út 57.</t>
  </si>
  <si>
    <t>Európa Tanács u. 2.</t>
  </si>
  <si>
    <t>Európa u. 6.</t>
  </si>
  <si>
    <t>Eötvös tér 6.</t>
  </si>
  <si>
    <t>Eötvös u. 2.</t>
  </si>
  <si>
    <t>Falu Tamás út 65.</t>
  </si>
  <si>
    <t>Faraktár u. 67.</t>
  </si>
  <si>
    <t>Fatelepi út 15.</t>
  </si>
  <si>
    <t>Fehér út 1.</t>
  </si>
  <si>
    <t>Fehérkő u. 1.</t>
  </si>
  <si>
    <t>Fehérvár u. 1/a.</t>
  </si>
  <si>
    <t>Fehérvári u. 9.</t>
  </si>
  <si>
    <t>Fehérvári u.17.</t>
  </si>
  <si>
    <t>Fehérvári út 130.</t>
  </si>
  <si>
    <t>Fehérvári út 20.</t>
  </si>
  <si>
    <t>Fehérvári út 23.</t>
  </si>
  <si>
    <t>Fehérvári út 79.</t>
  </si>
  <si>
    <t>Fejérföld u.24</t>
  </si>
  <si>
    <t>Felszabadulás u. 42.</t>
  </si>
  <si>
    <t>Felszabadulás u. 6.</t>
  </si>
  <si>
    <t>Felszabadulás u. 60-62.</t>
  </si>
  <si>
    <t>Felszadadulás u 46.</t>
  </si>
  <si>
    <t>Felső u. 39-41.</t>
  </si>
  <si>
    <t>Ferenc krt. 1.</t>
  </si>
  <si>
    <t>Ferenc krt. 13.</t>
  </si>
  <si>
    <t>Ferenc krt.15.</t>
  </si>
  <si>
    <t>Ferenc körút 25.</t>
  </si>
  <si>
    <t>Ferenciek tere 2.</t>
  </si>
  <si>
    <t>Ferenciek tere 2. (2. ATM)</t>
  </si>
  <si>
    <t>Ferenczy János u. 5.</t>
  </si>
  <si>
    <t>Ferihegyi út 93.</t>
  </si>
  <si>
    <t>Fiumei út 17.</t>
  </si>
  <si>
    <t>Flórián tér 1.</t>
  </si>
  <si>
    <t>Flórián tér 15.</t>
  </si>
  <si>
    <t>Flórián tér 3.</t>
  </si>
  <si>
    <t>Flórián tér 6-9</t>
  </si>
  <si>
    <t>Flórián tér 6-9.</t>
  </si>
  <si>
    <t>Flórián tér 6-9..Flórián Üzletközpont</t>
  </si>
  <si>
    <t>Fogarasi út 15.</t>
  </si>
  <si>
    <t>Futó u. 37-43.</t>
  </si>
  <si>
    <t>Futó u. 37-45.</t>
  </si>
  <si>
    <t>Futó u. 47-53.</t>
  </si>
  <si>
    <t>Fáy u. 27.</t>
  </si>
  <si>
    <t>Fémnyomó út 1.</t>
  </si>
  <si>
    <t>Fény utca 11-13.</t>
  </si>
  <si>
    <t>Fóti út 120.</t>
  </si>
  <si>
    <t>Fürdő u. 1.</t>
  </si>
  <si>
    <t>Fürdő u.34</t>
  </si>
  <si>
    <t>Füredi út 27.</t>
  </si>
  <si>
    <t>Füredi út 98.</t>
  </si>
  <si>
    <t>Fő fasor 16-20.</t>
  </si>
  <si>
    <t>Fő tér 1.</t>
  </si>
  <si>
    <t>Fő tér 10.</t>
  </si>
  <si>
    <t>Fő tér 10/a</t>
  </si>
  <si>
    <t>Fő tér 13.</t>
  </si>
  <si>
    <t>Fő tér 14.</t>
  </si>
  <si>
    <t>Fő tér 2.</t>
  </si>
  <si>
    <t>Fő tér 20.</t>
  </si>
  <si>
    <t>Fő tér 22.</t>
  </si>
  <si>
    <t>Fő tér 25-26.</t>
  </si>
  <si>
    <t>Fő tér 3-5.</t>
  </si>
  <si>
    <t>Fő tér 32.</t>
  </si>
  <si>
    <t>Fő tér 33.</t>
  </si>
  <si>
    <t>Fő tér 4.</t>
  </si>
  <si>
    <t>Fő tér 5.</t>
  </si>
  <si>
    <t>Fő tér 6-8.</t>
  </si>
  <si>
    <t>Fő tér 6.</t>
  </si>
  <si>
    <t>Fő tér 8.</t>
  </si>
  <si>
    <t>Fő u 56.</t>
  </si>
  <si>
    <t>Fő u. 119.</t>
  </si>
  <si>
    <t>Fő u. 123.</t>
  </si>
  <si>
    <t>Fő u. 13.</t>
  </si>
  <si>
    <t>Fő u. 139.</t>
  </si>
  <si>
    <t>Fő u. 14.</t>
  </si>
  <si>
    <t>Fő u. 156-160.</t>
  </si>
  <si>
    <t>Fő u. 169.</t>
  </si>
  <si>
    <t>Fő u. 174-176.</t>
  </si>
  <si>
    <t>Fő u. 18.</t>
  </si>
  <si>
    <t>Fő u. 2.</t>
  </si>
  <si>
    <t>Fő u. 203.</t>
  </si>
  <si>
    <t>Fő u. 246-248.</t>
  </si>
  <si>
    <t>Fő u. 26.</t>
  </si>
  <si>
    <t>Fő u. 29.</t>
  </si>
  <si>
    <t>Fő u. 30.</t>
  </si>
  <si>
    <t>Fő u. 31.</t>
  </si>
  <si>
    <t>Fő u. 37.</t>
  </si>
  <si>
    <t>Fő u. 4.</t>
  </si>
  <si>
    <t>Fő u. 42.</t>
  </si>
  <si>
    <t>Fő u. 53.</t>
  </si>
  <si>
    <t>Fő u. 56-58.</t>
  </si>
  <si>
    <t>Fő u. 6.</t>
  </si>
  <si>
    <t>Fő u. 60.</t>
  </si>
  <si>
    <t>Fő u. 64.</t>
  </si>
  <si>
    <t>Fő u. 66.</t>
  </si>
  <si>
    <t>Fő u. 69.</t>
  </si>
  <si>
    <t>Fő u. 7.</t>
  </si>
  <si>
    <t>Fő u. 73/a.</t>
  </si>
  <si>
    <t>Fő u. 74.</t>
  </si>
  <si>
    <t>Fő u. 8.</t>
  </si>
  <si>
    <t>Fő u. 85.</t>
  </si>
  <si>
    <t>Fő u. 9.</t>
  </si>
  <si>
    <t>Fő u.126.</t>
  </si>
  <si>
    <t>Fő u.30.</t>
  </si>
  <si>
    <t>Fő utca 137.</t>
  </si>
  <si>
    <t>Fő utca 172.</t>
  </si>
  <si>
    <t>Fő utca 2.</t>
  </si>
  <si>
    <t>Fő utca 30.</t>
  </si>
  <si>
    <t>Fő utca 55.</t>
  </si>
  <si>
    <t>Fő utca 64.</t>
  </si>
  <si>
    <t>Fő utca 71-78.</t>
  </si>
  <si>
    <t>Fő utca 83-87</t>
  </si>
  <si>
    <t>Fő utca 87.</t>
  </si>
  <si>
    <t>Fő utca 89.</t>
  </si>
  <si>
    <t>Fő út 104</t>
  </si>
  <si>
    <t>Fő út 120/a.</t>
  </si>
  <si>
    <t>Fő út 128.</t>
  </si>
  <si>
    <t>Fő út 186-188.</t>
  </si>
  <si>
    <t>Fő út 194.</t>
  </si>
  <si>
    <t>Fő út 21.</t>
  </si>
  <si>
    <t>Fő út 24.</t>
  </si>
  <si>
    <t>Fő út 246-248</t>
  </si>
  <si>
    <t>Fő út 246-248.</t>
  </si>
  <si>
    <t>Fő út 29.</t>
  </si>
  <si>
    <t>Fő út 3.</t>
  </si>
  <si>
    <t>Fő út 32.</t>
  </si>
  <si>
    <t>Fő út 41.</t>
  </si>
  <si>
    <t>Fő út 58.</t>
  </si>
  <si>
    <t>Fő út 64.</t>
  </si>
  <si>
    <t>Fő út 66.</t>
  </si>
  <si>
    <t>Fő út 66/A.</t>
  </si>
  <si>
    <t>Fő út 67</t>
  </si>
  <si>
    <t>Fő út 70.</t>
  </si>
  <si>
    <t>Fő út 73.</t>
  </si>
  <si>
    <t>Fő út 75.</t>
  </si>
  <si>
    <t>Fő út 8.</t>
  </si>
  <si>
    <t>Fő út 86.</t>
  </si>
  <si>
    <t>Fő út 9/5</t>
  </si>
  <si>
    <t>Fő út 92.</t>
  </si>
  <si>
    <t>Fő út 96.</t>
  </si>
  <si>
    <t>Főszolgabíró tér 1.</t>
  </si>
  <si>
    <t>Fővám tér 9.</t>
  </si>
  <si>
    <t>Gagarin u. 1.</t>
  </si>
  <si>
    <t>Garai tér 16.</t>
  </si>
  <si>
    <t>Garai u. 1.</t>
  </si>
  <si>
    <t>Garay tér 1.</t>
  </si>
  <si>
    <t>Garay tér 20</t>
  </si>
  <si>
    <t>Gazdagréti tér 6.</t>
  </si>
  <si>
    <t>Gerle u. 2.</t>
  </si>
  <si>
    <t>Gervay Mihály u. 9-11.</t>
  </si>
  <si>
    <t>Gesztenyefa út 4.</t>
  </si>
  <si>
    <t>Gizella u. 59.</t>
  </si>
  <si>
    <t>Gorkij krt.</t>
  </si>
  <si>
    <t>Gorkij u. 4.</t>
  </si>
  <si>
    <t>Grassalkovich u. 3-5.</t>
  </si>
  <si>
    <t>Gránátos u. 11.</t>
  </si>
  <si>
    <t>Guba S. u. 38.</t>
  </si>
  <si>
    <t>Guba Sándor u. 40.</t>
  </si>
  <si>
    <t>Gyár u. 2-6.</t>
  </si>
  <si>
    <t>Gyár u. 2.</t>
  </si>
  <si>
    <t>Gyár u. 40.</t>
  </si>
  <si>
    <t>Gyártelep Hrsz: 024/145</t>
  </si>
  <si>
    <t>Gyógyfürdő tér 3.</t>
  </si>
  <si>
    <t>Gyógyfürdő tér 4.</t>
  </si>
  <si>
    <t>Gyömrői út 19-21</t>
  </si>
  <si>
    <t>Gyömrői út 24.</t>
  </si>
  <si>
    <t>Gyömrői út 99.</t>
  </si>
  <si>
    <t>Győri u. 47.</t>
  </si>
  <si>
    <t>Győri út</t>
  </si>
  <si>
    <t>Győri út 61.</t>
  </si>
  <si>
    <t>Győri út 7-9.</t>
  </si>
  <si>
    <t>Gábor Á. u 74-78.</t>
  </si>
  <si>
    <t>Gábor Áron u. 74-78..Rózsakert Üzletház</t>
  </si>
  <si>
    <t>Gács u. 3.</t>
  </si>
  <si>
    <t>Gács utca 3.</t>
  </si>
  <si>
    <t>Göcseji u. 2.</t>
  </si>
  <si>
    <t>Görgey Artúr tér 8</t>
  </si>
  <si>
    <t>H?sök tere 7.</t>
  </si>
  <si>
    <t>Harkányi u. 55.</t>
  </si>
  <si>
    <t>Harkányi ut 55.</t>
  </si>
  <si>
    <t>Hatvan u.  2-4.</t>
  </si>
  <si>
    <t>Határ u. 1/D</t>
  </si>
  <si>
    <t>Határ út 6.</t>
  </si>
  <si>
    <t>Határdomb u. 1-2.</t>
  </si>
  <si>
    <t>Hegesztő u. 10.</t>
  </si>
  <si>
    <t>Heltai J. tér 15.</t>
  </si>
  <si>
    <t>Heltai J. tér 9.</t>
  </si>
  <si>
    <t>Heltai Jenő tér 15.</t>
  </si>
  <si>
    <t>Henger u. 2</t>
  </si>
  <si>
    <t>Hengermalom u. 19-21.</t>
  </si>
  <si>
    <t>Hermina u. 1-3.</t>
  </si>
  <si>
    <t>Hidegkúti út 1.</t>
  </si>
  <si>
    <t>Hidegkúti út 167.</t>
  </si>
  <si>
    <t>Hild tér 3.</t>
  </si>
  <si>
    <t>Holland fasor 14</t>
  </si>
  <si>
    <t>Holland fasor 2.</t>
  </si>
  <si>
    <t>Honvéd u. 13.</t>
  </si>
  <si>
    <t>Honvéd u. 55.</t>
  </si>
  <si>
    <t>Honvéd u. 57.</t>
  </si>
  <si>
    <t>Horváth K. utca 3.</t>
  </si>
  <si>
    <t>Hunyadi J. u. 19.</t>
  </si>
  <si>
    <t>Hunyadi J. u. 59.</t>
  </si>
  <si>
    <t>Hunyadi tér 12.</t>
  </si>
  <si>
    <t>Hunyadi tér 14.</t>
  </si>
  <si>
    <t>Hunyadi tér 6-10.</t>
  </si>
  <si>
    <t>Hunyadi u. 112.</t>
  </si>
  <si>
    <t>Hunyadi u. 14.</t>
  </si>
  <si>
    <t>Hunyadi u. 5.</t>
  </si>
  <si>
    <t>Hunyadi u. 9.</t>
  </si>
  <si>
    <t>Hunyadi u. 98.</t>
  </si>
  <si>
    <t>Hunyadi u.3.</t>
  </si>
  <si>
    <t>Hunyadi utca 18.</t>
  </si>
  <si>
    <t>Hunyadi út 1.</t>
  </si>
  <si>
    <t>Huszár u. 25.</t>
  </si>
  <si>
    <t>Huszár u. 5.</t>
  </si>
  <si>
    <t>Háros u. 120.</t>
  </si>
  <si>
    <t>Hédervári utca 33.</t>
  </si>
  <si>
    <t>Hévizi út 1.</t>
  </si>
  <si>
    <t>Hódtó u. 17-19.</t>
  </si>
  <si>
    <t>Hódtó u. 17.</t>
  </si>
  <si>
    <t>Hüvösvölgyi út 138.</t>
  </si>
  <si>
    <t>Hősök tere 10.</t>
  </si>
  <si>
    <t>Hősök tere 14.</t>
  </si>
  <si>
    <t>Hősök tere 15.</t>
  </si>
  <si>
    <t>Hősök tere 2.</t>
  </si>
  <si>
    <t>Hősök tere 3</t>
  </si>
  <si>
    <t>Hősök tere 4.</t>
  </si>
  <si>
    <t>Hősök tere 4/2</t>
  </si>
  <si>
    <t>Hősök tere 8.</t>
  </si>
  <si>
    <t>Hősök tere 8/c</t>
  </si>
  <si>
    <t>II. Rákóczi F. út 174.</t>
  </si>
  <si>
    <t>II. Rákóczi Ferenc út 154-170.</t>
  </si>
  <si>
    <t>IX. körzet 8/b</t>
  </si>
  <si>
    <t>Ifjúság u. 4.</t>
  </si>
  <si>
    <t>Ifjúság útja 16.</t>
  </si>
  <si>
    <t>Ifjúság útja 17.</t>
  </si>
  <si>
    <t>Igmánd u. 16.</t>
  </si>
  <si>
    <t>Ikervári u.42</t>
  </si>
  <si>
    <t>Indóház tér 2.</t>
  </si>
  <si>
    <t>Ipar krt 30</t>
  </si>
  <si>
    <t>Ipari krt. 30.</t>
  </si>
  <si>
    <t>Ipartelep</t>
  </si>
  <si>
    <t>Ipartelepi u. 3.</t>
  </si>
  <si>
    <t>Ipolypart út HRSZ 709/10</t>
  </si>
  <si>
    <t>Irgalmasok u. 2.</t>
  </si>
  <si>
    <t>Irgalmasok u. 3/1.</t>
  </si>
  <si>
    <t>Iskola u. 6</t>
  </si>
  <si>
    <t>Ispotály köz 2.</t>
  </si>
  <si>
    <t>István király u. 3.</t>
  </si>
  <si>
    <t>István u. 2.</t>
  </si>
  <si>
    <t>István u. 8.</t>
  </si>
  <si>
    <t>István út 10.</t>
  </si>
  <si>
    <t>Izsáki út 12/b</t>
  </si>
  <si>
    <t>Jászai Mari tér 4/a.</t>
  </si>
  <si>
    <t>Jókai Mór u. 2.</t>
  </si>
  <si>
    <t>Jókai Mór u. 57.</t>
  </si>
  <si>
    <t>Jókai Mór utca 2/B.</t>
  </si>
  <si>
    <t>Jókai tér 2.</t>
  </si>
  <si>
    <t>Jókai u. 1.</t>
  </si>
  <si>
    <t>Jókai u. 1/a</t>
  </si>
  <si>
    <t>Jókai u. 3/b</t>
  </si>
  <si>
    <t>Jószef A. u. 24.</t>
  </si>
  <si>
    <t>József A. 22-24</t>
  </si>
  <si>
    <t>József A. u. 1.</t>
  </si>
  <si>
    <t>József A. u. 27-31.</t>
  </si>
  <si>
    <t>József A. u. 35.</t>
  </si>
  <si>
    <t>József A.u.87</t>
  </si>
  <si>
    <t>József Attila u. 19.</t>
  </si>
  <si>
    <t>József Attila u. 87.</t>
  </si>
  <si>
    <t>József Attila u.51.</t>
  </si>
  <si>
    <t>József Attila utca (Áfész Áruház)</t>
  </si>
  <si>
    <t>József Attila utca 1432/4HRSZ.</t>
  </si>
  <si>
    <t>József krt. 10-12.</t>
  </si>
  <si>
    <t>József krt. 31/a.</t>
  </si>
  <si>
    <t>József krt. 33.</t>
  </si>
  <si>
    <t>József krt. 86.</t>
  </si>
  <si>
    <t>Kabai útfél</t>
  </si>
  <si>
    <t>Kalmár u 6.</t>
  </si>
  <si>
    <t>Kandó Kálmán tér 1.</t>
  </si>
  <si>
    <t>Kardán út 1.</t>
  </si>
  <si>
    <t>Karácsony J.u.14</t>
  </si>
  <si>
    <t>Kassai út 26.</t>
  </si>
  <si>
    <t>Kassai út 47.</t>
  </si>
  <si>
    <t>Kaszáló u. 45.</t>
  </si>
  <si>
    <t>Kazinczy F. u. 105.</t>
  </si>
  <si>
    <t>Kazinczy F. u. 16.</t>
  </si>
  <si>
    <t>Kazinczy u. 2.</t>
  </si>
  <si>
    <t>Kecskeméti u. 1.</t>
  </si>
  <si>
    <t>Kecskeméti út 20.</t>
  </si>
  <si>
    <t>Kenyérgyár u.5</t>
  </si>
  <si>
    <t>Kerepesi u. 2-4.</t>
  </si>
  <si>
    <t>Kerepesi út 87.</t>
  </si>
  <si>
    <t>Kerepesi út 9-11.</t>
  </si>
  <si>
    <t>Kerepesi út 9.</t>
  </si>
  <si>
    <t>Kerox u. 1.</t>
  </si>
  <si>
    <t>Kert u. 18.</t>
  </si>
  <si>
    <t>Kertész út 84.</t>
  </si>
  <si>
    <t>Kerékgyári út 2-4.</t>
  </si>
  <si>
    <t>Kikötő u. 8.</t>
  </si>
  <si>
    <t>Kincses út 1</t>
  </si>
  <si>
    <t>Kinizsi Pál u. 1-3.</t>
  </si>
  <si>
    <t>Kinizsi út 1-3.</t>
  </si>
  <si>
    <t>Király u. 53.</t>
  </si>
  <si>
    <t>Király u. 6</t>
  </si>
  <si>
    <t>Király u.2</t>
  </si>
  <si>
    <t>Királyhidai u. 42.</t>
  </si>
  <si>
    <t>Királyszék u. 33.</t>
  </si>
  <si>
    <t>Kis u. 6.</t>
  </si>
  <si>
    <t>Kisfaludy Károly utca 2.</t>
  </si>
  <si>
    <t>Kisfaludy u. 1.</t>
  </si>
  <si>
    <t>Kisfaludy u. 15-17.</t>
  </si>
  <si>
    <t>Kisfaludy u. 44.</t>
  </si>
  <si>
    <t>Kisfaludy u. 8.</t>
  </si>
  <si>
    <t>Kishatár u. 1.</t>
  </si>
  <si>
    <t>Kishatár u. 7.</t>
  </si>
  <si>
    <t>Kishegyesi u. 46.</t>
  </si>
  <si>
    <t>Kishegyesi út 1-11.</t>
  </si>
  <si>
    <t>Kiss Ernő u. 3.</t>
  </si>
  <si>
    <t>Kiss Menyhért u. 1.</t>
  </si>
  <si>
    <t>Kistályai út 2.</t>
  </si>
  <si>
    <t>Kisújszállás u. 34.</t>
  </si>
  <si>
    <t>Klapka Gy. u. 3.</t>
  </si>
  <si>
    <t>Klapka u. 18.</t>
  </si>
  <si>
    <t>Klauzál tér 2.</t>
  </si>
  <si>
    <t>Klauzál tér 5.</t>
  </si>
  <si>
    <t>Klauzál tér 6.</t>
  </si>
  <si>
    <t>Kodolányi tér 2.</t>
  </si>
  <si>
    <t>Kodály Z.tér 7.</t>
  </si>
  <si>
    <t>Kodály tér 16.</t>
  </si>
  <si>
    <t>Kolozsvár u. 2/B.</t>
  </si>
  <si>
    <t>Kolozsvári u.9.</t>
  </si>
  <si>
    <t>Komlói út 4.</t>
  </si>
  <si>
    <t>Komor Marcell u. 1.</t>
  </si>
  <si>
    <t>Koppány u. 2-4.</t>
  </si>
  <si>
    <t>Koppány u. 2-4. (Tesco áruház)</t>
  </si>
  <si>
    <t>Kormos u. 6.</t>
  </si>
  <si>
    <t>Korona u 49.</t>
  </si>
  <si>
    <t>Korona u. 2.</t>
  </si>
  <si>
    <t>Korpona u. 14.</t>
  </si>
  <si>
    <t>Korányi F.u.12</t>
  </si>
  <si>
    <t>Korányi Sándor u. 6.</t>
  </si>
  <si>
    <t>Korányi u. 21-23.</t>
  </si>
  <si>
    <t>Kossuth L u 67.</t>
  </si>
  <si>
    <t>Kossuth L u. 89.</t>
  </si>
  <si>
    <t>Kossuth L. stny. 18-20.</t>
  </si>
  <si>
    <t>Kossuth L. tér 1.</t>
  </si>
  <si>
    <t>Kossuth L. u. 10.</t>
  </si>
  <si>
    <t>Kossuth L. u. 11-17.</t>
  </si>
  <si>
    <t>Kossuth L. u. 13.</t>
  </si>
  <si>
    <t>Kossuth L. u. 134.</t>
  </si>
  <si>
    <t>Kossuth L. u. 16.</t>
  </si>
  <si>
    <t>Kossuth L. u. 17/a</t>
  </si>
  <si>
    <t>Kossuth L. u. 19.</t>
  </si>
  <si>
    <t>Kossuth L. u. 191.</t>
  </si>
  <si>
    <t>Kossuth L. u. 2</t>
  </si>
  <si>
    <t>Kossuth L. u. 2.</t>
  </si>
  <si>
    <t>Kossuth L. u. 27.</t>
  </si>
  <si>
    <t>Kossuth L. u. 29-31.</t>
  </si>
  <si>
    <t>Kossuth L. u. 3.</t>
  </si>
  <si>
    <t>Kossuth L. u. 31.</t>
  </si>
  <si>
    <t>Kossuth L. u. 44-46.</t>
  </si>
  <si>
    <t>Kossuth L. u. 61.</t>
  </si>
  <si>
    <t>Kossuth L. u. 7.</t>
  </si>
  <si>
    <t>Kossuth L. u. 8-10.</t>
  </si>
  <si>
    <t>Kossuth L. u. 80.</t>
  </si>
  <si>
    <t>Kossuth L. u. 82.</t>
  </si>
  <si>
    <t>Kossuth L. u. 88/b</t>
  </si>
  <si>
    <t>Kossuth L. u. 9.</t>
  </si>
  <si>
    <t>Kossuth L. u. 95/1</t>
  </si>
  <si>
    <t>Kossuth L. u. 97.</t>
  </si>
  <si>
    <t>Kossuth L. u.33</t>
  </si>
  <si>
    <t>Kossuth L. út 1.</t>
  </si>
  <si>
    <t>Kossuth L. út 98.</t>
  </si>
  <si>
    <t>Kossuth L.u. 17.</t>
  </si>
  <si>
    <t>Kossuth L.u.1/b.</t>
  </si>
  <si>
    <t>Kossuth L.u.18.</t>
  </si>
  <si>
    <t>Kossuth L.u.24</t>
  </si>
  <si>
    <t>Kossuth L.u.6</t>
  </si>
  <si>
    <t>Kossuth L.u.6-8.</t>
  </si>
  <si>
    <t>Kossuth Lajos sgt. 18-20.</t>
  </si>
  <si>
    <t>Kossuth Lajos tér 13-15</t>
  </si>
  <si>
    <t>Kossuth Lajos tér 16.</t>
  </si>
  <si>
    <t>Kossuth Lajos tér 18.</t>
  </si>
  <si>
    <t>Kossuth Lajos u 14.</t>
  </si>
  <si>
    <t>Kossuth Lajos u. 12.</t>
  </si>
  <si>
    <t>Kossuth Lajos u. 14.</t>
  </si>
  <si>
    <t>Kossuth Lajos u. 19.</t>
  </si>
  <si>
    <t>Kossuth Lajos u. 2.</t>
  </si>
  <si>
    <t>Kossuth Lajos u. 20.</t>
  </si>
  <si>
    <t>Kossuth Lajos u. 21-29 .</t>
  </si>
  <si>
    <t>Kossuth Lajos u. 21-29.</t>
  </si>
  <si>
    <t>Kossuth Lajos u. 25-27.</t>
  </si>
  <si>
    <t>Kossuth Lajos u. 25-29.</t>
  </si>
  <si>
    <t>Kossuth Lajos u. 31.</t>
  </si>
  <si>
    <t>Kossuth Lajos u. 32.</t>
  </si>
  <si>
    <t>Kossuth Lajos u. 37.</t>
  </si>
  <si>
    <t>Kossuth Lajos u. 38.</t>
  </si>
  <si>
    <t>Kossuth Lajos u. 41.</t>
  </si>
  <si>
    <t>Kossuth Lajos u. 5.</t>
  </si>
  <si>
    <t>Kossuth Lajos u. 50.</t>
  </si>
  <si>
    <t>Kossuth Lajos u. 56.</t>
  </si>
  <si>
    <t>Kossuth Lajos u. 8.</t>
  </si>
  <si>
    <t>Kossuth Lajos u. 80.</t>
  </si>
  <si>
    <t>Kossuth Lajos u. 86.</t>
  </si>
  <si>
    <t>Kossuth Lajos utca 2.</t>
  </si>
  <si>
    <t>Kossuth Lajos utca 3.</t>
  </si>
  <si>
    <t>Kossuth Lajos utca 38.</t>
  </si>
  <si>
    <t>Kossuth Lajos utca 56.</t>
  </si>
  <si>
    <t>Kossuth Lajos utca 66.</t>
  </si>
  <si>
    <t>Kossuth Lajos utca 70-86.</t>
  </si>
  <si>
    <t>Kossuth Lajos utca 9.</t>
  </si>
  <si>
    <t>Kossuth tér</t>
  </si>
  <si>
    <t>Kossuth tér 1.</t>
  </si>
  <si>
    <t>Kossuth tér 12.</t>
  </si>
  <si>
    <t>Kossuth tér 13.</t>
  </si>
  <si>
    <t>Kossuth tér 15.</t>
  </si>
  <si>
    <t>Kossuth tér 17.</t>
  </si>
  <si>
    <t>Kossuth tér 18.</t>
  </si>
  <si>
    <t>Kossuth tér 2-3.</t>
  </si>
  <si>
    <t>Kossuth tér 2.</t>
  </si>
  <si>
    <t>Kossuth tér 23-24.</t>
  </si>
  <si>
    <t>Kossuth tér 3-4.</t>
  </si>
  <si>
    <t>Kossuth tér 3-5.</t>
  </si>
  <si>
    <t>Kossuth tér 4.</t>
  </si>
  <si>
    <t>Kossuth tér 5.</t>
  </si>
  <si>
    <t>Kossuth tér 6.</t>
  </si>
  <si>
    <t>Kossuth u 22</t>
  </si>
  <si>
    <t>Kossuth u. 1.</t>
  </si>
  <si>
    <t>Kossuth u. 1/c</t>
  </si>
  <si>
    <t>Kossuth u. 104.</t>
  </si>
  <si>
    <t>Kossuth u. 106.</t>
  </si>
  <si>
    <t>Kossuth u. 12.</t>
  </si>
  <si>
    <t>Kossuth u. 125.</t>
  </si>
  <si>
    <t>Kossuth u. 13/1</t>
  </si>
  <si>
    <t>Kossuth u. 132.</t>
  </si>
  <si>
    <t>Kossuth u. 14.</t>
  </si>
  <si>
    <t>Kossuth u. 14. Fszt 18 sz</t>
  </si>
  <si>
    <t>Kossuth u. 141.</t>
  </si>
  <si>
    <t>Kossuth u. 15.</t>
  </si>
  <si>
    <t>Kossuth u. 15/a</t>
  </si>
  <si>
    <t>Kossuth u. 16.</t>
  </si>
  <si>
    <t>Kossuth u. 16/a</t>
  </si>
  <si>
    <t>Kossuth u. 17.</t>
  </si>
  <si>
    <t>Kossuth u. 18</t>
  </si>
  <si>
    <t>Kossuth u. 18.</t>
  </si>
  <si>
    <t>Kossuth u. 2.</t>
  </si>
  <si>
    <t>Kossuth u. 20.</t>
  </si>
  <si>
    <t>Kossuth u. 21.</t>
  </si>
  <si>
    <t>Kossuth u. 22.</t>
  </si>
  <si>
    <t>Kossuth u. 24.</t>
  </si>
  <si>
    <t>Kossuth u. 25-27.</t>
  </si>
  <si>
    <t>Kossuth u. 25.</t>
  </si>
  <si>
    <t>Kossuth u. 26.</t>
  </si>
  <si>
    <t>Kossuth u. 3.</t>
  </si>
  <si>
    <t>Kossuth u. 4.</t>
  </si>
  <si>
    <t>Kossuth u. 42.</t>
  </si>
  <si>
    <t>Kossuth u. 45.</t>
  </si>
  <si>
    <t>Kossuth u. 47.</t>
  </si>
  <si>
    <t>Kossuth u. 48-50.</t>
  </si>
  <si>
    <t>Kossuth u. 49.</t>
  </si>
  <si>
    <t>Kossuth u. 5.</t>
  </si>
  <si>
    <t>Kossuth u. 52.</t>
  </si>
  <si>
    <t>Kossuth u. 6.</t>
  </si>
  <si>
    <t>Kossuth u. 60.</t>
  </si>
  <si>
    <t>Kossuth u. 63.</t>
  </si>
  <si>
    <t>Kossuth u. 77.</t>
  </si>
  <si>
    <t>Kossuth u. 79/a</t>
  </si>
  <si>
    <t>Kossuth u. 8.</t>
  </si>
  <si>
    <t>Kossuth u. 88.</t>
  </si>
  <si>
    <t>Kossuth u. 9/a.</t>
  </si>
  <si>
    <t>Kossuth u.1.</t>
  </si>
  <si>
    <t>Kossuth u.2.</t>
  </si>
  <si>
    <t>Kossuth u.27</t>
  </si>
  <si>
    <t>Kossuth u.30</t>
  </si>
  <si>
    <t>Kossuth u.71/a</t>
  </si>
  <si>
    <t>Kossuth u.8</t>
  </si>
  <si>
    <t>Kossuth u.  18.</t>
  </si>
  <si>
    <t>Kossuth utca 11</t>
  </si>
  <si>
    <t>Kossuth utca 44.</t>
  </si>
  <si>
    <t>Kossuth út 102.</t>
  </si>
  <si>
    <t>Kossuth út 125.</t>
  </si>
  <si>
    <t>Kossuth út 23/a</t>
  </si>
  <si>
    <t>Kossuth út 59.</t>
  </si>
  <si>
    <t>Kossuth út 7.</t>
  </si>
  <si>
    <t>Kovács Károly tér 1/a</t>
  </si>
  <si>
    <t>Kovács Károly tér 1/a.</t>
  </si>
  <si>
    <t>Krisztina krt. 37.</t>
  </si>
  <si>
    <t>Krisztina tér 2.</t>
  </si>
  <si>
    <t>Krúdy Gy. utca 2.</t>
  </si>
  <si>
    <t>Kunhegyesi út 10.</t>
  </si>
  <si>
    <t>Kunigunda u. 62-64.</t>
  </si>
  <si>
    <t>Kállói út 34.</t>
  </si>
  <si>
    <t>Kálvin tér 1.</t>
  </si>
  <si>
    <t>Kálvin tér 11.</t>
  </si>
  <si>
    <t>Kálvin tér 12-13.</t>
  </si>
  <si>
    <t>Kálvin tér 3.</t>
  </si>
  <si>
    <t>Kálvin tér 7.</t>
  </si>
  <si>
    <t>Kálvin tér 8.</t>
  </si>
  <si>
    <t>Kálvin u. 1-3.</t>
  </si>
  <si>
    <t>Károly krt. 17-19.</t>
  </si>
  <si>
    <t>Károly krt. 25.</t>
  </si>
  <si>
    <t>Károly krt. 3/b.</t>
  </si>
  <si>
    <t>Károly krt. 4.</t>
  </si>
  <si>
    <t>Károly körút 24.</t>
  </si>
  <si>
    <t>Kékgolyó u. 1.</t>
  </si>
  <si>
    <t>Kétezer-egy tér 3.</t>
  </si>
  <si>
    <t>Kórház u.55</t>
  </si>
  <si>
    <t>Kökény u. 9.</t>
  </si>
  <si>
    <t>Kölcsey u. 13.</t>
  </si>
  <si>
    <t>Kölcsey u. 15.</t>
  </si>
  <si>
    <t>Kölcsey u. 4.</t>
  </si>
  <si>
    <t>Köles utca 1.</t>
  </si>
  <si>
    <t>Könd u. 47-49.</t>
  </si>
  <si>
    <t>Könyves K. krt. 12-14.</t>
  </si>
  <si>
    <t>Könyves Kálmán krt. 12-14.</t>
  </si>
  <si>
    <t>Könyves Kálmán krt.12-14.</t>
  </si>
  <si>
    <t>Könyves Kálmán u. 2.</t>
  </si>
  <si>
    <t>Körmendi út 52-54</t>
  </si>
  <si>
    <t>Környei u. 3-5.</t>
  </si>
  <si>
    <t>Környei út 3-5.</t>
  </si>
  <si>
    <t>Körvasút sor 105.</t>
  </si>
  <si>
    <t>Köves u. 1</t>
  </si>
  <si>
    <t>Köztársaság tér 1.</t>
  </si>
  <si>
    <t>Köztársaság tér 1/a</t>
  </si>
  <si>
    <t>Köztársaság tér 17-18/A</t>
  </si>
  <si>
    <t>Köztársaság tér 2-4.</t>
  </si>
  <si>
    <t>Köztársaság tér 4.</t>
  </si>
  <si>
    <t>Köztársaság u. 1.</t>
  </si>
  <si>
    <t>Köztársaság u. 47/b</t>
  </si>
  <si>
    <t>Köztársaság u. 65-67.</t>
  </si>
  <si>
    <t>Köztársaság u. 7.</t>
  </si>
  <si>
    <t>Közép u. 2.</t>
  </si>
  <si>
    <t>Külső Váci út 15-19.</t>
  </si>
  <si>
    <t>Külső-Szegedi út 6.</t>
  </si>
  <si>
    <t>Kőhíd utca 1.</t>
  </si>
  <si>
    <t>Kőhídpark dülő 2.</t>
  </si>
  <si>
    <t>Kőrösi Csoma sétány 9/b</t>
  </si>
  <si>
    <t>Kőrösi út 160.</t>
  </si>
  <si>
    <t>Kőszegi u. 10</t>
  </si>
  <si>
    <t>Kőszegi u. 10.</t>
  </si>
  <si>
    <t>Kőszegi u. 30-32.</t>
  </si>
  <si>
    <t>Kőszegi u. 32</t>
  </si>
  <si>
    <t>Kőér utca 2/a</t>
  </si>
  <si>
    <t>Lackner K. u. 27</t>
  </si>
  <si>
    <t>Lajos u. 4.</t>
  </si>
  <si>
    <t>Lajos u. 48-66.</t>
  </si>
  <si>
    <t>Lajta u.13</t>
  </si>
  <si>
    <t>Landorhegyi u. 25.</t>
  </si>
  <si>
    <t>Lechner Ödön fasor 9</t>
  </si>
  <si>
    <t>Lechner Ödön fasor 9.</t>
  </si>
  <si>
    <t>Lechner Ödön fasor 9. K épület</t>
  </si>
  <si>
    <t>Lego u. 15.</t>
  </si>
  <si>
    <t>Lehel Vezér tér 13.</t>
  </si>
  <si>
    <t>Lehel u. 27.</t>
  </si>
  <si>
    <t>Lehel vezér tér 28.</t>
  </si>
  <si>
    <t>Lehel út 3.</t>
  </si>
  <si>
    <t>Liget tér 3.</t>
  </si>
  <si>
    <t>Liget u. 2.</t>
  </si>
  <si>
    <t>Liszkóvölgy</t>
  </si>
  <si>
    <t>Liszt F. u. 5.</t>
  </si>
  <si>
    <t>Liszt Ferenc Repülőtér</t>
  </si>
  <si>
    <t>Liszt Ferenc tér 4.</t>
  </si>
  <si>
    <t>Liszt Ferenc u. 11.</t>
  </si>
  <si>
    <t>Londoni krt. 3.</t>
  </si>
  <si>
    <t>Londoni körút 3.</t>
  </si>
  <si>
    <t>Luther u. 3.</t>
  </si>
  <si>
    <t>Lágymányosi u. 1-3.</t>
  </si>
  <si>
    <t>Lövőház u. 2-6.</t>
  </si>
  <si>
    <t>Lövőház u. 7-9.</t>
  </si>
  <si>
    <t>M0 lejáró mellett</t>
  </si>
  <si>
    <t>M4 Metró Aluljáró</t>
  </si>
  <si>
    <t>Madács I.u.2</t>
  </si>
  <si>
    <t>Magyar Jakobinusok tere 1.</t>
  </si>
  <si>
    <t>Magyar tudósok körútja 2.</t>
  </si>
  <si>
    <t>Magyar u. 17-21.</t>
  </si>
  <si>
    <t>Magyar út 1.</t>
  </si>
  <si>
    <t>Makay I. út 5.</t>
  </si>
  <si>
    <t>Makay I.u.5</t>
  </si>
  <si>
    <t>Makkosházi krt.</t>
  </si>
  <si>
    <t>Makkosházi krt. 51</t>
  </si>
  <si>
    <t>Malom u. 12.</t>
  </si>
  <si>
    <t>Malomtó szél 30.</t>
  </si>
  <si>
    <t>Malomtószél utca 20. (Tesco)</t>
  </si>
  <si>
    <t>Mansbart u. 2.</t>
  </si>
  <si>
    <t>Margit krt. 43-45.</t>
  </si>
  <si>
    <t>Margit krt. 5/a.</t>
  </si>
  <si>
    <t>Margit krt. 87-89.</t>
  </si>
  <si>
    <t>Margitsziget Danubius Thermál Hotel</t>
  </si>
  <si>
    <t>Margó Tivadar u. 83.</t>
  </si>
  <si>
    <t>Mars tér 1-3.</t>
  </si>
  <si>
    <t>Megyeri u. 76.</t>
  </si>
  <si>
    <t>Mendei u. 2.</t>
  </si>
  <si>
    <t>Mikepércsi út 0493/64 hrsz.</t>
  </si>
  <si>
    <t>Mikepércsi út 73/A.</t>
  </si>
  <si>
    <t>Mikszáth Kálmán u. 15.</t>
  </si>
  <si>
    <t>Mikszáth Kálmán u. 4.</t>
  </si>
  <si>
    <t>Monori út 4.</t>
  </si>
  <si>
    <t>Muhi út 2/a.</t>
  </si>
  <si>
    <t>Munkácsi u.1.</t>
  </si>
  <si>
    <t>Munkácsy M. u. 11.</t>
  </si>
  <si>
    <t>Munkácsy Mihály u. 83.</t>
  </si>
  <si>
    <t>Munkácsy u. 19.</t>
  </si>
  <si>
    <t>Munkás út 1.</t>
  </si>
  <si>
    <t>Május 1. u. 6.</t>
  </si>
  <si>
    <t>Március 15. tér 1.</t>
  </si>
  <si>
    <t>Március 15. u. 15.</t>
  </si>
  <si>
    <t>Mária u. 4.</t>
  </si>
  <si>
    <t>Mártírok tere 12.</t>
  </si>
  <si>
    <t>Mártírok u 14.</t>
  </si>
  <si>
    <t>Mártírok u. 23.</t>
  </si>
  <si>
    <t>Mártírok utca 5.</t>
  </si>
  <si>
    <t>Mártírok útja 1.</t>
  </si>
  <si>
    <t>Mártírok útja 11.</t>
  </si>
  <si>
    <t>Mártírok útja 281</t>
  </si>
  <si>
    <t>Mártírok útja 281.</t>
  </si>
  <si>
    <t>Mátyás Király u. 15.</t>
  </si>
  <si>
    <t>Mátyás Király út 11.</t>
  </si>
  <si>
    <t>Mátyás kir. u. 24.</t>
  </si>
  <si>
    <t>Mátyás király u. 149.</t>
  </si>
  <si>
    <t>Mátyás király u. 73.</t>
  </si>
  <si>
    <t>Mátyás király u. 91-93.</t>
  </si>
  <si>
    <t>Mátyás király utca 30.</t>
  </si>
  <si>
    <t>Mátyás király út 3.</t>
  </si>
  <si>
    <t>Mátyás király útja 14.</t>
  </si>
  <si>
    <t>Mésztelep u. 1/a</t>
  </si>
  <si>
    <t>Móczár Andor tér 9</t>
  </si>
  <si>
    <t>Móricz Zs. Körtér 18.</t>
  </si>
  <si>
    <t>Móricz Zs. u. 2.</t>
  </si>
  <si>
    <t>Móricz Zs. u. 4.</t>
  </si>
  <si>
    <t>Móricz Zs. u. 7.</t>
  </si>
  <si>
    <t>Móricz Zsigmond körtér 14.</t>
  </si>
  <si>
    <t>Móricz Zsigmond körút 22.</t>
  </si>
  <si>
    <t>Múzeum krt. 31-33.</t>
  </si>
  <si>
    <t>Műegyetem rakpart 3.</t>
  </si>
  <si>
    <t>Nagy Imre krt. 2/a</t>
  </si>
  <si>
    <t>Nagy Imre tér 1.</t>
  </si>
  <si>
    <t>Nagy Jenő u. 12.</t>
  </si>
  <si>
    <t>Nagy Lajos Kir. útja 173.</t>
  </si>
  <si>
    <t>Nagy Lajos király útja 19-21.</t>
  </si>
  <si>
    <t>Nagy Lajos király útja 214.</t>
  </si>
  <si>
    <t>Nagy u. 9.</t>
  </si>
  <si>
    <t>Nagy utca 50.</t>
  </si>
  <si>
    <t>Nagyerdei krt. 98.</t>
  </si>
  <si>
    <t>Nagykátai u.2/a</t>
  </si>
  <si>
    <t>Nagykátai út 2/a</t>
  </si>
  <si>
    <t>Nagykőrösi út 351.</t>
  </si>
  <si>
    <t>Nagykőrösi út 49.</t>
  </si>
  <si>
    <t>Nagykőrösi út 9/a</t>
  </si>
  <si>
    <t>Nagykőrösi út 9/a.</t>
  </si>
  <si>
    <t>Nagysándor József út 31.</t>
  </si>
  <si>
    <t>Nagytétényi út 35</t>
  </si>
  <si>
    <t>Nagytétényi út 35.</t>
  </si>
  <si>
    <t>Nagytétényi út 37-43.</t>
  </si>
  <si>
    <t>Nagytétényi út 37-45.</t>
  </si>
  <si>
    <t>Nagytétényi út 37-48.</t>
  </si>
  <si>
    <t>Nagyváradi u. 31.</t>
  </si>
  <si>
    <t>Nefelejcs utca 1.</t>
  </si>
  <si>
    <t>Nemes u. (MOL kút 81.sz. út)</t>
  </si>
  <si>
    <t>Noszlopy park 1.</t>
  </si>
  <si>
    <t>Noszlopy út 177.</t>
  </si>
  <si>
    <t>Nyugati tér 4-5.</t>
  </si>
  <si>
    <t>Nyugati tér 9.</t>
  </si>
  <si>
    <t>Nyár u. 8.</t>
  </si>
  <si>
    <t>Nyáry Pál u. 19.</t>
  </si>
  <si>
    <t>Nyíregyházi út 55.</t>
  </si>
  <si>
    <t>Nyírpalota u. 2.</t>
  </si>
  <si>
    <t>Nyírpalota u. 40-46.</t>
  </si>
  <si>
    <t>Nádas u. 6.</t>
  </si>
  <si>
    <t>Nádas u. 7.</t>
  </si>
  <si>
    <t>Nádor u. 9.</t>
  </si>
  <si>
    <t>Nádudvari útfél</t>
  </si>
  <si>
    <t>Némedi út 102/A.</t>
  </si>
  <si>
    <t>Némedi út 104.</t>
  </si>
  <si>
    <t>Németvölgyi út 97.</t>
  </si>
  <si>
    <t>Népfürdő u. 24-26.</t>
  </si>
  <si>
    <t>Népszínház u. 3-5.</t>
  </si>
  <si>
    <t>Nógrádi u. 39. (CBA áruház)</t>
  </si>
  <si>
    <t>Oktogon tér 3.</t>
  </si>
  <si>
    <t>Október 23-a utca 6-8.</t>
  </si>
  <si>
    <t>Október 23. u. 8-10.</t>
  </si>
  <si>
    <t>Október Huszonharmadika u. 8-10.</t>
  </si>
  <si>
    <t>Oláh Zs. u. 1.</t>
  </si>
  <si>
    <t>Omszk park 1.</t>
  </si>
  <si>
    <t>Ordasi utca 26.</t>
  </si>
  <si>
    <t>Orgona u. 2.</t>
  </si>
  <si>
    <t>Ország út 3.</t>
  </si>
  <si>
    <t>Országgyűlés tér 3.</t>
  </si>
  <si>
    <t>Országzászló tér 10.</t>
  </si>
  <si>
    <t>Országzászló tér 4.</t>
  </si>
  <si>
    <t>Országút utca 6.</t>
  </si>
  <si>
    <t>Ozorai u.5</t>
  </si>
  <si>
    <t>Pablo Neruda 1-2.</t>
  </si>
  <si>
    <t>Paksi u. 1.</t>
  </si>
  <si>
    <t>Palotai út 4.</t>
  </si>
  <si>
    <t>Palotai út 6..Fehérpalota üzletház</t>
  </si>
  <si>
    <t>Pazonyi út 36-2</t>
  </si>
  <si>
    <t>Perczel Mór u. 20.</t>
  </si>
  <si>
    <t>Pest út 9.</t>
  </si>
  <si>
    <t>Pesti u. 47.</t>
  </si>
  <si>
    <t>Pesti út 169.</t>
  </si>
  <si>
    <t>Pesti út 170.</t>
  </si>
  <si>
    <t>Pesti út 28.</t>
  </si>
  <si>
    <t>Pesti út 46.</t>
  </si>
  <si>
    <t>Pesti út 5-7.</t>
  </si>
  <si>
    <t>Pesti út 71.</t>
  </si>
  <si>
    <t>Petofi S. u. 95.</t>
  </si>
  <si>
    <t>Petrezselyem u. 2-8.</t>
  </si>
  <si>
    <t>Petőfi S. tér</t>
  </si>
  <si>
    <t>Petőfi S. u. 18.</t>
  </si>
  <si>
    <t>Petőfi S. u. 19.</t>
  </si>
  <si>
    <t>Petőfi S. u. 8.</t>
  </si>
  <si>
    <t>Petőfi S. u.2</t>
  </si>
  <si>
    <t>Petőfi Sándor tér 3.</t>
  </si>
  <si>
    <t>Petőfi Sándor tér 8.</t>
  </si>
  <si>
    <t>Petőfi Sándor u. 12.</t>
  </si>
  <si>
    <t>Petőfi Sándor u. 2</t>
  </si>
  <si>
    <t>Petőfi Sándor u. 2/a</t>
  </si>
  <si>
    <t>Petőfi Sándor u. 80.</t>
  </si>
  <si>
    <t>Petőfi Sándor út 2.</t>
  </si>
  <si>
    <t>Petőfi Sándor út 22.</t>
  </si>
  <si>
    <t>Petőfi Sándor út 3.</t>
  </si>
  <si>
    <t>Petőfi tér</t>
  </si>
  <si>
    <t>Petőfi tér 1.</t>
  </si>
  <si>
    <t>Petőfi tér 1/a</t>
  </si>
  <si>
    <t>Petőfi tér 11.</t>
  </si>
  <si>
    <t>Petőfi tér 12.</t>
  </si>
  <si>
    <t>Petőfi tér 2.</t>
  </si>
  <si>
    <t>Petőfi tér 5.</t>
  </si>
  <si>
    <t>Petőfi u. 10.</t>
  </si>
  <si>
    <t>Petőfi u. 18/6</t>
  </si>
  <si>
    <t>Petőfi u. 2.</t>
  </si>
  <si>
    <t>Petőfi u. 21.</t>
  </si>
  <si>
    <t>Petőfi u. 27</t>
  </si>
  <si>
    <t>Petőfi u. 3.</t>
  </si>
  <si>
    <t>Petőfi u. 4.</t>
  </si>
  <si>
    <t>Petőfi u. 63-65.</t>
  </si>
  <si>
    <t>Petőfi u. 63.</t>
  </si>
  <si>
    <t>Petőfi u. 65.</t>
  </si>
  <si>
    <t>Petőfi u. 9.</t>
  </si>
  <si>
    <t>Petőfi u.1.</t>
  </si>
  <si>
    <t>Petőfi utca 327/a</t>
  </si>
  <si>
    <t>Petőfi út 11.</t>
  </si>
  <si>
    <t>Petőfi út 2.</t>
  </si>
  <si>
    <t>Petőfi út 4.</t>
  </si>
  <si>
    <t>Pf. 71. HRSZ.: 8803/15</t>
  </si>
  <si>
    <t>Piac tér 116</t>
  </si>
  <si>
    <t>Piac tér 4.</t>
  </si>
  <si>
    <t>Piac u 1-3</t>
  </si>
  <si>
    <t>Piac u. 1-3.</t>
  </si>
  <si>
    <t>Piac u. 3.</t>
  </si>
  <si>
    <t>Piac u. 45-47.</t>
  </si>
  <si>
    <t>Piac u. 52.</t>
  </si>
  <si>
    <t>Piac utca 32.</t>
  </si>
  <si>
    <t>Pilisi út 3/b</t>
  </si>
  <si>
    <t>Pillangó u. 15.</t>
  </si>
  <si>
    <t>Pollack M. u. 2-6.</t>
  </si>
  <si>
    <t>Posta u. 11.</t>
  </si>
  <si>
    <t>Posta utca 14.</t>
  </si>
  <si>
    <t>Posta út 63. C épület</t>
  </si>
  <si>
    <t>Postaköz 2.</t>
  </si>
  <si>
    <t>Pozsonyi u. 25.</t>
  </si>
  <si>
    <t>Pro Logis Üzleti Park 3-as épület</t>
  </si>
  <si>
    <t>Puskás T. u. 5.</t>
  </si>
  <si>
    <t>Páskomliget u. 6.</t>
  </si>
  <si>
    <t>Pásti u. 1-3.</t>
  </si>
  <si>
    <t>Páter Kiss Szaléz u. 22.</t>
  </si>
  <si>
    <t>Pázmány Péter sétány 1.</t>
  </si>
  <si>
    <t>Pázsit u. 2.</t>
  </si>
  <si>
    <t>Pécsi u. 40.</t>
  </si>
  <si>
    <t>Pécsi út 61</t>
  </si>
  <si>
    <t>Reitter Ferenc u. 132.</t>
  </si>
  <si>
    <t>Reptéri út porta</t>
  </si>
  <si>
    <t>Retek u. 23-25.</t>
  </si>
  <si>
    <t>Ring Kálmán u. 5.</t>
  </si>
  <si>
    <t>Ring u. 1</t>
  </si>
  <si>
    <t>Ring u. 1.</t>
  </si>
  <si>
    <t>Rohonczi út 2.</t>
  </si>
  <si>
    <t>Ráday Gedeon tér 10.</t>
  </si>
  <si>
    <t>Rákoczi tér 18-20.</t>
  </si>
  <si>
    <t>Rákosi út 128.</t>
  </si>
  <si>
    <t>Rákosi út 142-146.</t>
  </si>
  <si>
    <t>Rákóczi F. u.</t>
  </si>
  <si>
    <t>Rákóczi F. u. 4.</t>
  </si>
  <si>
    <t>Rákóczi Ferenc út 191</t>
  </si>
  <si>
    <t>Rákóczi fejedelem útja 46</t>
  </si>
  <si>
    <t>Rákóczi tér 1-3.</t>
  </si>
  <si>
    <t>Rákóczi tér 1.</t>
  </si>
  <si>
    <t>Rákóczi tér 16.</t>
  </si>
  <si>
    <t>Rákóczi tér 2-4.</t>
  </si>
  <si>
    <t>Rákóczi u. 1-9</t>
  </si>
  <si>
    <t>Rákóczi u. 1.</t>
  </si>
  <si>
    <t>Rákóczi u. 1/a.</t>
  </si>
  <si>
    <t>Rákóczi u. 100.</t>
  </si>
  <si>
    <t>Rákóczi u. 15</t>
  </si>
  <si>
    <t>Rákóczi u. 15.</t>
  </si>
  <si>
    <t>Rákóczi u. 16.</t>
  </si>
  <si>
    <t>Rákóczi u. 161/a.</t>
  </si>
  <si>
    <t>Rákóczi u. 19.</t>
  </si>
  <si>
    <t>Rákóczi u. 2.</t>
  </si>
  <si>
    <t>Rákóczi u. 20.</t>
  </si>
  <si>
    <t>Rákóczi u. 21.</t>
  </si>
  <si>
    <t>Rákóczi u. 22.</t>
  </si>
  <si>
    <t>Rákóczi u. 28-30.</t>
  </si>
  <si>
    <t>Rákóczi u. 3.</t>
  </si>
  <si>
    <t>Rákóczi u. 32.</t>
  </si>
  <si>
    <t>Rákóczi u. 34.</t>
  </si>
  <si>
    <t>Rákóczi u. 38.</t>
  </si>
  <si>
    <t>Rákóczi u. 39-41</t>
  </si>
  <si>
    <t>Rákóczi u. 40.</t>
  </si>
  <si>
    <t>Rákóczi u. 5.</t>
  </si>
  <si>
    <t>Rákóczi u. 52.</t>
  </si>
  <si>
    <t>Rákóczi u. 6-10.</t>
  </si>
  <si>
    <t>Rákóczi u. 6.</t>
  </si>
  <si>
    <t>Rákóczi u. 64</t>
  </si>
  <si>
    <t>Rákóczi u. 7.</t>
  </si>
  <si>
    <t>Rákóczi u. 7/a</t>
  </si>
  <si>
    <t>Rákóczi u. 83.</t>
  </si>
  <si>
    <t>Rákóczi u. 84.</t>
  </si>
  <si>
    <t>Rákóczi u. 9.</t>
  </si>
  <si>
    <t>Rákóczi u. 94.</t>
  </si>
  <si>
    <t>Rákóczi u.10</t>
  </si>
  <si>
    <t>Rákóczi utca 1.</t>
  </si>
  <si>
    <t>Rákóczi utca 46.</t>
  </si>
  <si>
    <t>Rákóczi utca 79.</t>
  </si>
  <si>
    <t>Rákóczi út 1-3.</t>
  </si>
  <si>
    <t>Rákóczi út 1.</t>
  </si>
  <si>
    <t>Rákóczi út 100.</t>
  </si>
  <si>
    <t>Rákóczi út 112.</t>
  </si>
  <si>
    <t>Rákóczi út 12.</t>
  </si>
  <si>
    <t>Rákóczi út 124.</t>
  </si>
  <si>
    <t>Rákóczi út 13.</t>
  </si>
  <si>
    <t>Rákóczi út 131.</t>
  </si>
  <si>
    <t>Rákóczi út 138-140</t>
  </si>
  <si>
    <t>Rákóczi út 143.</t>
  </si>
  <si>
    <t>Rákóczi út 16.</t>
  </si>
  <si>
    <t>Rákóczi út 20.</t>
  </si>
  <si>
    <t>Rákóczi út 27.</t>
  </si>
  <si>
    <t>Rákóczi út 3.</t>
  </si>
  <si>
    <t>Rákóczi út 31.</t>
  </si>
  <si>
    <t>Rákóczi út 39.</t>
  </si>
  <si>
    <t>Rákóczi út 42.</t>
  </si>
  <si>
    <t>Rákóczi út 44.</t>
  </si>
  <si>
    <t>Rákóczi út 53.</t>
  </si>
  <si>
    <t>Rákóczi út 58.</t>
  </si>
  <si>
    <t>Rákóczi út 6.</t>
  </si>
  <si>
    <t>Rákóczi út 60.</t>
  </si>
  <si>
    <t>Rákóczi út 66.</t>
  </si>
  <si>
    <t>Rákóczi út 77.</t>
  </si>
  <si>
    <t>Rákóczi út 8</t>
  </si>
  <si>
    <t>Rákóczi út 8.</t>
  </si>
  <si>
    <t>Rákóczi út 80.</t>
  </si>
  <si>
    <t>Rákóczi út 81.</t>
  </si>
  <si>
    <t>Rákóczi út 91.</t>
  </si>
  <si>
    <t>Rétköz u. 5.</t>
  </si>
  <si>
    <t>Rév u.3.</t>
  </si>
  <si>
    <t>Rév u.9.</t>
  </si>
  <si>
    <t>Róbert Károly krt. 61-65.</t>
  </si>
  <si>
    <t>Rókusi krt. 42-64.</t>
  </si>
  <si>
    <t>Rókusi krt. 46-64.</t>
  </si>
  <si>
    <t>Róna u. 147.</t>
  </si>
  <si>
    <t>Salak út 12.</t>
  </si>
  <si>
    <t>Samsung tér 1.</t>
  </si>
  <si>
    <t>Sas telep 1.</t>
  </si>
  <si>
    <t>Savaria tér 1/a</t>
  </si>
  <si>
    <t>Selmeci u. 15-17.</t>
  </si>
  <si>
    <t>Sibrik Miklós u. 30.</t>
  </si>
  <si>
    <t>Sima F. u. 44.</t>
  </si>
  <si>
    <t>Siófok, Szabadság tér 15.</t>
  </si>
  <si>
    <t>Somogyi B. u. 50-52.</t>
  </si>
  <si>
    <t>Somogyi Rezső u. 11.</t>
  </si>
  <si>
    <t>Soproni út 58.</t>
  </si>
  <si>
    <t>Soproni út 60.</t>
  </si>
  <si>
    <t>Spar út 0326/1. hrsz.</t>
  </si>
  <si>
    <t>Sport tér 6.</t>
  </si>
  <si>
    <t>Sport u. 1.</t>
  </si>
  <si>
    <t>Sport u. 2-4</t>
  </si>
  <si>
    <t>Sport u. 2-4.</t>
  </si>
  <si>
    <t>Sport u. 5.</t>
  </si>
  <si>
    <t>Sport út 2-4.</t>
  </si>
  <si>
    <t>Stróbl Alajos u. 3/b.</t>
  </si>
  <si>
    <t>Sz. István út 4-6.</t>
  </si>
  <si>
    <t>Szabadkai út 7.</t>
  </si>
  <si>
    <t>Szabadság tér</t>
  </si>
  <si>
    <t>Szabadság tér 1.</t>
  </si>
  <si>
    <t>Szabadság tér 1/a.</t>
  </si>
  <si>
    <t>Szabadság tér 10.</t>
  </si>
  <si>
    <t>Szabadság tér 11.</t>
  </si>
  <si>
    <t>Szabadság tér 12-13.</t>
  </si>
  <si>
    <t>Szabadság tér 12.</t>
  </si>
  <si>
    <t>Szabadság tér 14.</t>
  </si>
  <si>
    <t>Szabadság tér 16-17.</t>
  </si>
  <si>
    <t>Szabadság tér 18.</t>
  </si>
  <si>
    <t>Szabadság tér 2.</t>
  </si>
  <si>
    <t>Szabadság tér 21.</t>
  </si>
  <si>
    <t>Szabadság tér 29.</t>
  </si>
  <si>
    <t>Szabadság tér 3.</t>
  </si>
  <si>
    <t>Szabadság tér 32.</t>
  </si>
  <si>
    <t>Szabadság tér 33.</t>
  </si>
  <si>
    <t>Szabadság tér 5-6</t>
  </si>
  <si>
    <t>Szabadság tér 5-6.</t>
  </si>
  <si>
    <t>Szabadság tér 5.</t>
  </si>
  <si>
    <t>Szabadság tér 6.</t>
  </si>
  <si>
    <t>Szabadság tér 7.</t>
  </si>
  <si>
    <t>Szabadság tér 8.</t>
  </si>
  <si>
    <t>Szabadság tér 8/a</t>
  </si>
  <si>
    <t>Szabadság tér 9-10.</t>
  </si>
  <si>
    <t>Szabadság u. 131.</t>
  </si>
  <si>
    <t>Szabadság u. 18.</t>
  </si>
  <si>
    <t>Szabadság u. 248.</t>
  </si>
  <si>
    <t>Szabadság u. 27.</t>
  </si>
  <si>
    <t>Szabadság u. 3.</t>
  </si>
  <si>
    <t>Szabadság u. 30.</t>
  </si>
  <si>
    <t>Szabadság u. 32.</t>
  </si>
  <si>
    <t>Szabadság u. 38.</t>
  </si>
  <si>
    <t>Szabadság u. 4.</t>
  </si>
  <si>
    <t>Szabadság u. 49.</t>
  </si>
  <si>
    <t>Szabadság u.8</t>
  </si>
  <si>
    <t>Szabadság út 1.</t>
  </si>
  <si>
    <t>Szabadság út 11.</t>
  </si>
  <si>
    <t>Szabadság út 118.</t>
  </si>
  <si>
    <t>Szabadság út 16.</t>
  </si>
  <si>
    <t>Szabadság út 20.</t>
  </si>
  <si>
    <t>Szabadság út 224.</t>
  </si>
  <si>
    <t>Szabadság út 3.</t>
  </si>
  <si>
    <t>Szabadság út 34.</t>
  </si>
  <si>
    <t>Szabadság út 47.</t>
  </si>
  <si>
    <t>Szabadság út 74/a</t>
  </si>
  <si>
    <t>Szabadság út 76.</t>
  </si>
  <si>
    <t>Szabadság út 93.</t>
  </si>
  <si>
    <t>Szabadság útja 1/e</t>
  </si>
  <si>
    <t>Szalkai u. 34.</t>
  </si>
  <si>
    <t>Szapáry u. 22</t>
  </si>
  <si>
    <t>Szapáry u. 31.</t>
  </si>
  <si>
    <t>Szarvasi u. 20.</t>
  </si>
  <si>
    <t>Szarvasi út 68.</t>
  </si>
  <si>
    <t>Szegfű J. u. 51/a</t>
  </si>
  <si>
    <t>Szegfű utca 75.</t>
  </si>
  <si>
    <t>Szeglethy u. 1.</t>
  </si>
  <si>
    <t>Szekeres J. u. 2-8.</t>
  </si>
  <si>
    <t>Szemere Bertalan u. 1.</t>
  </si>
  <si>
    <t>Szemere Bertalan u. 13.</t>
  </si>
  <si>
    <t>Szemere Bertalan u. 24.</t>
  </si>
  <si>
    <t>Szent Bertalan u. 1.</t>
  </si>
  <si>
    <t>Szent Borbála tér 2.</t>
  </si>
  <si>
    <t>Szent Flórián u. 2-4.</t>
  </si>
  <si>
    <t>Szent Gy. út 23.</t>
  </si>
  <si>
    <t>Szent II. János Pál Pápa tér 2.</t>
  </si>
  <si>
    <t>Szent Imre Herceg út 3.</t>
  </si>
  <si>
    <t>Szent Imre tér 13.</t>
  </si>
  <si>
    <t>Szent István Tér 5.</t>
  </si>
  <si>
    <t>Szent István király krt. 43-45.</t>
  </si>
  <si>
    <t>Szent István király u. 37.</t>
  </si>
  <si>
    <t>Szent István király u. 4-6.</t>
  </si>
  <si>
    <t>Szent István király u.84.</t>
  </si>
  <si>
    <t>Szent István király út 121.</t>
  </si>
  <si>
    <t>Szent István krt. 1.</t>
  </si>
  <si>
    <t>Szent István krt. 10.</t>
  </si>
  <si>
    <t>Szent István krt. 12.</t>
  </si>
  <si>
    <t>Szent István krt. 15.</t>
  </si>
  <si>
    <t>Szent István tér 1/c</t>
  </si>
  <si>
    <t>Szent István tér 12.</t>
  </si>
  <si>
    <t>Szent István tér 16.</t>
  </si>
  <si>
    <t>Szent István tér 2.</t>
  </si>
  <si>
    <t>Szent István tér 2/a</t>
  </si>
  <si>
    <t>Szent István tér 2/d</t>
  </si>
  <si>
    <t>Szent István tér 29.</t>
  </si>
  <si>
    <t>Szent István tér 4.</t>
  </si>
  <si>
    <t>Szent István tér 5-7.</t>
  </si>
  <si>
    <t>Szent István tér 9.</t>
  </si>
  <si>
    <t>Szent István u. 13.</t>
  </si>
  <si>
    <t>Szent István u. 17.</t>
  </si>
  <si>
    <t>Szent István u. 27.</t>
  </si>
  <si>
    <t>Szent István u. 29/b</t>
  </si>
  <si>
    <t>Szent István u. 3.</t>
  </si>
  <si>
    <t>Szent István u. 67-69.</t>
  </si>
  <si>
    <t>Szent István u. 7.</t>
  </si>
  <si>
    <t>Szent István u.22</t>
  </si>
  <si>
    <t>Szent István út 2.</t>
  </si>
  <si>
    <t>Szent István út 28.</t>
  </si>
  <si>
    <t>Szent István út 30.</t>
  </si>
  <si>
    <t>Szent János u. 11.</t>
  </si>
  <si>
    <t>Szent János u. 15.</t>
  </si>
  <si>
    <t>Szent János út 108.</t>
  </si>
  <si>
    <t>Szent László tér 2.</t>
  </si>
  <si>
    <t>Szent László u. 183</t>
  </si>
  <si>
    <t>Szent László u. 30.</t>
  </si>
  <si>
    <t>Szent László u.153</t>
  </si>
  <si>
    <t>Szent László út 17.</t>
  </si>
  <si>
    <t>Szent László út 68.</t>
  </si>
  <si>
    <t>Szentendrei út 115.</t>
  </si>
  <si>
    <t>Szentesi út 52/A</t>
  </si>
  <si>
    <t>Szentháromság tér 2-6.</t>
  </si>
  <si>
    <t>Szentháromság tér 7.</t>
  </si>
  <si>
    <t>Szentháromság tér 8 - 10.</t>
  </si>
  <si>
    <t>Szentháromság tér 8-10.</t>
  </si>
  <si>
    <t>Szentháromság u. 1-3.</t>
  </si>
  <si>
    <t>Szentháromság u. 2.</t>
  </si>
  <si>
    <t>Szentmihályi út 131</t>
  </si>
  <si>
    <t>Szentmihályi út 131.</t>
  </si>
  <si>
    <t>Szentmihályi út 137.</t>
  </si>
  <si>
    <t>Szentmihályi út 171</t>
  </si>
  <si>
    <t>Szentpáli u. 2-6.</t>
  </si>
  <si>
    <t>Szentpéteri kapu 103</t>
  </si>
  <si>
    <t>Szentpéteri kapu 103.</t>
  </si>
  <si>
    <t>Szervita tér 1-2.</t>
  </si>
  <si>
    <t>Szigethy Attila út 112.</t>
  </si>
  <si>
    <t>Szilfákalja 49.</t>
  </si>
  <si>
    <t>Szilfákalja u. 10-12.</t>
  </si>
  <si>
    <t>Szilfákalja u. 44.</t>
  </si>
  <si>
    <t>Szolnoki út 18.</t>
  </si>
  <si>
    <t>Szolnoki út 8.</t>
  </si>
  <si>
    <t>Szondi u. 1.</t>
  </si>
  <si>
    <t>Szt. István út 68.</t>
  </si>
  <si>
    <t>Száki út 96.</t>
  </si>
  <si>
    <t>Széchenyi krt. 75.</t>
  </si>
  <si>
    <t>Széchenyi tér 1.</t>
  </si>
  <si>
    <t>Széchenyi tér 13-15.</t>
  </si>
  <si>
    <t>Széchenyi tér 14-16.</t>
  </si>
  <si>
    <t>Széchenyi tér 17.</t>
  </si>
  <si>
    <t>Széchenyi tér 2</t>
  </si>
  <si>
    <t>Széchenyi tér 2.</t>
  </si>
  <si>
    <t>Széchenyi tér 24.</t>
  </si>
  <si>
    <t>Széchenyi tér 3.</t>
  </si>
  <si>
    <t>Széchenyi tér 4.</t>
  </si>
  <si>
    <t>Széchenyi tér 4/2.</t>
  </si>
  <si>
    <t>Széchenyi tér 7-8.</t>
  </si>
  <si>
    <t>Széchenyi tér 7.</t>
  </si>
  <si>
    <t>Széchenyi tér 8.</t>
  </si>
  <si>
    <t>Széchenyi tér 9.</t>
  </si>
  <si>
    <t>Széchenyi u. 18-20.</t>
  </si>
  <si>
    <t>Széchenyi u. 18.</t>
  </si>
  <si>
    <t>Széchenyi u. 2.</t>
  </si>
  <si>
    <t>Széchenyi u. 23.</t>
  </si>
  <si>
    <t>Széchenyi u. 24.</t>
  </si>
  <si>
    <t>Széchenyi u. 3-7.</t>
  </si>
  <si>
    <t>Széchenyi u. 3-9.</t>
  </si>
  <si>
    <t>Széchenyi u. 3.</t>
  </si>
  <si>
    <t>Széchenyi u. 3/a.</t>
  </si>
  <si>
    <t>Széchenyi u. 34.</t>
  </si>
  <si>
    <t>Széchenyi u. 4-6.</t>
  </si>
  <si>
    <t>Széchenyi u. 4.</t>
  </si>
  <si>
    <t>Széchenyi u. 40.</t>
  </si>
  <si>
    <t>Széchenyi u. 49.</t>
  </si>
  <si>
    <t>Széchenyi u. 6</t>
  </si>
  <si>
    <t>Széchenyi u. 8.</t>
  </si>
  <si>
    <t>Széchenyi u. 88.</t>
  </si>
  <si>
    <t>Széchenyi út 10.</t>
  </si>
  <si>
    <t>Széchenyi út 111.</t>
  </si>
  <si>
    <t>Széchenyi út 29.</t>
  </si>
  <si>
    <t>Széchenyi út 4.</t>
  </si>
  <si>
    <t>Széchenyi út 55.</t>
  </si>
  <si>
    <t>Széchenyi út 63.</t>
  </si>
  <si>
    <t>Széchenyi út 65.</t>
  </si>
  <si>
    <t>Széchényi tér 18-20</t>
  </si>
  <si>
    <t>Széll Kálmán tér 23</t>
  </si>
  <si>
    <t>Szépvölgyi út 4/b</t>
  </si>
  <si>
    <t>Szövetkezet köz 1.</t>
  </si>
  <si>
    <t>Szőregi út 80.</t>
  </si>
  <si>
    <t>Szűrcsapó u. 23.</t>
  </si>
  <si>
    <t>Szűrcsapó u.23</t>
  </si>
  <si>
    <t>Sáfrány u. 1.</t>
  </si>
  <si>
    <t>Ságvári u. 31.</t>
  </si>
  <si>
    <t>Ságvári u. 33. fsz. 1/b</t>
  </si>
  <si>
    <t>Sérfenyő utca 57.</t>
  </si>
  <si>
    <t>Séta tér 5.</t>
  </si>
  <si>
    <t>Sétáló u. 1.</t>
  </si>
  <si>
    <t>Sétáló u. 7.</t>
  </si>
  <si>
    <t>Sóstói út 31/b</t>
  </si>
  <si>
    <t>Takaréktár u. 7.</t>
  </si>
  <si>
    <t>Talfája 1</t>
  </si>
  <si>
    <t>Tatai utca 1.</t>
  </si>
  <si>
    <t>Teleki László u. 26.</t>
  </si>
  <si>
    <t>Teleki Pál u. 22.</t>
  </si>
  <si>
    <t>Teleki u. 51.</t>
  </si>
  <si>
    <t>Teleki u.15</t>
  </si>
  <si>
    <t>Teleki út 106.</t>
  </si>
  <si>
    <t>Telepi út 58.</t>
  </si>
  <si>
    <t>Temesvári u. 17.</t>
  </si>
  <si>
    <t>Templom köz 5.</t>
  </si>
  <si>
    <t>Templom u. 6.</t>
  </si>
  <si>
    <t>Teréz krt 55-57.</t>
  </si>
  <si>
    <t>Teréz krt. 1.</t>
  </si>
  <si>
    <t>Teréz krt. 21.</t>
  </si>
  <si>
    <t>Teréz krt. 42-44.</t>
  </si>
  <si>
    <t>Teréz krt. 51-53.</t>
  </si>
  <si>
    <t>Teréz körút 1.</t>
  </si>
  <si>
    <t>Teve u. 2-4.</t>
  </si>
  <si>
    <t>Thegze L. u. 2.</t>
  </si>
  <si>
    <t>Thegze Lajos utca 2.</t>
  </si>
  <si>
    <t>Thermál krt. 27.</t>
  </si>
  <si>
    <t>Thököli u. 1.</t>
  </si>
  <si>
    <t>Tisza L. krt. 41.</t>
  </si>
  <si>
    <t>Tisza L. krtl. 107.</t>
  </si>
  <si>
    <t>Toldi M. u. 2.</t>
  </si>
  <si>
    <t>Tolnai u. 2/1</t>
  </si>
  <si>
    <t>Tompa M. u. 1-3.</t>
  </si>
  <si>
    <t>Torbágy u. 1.</t>
  </si>
  <si>
    <t>Torontál tér 1.</t>
  </si>
  <si>
    <t>Turai út 1.</t>
  </si>
  <si>
    <t>Táborhely u. 4</t>
  </si>
  <si>
    <t>Táborhely u. 4.</t>
  </si>
  <si>
    <t>Táncsics Mihály u.2.</t>
  </si>
  <si>
    <t>Táncsics u.5.</t>
  </si>
  <si>
    <t>Táncsics út 51.</t>
  </si>
  <si>
    <t>Távirda u. 2/b</t>
  </si>
  <si>
    <t>Tétényi út 13.</t>
  </si>
  <si>
    <t>Tétényi út 63.</t>
  </si>
  <si>
    <t>Tó u. 1.</t>
  </si>
  <si>
    <t>Tószegi út 21.</t>
  </si>
  <si>
    <t>Tóth Kálmán tér 1.</t>
  </si>
  <si>
    <t>Tóth Kálmán tér 3.</t>
  </si>
  <si>
    <t>Tóth Árpád u. 1.</t>
  </si>
  <si>
    <t>Törteli u.1-3</t>
  </si>
  <si>
    <t>Törteli út 2.</t>
  </si>
  <si>
    <t>Törvényház u. 4.</t>
  </si>
  <si>
    <t>Uitz B. u. 6.</t>
  </si>
  <si>
    <t>Ungvár sétány 35.</t>
  </si>
  <si>
    <t>Urbanics u. 1</t>
  </si>
  <si>
    <t>Uzsoki u. 29-41</t>
  </si>
  <si>
    <t>Vak Bottyán u. 27</t>
  </si>
  <si>
    <t>Vak Bottyán u. 73. A-C.</t>
  </si>
  <si>
    <t>Vak Bottyán u. 75.</t>
  </si>
  <si>
    <t>Vak Bottyán u. 75. A-C</t>
  </si>
  <si>
    <t>Varasd u. 1.</t>
  </si>
  <si>
    <t>Vasmű u. 39.</t>
  </si>
  <si>
    <t>Vasmű u.39.</t>
  </si>
  <si>
    <t>Vasvári Pál u. 1/a.</t>
  </si>
  <si>
    <t>Vasvári Pál utca 27.</t>
  </si>
  <si>
    <t>Vasvári Pál út 1/a ( Pláza )</t>
  </si>
  <si>
    <t>Vasvári u. 48.</t>
  </si>
  <si>
    <t>Vaszari út 101.</t>
  </si>
  <si>
    <t>Vaszary u 5.</t>
  </si>
  <si>
    <t>Vasút u. 4/13.</t>
  </si>
  <si>
    <t>Vasút utca 3.</t>
  </si>
  <si>
    <t>Vasút út 2.</t>
  </si>
  <si>
    <t>Vendel park Budai u. 1.</t>
  </si>
  <si>
    <t>Veres Péter u. 105.</t>
  </si>
  <si>
    <t>Veres Péter u. 3.</t>
  </si>
  <si>
    <t>Veres Péter utca 3.</t>
  </si>
  <si>
    <t>Veres Péter út 105-107.</t>
  </si>
  <si>
    <t>Verseny u. 4.</t>
  </si>
  <si>
    <t>Veszprémi út 2</t>
  </si>
  <si>
    <t>Veszprémi út 5.</t>
  </si>
  <si>
    <t>Vezér u.</t>
  </si>
  <si>
    <t>Vida u. 1/a.</t>
  </si>
  <si>
    <t>Villany u. 4.</t>
  </si>
  <si>
    <t>Váci u. 54.</t>
  </si>
  <si>
    <t>Váci u.10.</t>
  </si>
  <si>
    <t>Váci út 1-3</t>
  </si>
  <si>
    <t>Váci út 1-3.</t>
  </si>
  <si>
    <t>Váci út 141.</t>
  </si>
  <si>
    <t>Váci út 178.</t>
  </si>
  <si>
    <t>Váci út 193.</t>
  </si>
  <si>
    <t>Váci út 33.</t>
  </si>
  <si>
    <t>Váci út 36-38.</t>
  </si>
  <si>
    <t>Váci út 76.</t>
  </si>
  <si>
    <t>Váci út 8.</t>
  </si>
  <si>
    <t>Váci út 9-15.</t>
  </si>
  <si>
    <t>Vágóhíd u. 3.</t>
  </si>
  <si>
    <t>Vámház u.</t>
  </si>
  <si>
    <t>Vár 1.#Pannonhalmi#Főapátság#turistafogadó</t>
  </si>
  <si>
    <t>Vár u. 4.</t>
  </si>
  <si>
    <t>Várhegy u. 1. (Várhegy Társasház)</t>
  </si>
  <si>
    <t>Várkert u. 5.</t>
  </si>
  <si>
    <t>Várkerület 1-3.</t>
  </si>
  <si>
    <t>Várkerület 41.</t>
  </si>
  <si>
    <t>Várkerület 96/a</t>
  </si>
  <si>
    <t>Várkerület sor 18.</t>
  </si>
  <si>
    <t>Várkerület u.73.</t>
  </si>
  <si>
    <t>Várkörút 6.</t>
  </si>
  <si>
    <t>Városház tér 1/a.</t>
  </si>
  <si>
    <t>Városház tér 18.</t>
  </si>
  <si>
    <t>Városház u. 12.</t>
  </si>
  <si>
    <t>Városház u. 16.</t>
  </si>
  <si>
    <t>Városház u. 17-19.</t>
  </si>
  <si>
    <t>Városház u. 5.</t>
  </si>
  <si>
    <t>Városház u. 9-11</t>
  </si>
  <si>
    <t>Városház utca 14.</t>
  </si>
  <si>
    <t>Városi Kórház</t>
  </si>
  <si>
    <t>Városszer 106.</t>
  </si>
  <si>
    <t>Vásár u. 2.</t>
  </si>
  <si>
    <t>Vásár u.2.</t>
  </si>
  <si>
    <t>Vásárhelyi Pál u.2</t>
  </si>
  <si>
    <t>Vásárhelyi út 23/a</t>
  </si>
  <si>
    <t>Vásárhelyi út 5.</t>
  </si>
  <si>
    <t>Vásártér út 5.</t>
  </si>
  <si>
    <t>Vízmű u. 1.</t>
  </si>
  <si>
    <t>Völgység u. 8</t>
  </si>
  <si>
    <t>Völgység u. 8.</t>
  </si>
  <si>
    <t>Vörösmarty tér 1.</t>
  </si>
  <si>
    <t>Vörösmarty tér 4.</t>
  </si>
  <si>
    <t>Vörösmarty u. 1.</t>
  </si>
  <si>
    <t>Vörösmarty u. 2.</t>
  </si>
  <si>
    <t>Vörösmarty u. 34.</t>
  </si>
  <si>
    <t>Vörösmarty u. 5.</t>
  </si>
  <si>
    <t>Vörösmarty u. 8.</t>
  </si>
  <si>
    <t>Wesselényi u 20b</t>
  </si>
  <si>
    <t>Ybl Miklós u. 8.</t>
  </si>
  <si>
    <t>Zalán u 23.</t>
  </si>
  <si>
    <t>Zanati út 31.</t>
  </si>
  <si>
    <t>Zimmermann u 1.</t>
  </si>
  <si>
    <t>Zrínyi I. u. 6.</t>
  </si>
  <si>
    <t>Zrínyi u. 1.</t>
  </si>
  <si>
    <t>Zrínyi u. 22.</t>
  </si>
  <si>
    <t>Zrínyi út 38</t>
  </si>
  <si>
    <t>Zsirai M. u. 1.</t>
  </si>
  <si>
    <t>Zsámbéki út 16.</t>
  </si>
  <si>
    <t>Záhony u. 7.</t>
  </si>
  <si>
    <t>kossuth u. 47.</t>
  </si>
  <si>
    <t>szt István tér 6</t>
  </si>
  <si>
    <t>Áchim András u. 4.</t>
  </si>
  <si>
    <t>Ádám Iván u. 2.</t>
  </si>
  <si>
    <t>Állomás tér 3.</t>
  </si>
  <si>
    <t>Árpád tér 2.</t>
  </si>
  <si>
    <t>Árpád u. 102.</t>
  </si>
  <si>
    <t>Árpád u. 12.</t>
  </si>
  <si>
    <t>Árpád u. 2.</t>
  </si>
  <si>
    <t>Árpád u. 45.</t>
  </si>
  <si>
    <t>Árpád utca 5.</t>
  </si>
  <si>
    <t>Árpád út 112.</t>
  </si>
  <si>
    <t>Árpád út 123.</t>
  </si>
  <si>
    <t>Árpád út 161</t>
  </si>
  <si>
    <t>Árpád út 41-43</t>
  </si>
  <si>
    <t>Árpád út 42.</t>
  </si>
  <si>
    <t>Árpád út 63-65.</t>
  </si>
  <si>
    <t>Árpád út 68.</t>
  </si>
  <si>
    <t>Árpád út 93.</t>
  </si>
  <si>
    <t>Éhen Gyula tér 2.</t>
  </si>
  <si>
    <t>Érsek u.1.</t>
  </si>
  <si>
    <t>Íves út 16.</t>
  </si>
  <si>
    <t>Óceánárok utca 3-5.</t>
  </si>
  <si>
    <t>Óvoda u. 2.</t>
  </si>
  <si>
    <t>Örs Vezér tere 25.</t>
  </si>
  <si>
    <t>Örs vezér tere 2.</t>
  </si>
  <si>
    <t>Örs vezér tere 24.</t>
  </si>
  <si>
    <t>Örs vezér tere 25.</t>
  </si>
  <si>
    <t>Örs vezér tér 24.</t>
  </si>
  <si>
    <t>Örvényi út 1.</t>
  </si>
  <si>
    <t>Újfalu út 4.</t>
  </si>
  <si>
    <t>Újmajori út 10.</t>
  </si>
  <si>
    <t>Újpest István út 18.</t>
  </si>
  <si>
    <t>Úri u. 1.</t>
  </si>
  <si>
    <t>Ülloi út 131.</t>
  </si>
  <si>
    <t>Ülloi út 201.</t>
  </si>
  <si>
    <t>Ülloi út 661.</t>
  </si>
  <si>
    <t>Üllői út 114-116.</t>
  </si>
  <si>
    <t>Üllői út 121.</t>
  </si>
  <si>
    <t>Üllői út 201.</t>
  </si>
  <si>
    <t>Üllői út 234.</t>
  </si>
  <si>
    <t>Üllői út 285.</t>
  </si>
  <si>
    <t>Üllői út 366.</t>
  </si>
  <si>
    <t>Üllői út 377.</t>
  </si>
  <si>
    <t>Üllői út 399.</t>
  </si>
  <si>
    <t>Üllői út 400.</t>
  </si>
  <si>
    <t>Üllői út 525.</t>
  </si>
  <si>
    <t>Üllői út 86.</t>
  </si>
  <si>
    <t>Ősz u. 13.</t>
  </si>
  <si>
    <t>Irányítószám</t>
  </si>
  <si>
    <t>Település</t>
  </si>
  <si>
    <t>Cím</t>
  </si>
  <si>
    <t>Sorcímkék</t>
  </si>
  <si>
    <t>Csibi Gyula</t>
  </si>
  <si>
    <t>Farkas László</t>
  </si>
  <si>
    <t>Hajnali Barnabás</t>
  </si>
  <si>
    <t>Klacsán Mihály</t>
  </si>
  <si>
    <t>Kocsis Zsolt</t>
  </si>
  <si>
    <t>Matolcsi Szabolcs</t>
  </si>
  <si>
    <t>Pintér Zoltán</t>
  </si>
  <si>
    <t>Pogácsás Zsolt</t>
  </si>
  <si>
    <t>Pribék Zsolt</t>
  </si>
  <si>
    <t>Tőke Tamás</t>
  </si>
  <si>
    <t>Varga János</t>
  </si>
  <si>
    <t>Végösszeg</t>
  </si>
  <si>
    <t>Mennyiség / ATM azonosító</t>
  </si>
  <si>
    <t>Összeg / Karb./akt.év</t>
  </si>
  <si>
    <t>S6T64703</t>
  </si>
  <si>
    <t>1562RH120084</t>
  </si>
  <si>
    <t>5300198800</t>
  </si>
  <si>
    <t>3373</t>
  </si>
  <si>
    <t>Besenyőtelek</t>
  </si>
  <si>
    <t>Fő út 112.</t>
  </si>
  <si>
    <t>5300154317</t>
  </si>
  <si>
    <t>3388</t>
  </si>
  <si>
    <t>Poroszló</t>
  </si>
  <si>
    <t>5300129573</t>
  </si>
  <si>
    <t>3374</t>
  </si>
  <si>
    <t>Szihalom</t>
  </si>
  <si>
    <t>Hunyadi út 94.</t>
  </si>
  <si>
    <t>5300141565</t>
  </si>
  <si>
    <t>Malomárok utca 31.</t>
  </si>
  <si>
    <t>5300122093</t>
  </si>
  <si>
    <t>Mátyás kir. utca 102.</t>
  </si>
  <si>
    <t>1562RCF01019</t>
  </si>
  <si>
    <t>3291</t>
  </si>
  <si>
    <t>Vámosgyörk</t>
  </si>
  <si>
    <t>Petőfi út 21.</t>
  </si>
  <si>
    <t>5300242740</t>
  </si>
  <si>
    <t>Rákóczi út 55.</t>
  </si>
  <si>
    <t>5300827414</t>
  </si>
  <si>
    <t>3350</t>
  </si>
  <si>
    <t>Kál</t>
  </si>
  <si>
    <t>Rózsa utca 2/a.</t>
  </si>
  <si>
    <t>5300378708</t>
  </si>
  <si>
    <t>Szabadság út 22.</t>
  </si>
  <si>
    <t>S03063</t>
  </si>
  <si>
    <t>S01220</t>
  </si>
  <si>
    <t>1562RH127301</t>
  </si>
  <si>
    <t>Derék u. 68/b</t>
  </si>
  <si>
    <t>1562RH143034</t>
  </si>
  <si>
    <t>Lehel u. 64.</t>
  </si>
  <si>
    <t>CASH2569</t>
  </si>
  <si>
    <t>1828FIP00134</t>
  </si>
  <si>
    <t>CASH2575</t>
  </si>
  <si>
    <t>AKHK2593</t>
  </si>
  <si>
    <t>CASH2574</t>
  </si>
  <si>
    <t>1868RIP00258</t>
  </si>
  <si>
    <t>1562RH153251</t>
  </si>
  <si>
    <t>1828FIP00136</t>
  </si>
  <si>
    <t>DBD82220018</t>
  </si>
  <si>
    <t>Füredi u. 43.</t>
  </si>
  <si>
    <t>S6T67601</t>
  </si>
  <si>
    <t>1760RH135390</t>
  </si>
  <si>
    <t>4500</t>
  </si>
  <si>
    <t>Szabadság út 5.</t>
  </si>
  <si>
    <t>CA94</t>
  </si>
  <si>
    <t>1520FH122732</t>
  </si>
  <si>
    <t>2132</t>
  </si>
  <si>
    <t>Ipartelep hrsz. 6901.</t>
  </si>
  <si>
    <t>1760RH132287</t>
  </si>
  <si>
    <t>DBD82220203</t>
  </si>
  <si>
    <t>1828FH102264</t>
  </si>
  <si>
    <t>Mária u. 2.</t>
  </si>
  <si>
    <t>AKHK2594</t>
  </si>
  <si>
    <t>1562RH153252</t>
  </si>
  <si>
    <t>S06036_ENA</t>
  </si>
  <si>
    <t>S01206_ENA</t>
  </si>
  <si>
    <t>S09120_ENA</t>
  </si>
  <si>
    <t>S09121_ENA</t>
  </si>
  <si>
    <t>S01107_ENA</t>
  </si>
  <si>
    <t>S03064_ENA</t>
  </si>
  <si>
    <t>BB070500</t>
  </si>
  <si>
    <t>CASH2611</t>
  </si>
  <si>
    <t>AKHK2599</t>
  </si>
  <si>
    <t>AKHK2595</t>
  </si>
  <si>
    <t>DBD82220204</t>
  </si>
  <si>
    <t>1562RH158140</t>
  </si>
  <si>
    <t>1828FIP00135</t>
  </si>
  <si>
    <t>1562FH153234</t>
  </si>
  <si>
    <t>1562FH153235</t>
  </si>
  <si>
    <t>2072</t>
  </si>
  <si>
    <t>Zsámbék</t>
  </si>
  <si>
    <t>6630</t>
  </si>
  <si>
    <t>Mindszent</t>
  </si>
  <si>
    <t>Akadémia u. 1.</t>
  </si>
  <si>
    <t>Köztársaság tér 9.</t>
  </si>
  <si>
    <t>Szabadság tér 9.</t>
  </si>
  <si>
    <t>Mártírok tere 2.</t>
  </si>
  <si>
    <t>S04056_ENA</t>
  </si>
  <si>
    <t>S09812_ENA</t>
  </si>
  <si>
    <t>S09312_ENA</t>
  </si>
  <si>
    <t>S03031_ENA</t>
  </si>
  <si>
    <t>S09614_ENA</t>
  </si>
  <si>
    <t>S09123_ENA</t>
  </si>
  <si>
    <t>S03066_ENA</t>
  </si>
  <si>
    <t>S06073_ENA</t>
  </si>
  <si>
    <t>S06054_ENA</t>
  </si>
  <si>
    <t>S04011_ENA</t>
  </si>
  <si>
    <t>S03045_ENA</t>
  </si>
  <si>
    <t>S08059_ENA</t>
  </si>
  <si>
    <t>S03067_ENA</t>
  </si>
  <si>
    <t>S06078</t>
  </si>
  <si>
    <t>CASH2606</t>
  </si>
  <si>
    <t>AKHB2622</t>
  </si>
  <si>
    <t>DBD82220205</t>
  </si>
  <si>
    <t>1520FH120088</t>
  </si>
  <si>
    <t>1868RIP00260</t>
  </si>
  <si>
    <t>1562RH153236</t>
  </si>
  <si>
    <t>1828FH102265</t>
  </si>
  <si>
    <t>Selmeci út 15-17</t>
  </si>
  <si>
    <t>Bécsi út 57-61.</t>
  </si>
  <si>
    <t>Szent István u. 29-31.</t>
  </si>
  <si>
    <t>S6T50702</t>
  </si>
  <si>
    <t>S6T50704</t>
  </si>
  <si>
    <t>EWHU0575</t>
  </si>
  <si>
    <t>S6T53101</t>
  </si>
  <si>
    <t>AKHK2612</t>
  </si>
  <si>
    <t>AKHB2659</t>
  </si>
  <si>
    <t>DBD82220206</t>
  </si>
  <si>
    <t>CA153_ENA</t>
  </si>
  <si>
    <t>CINEO C2040 Frontload</t>
  </si>
  <si>
    <t>1562RH125247</t>
  </si>
  <si>
    <t>1760RH129403</t>
  </si>
  <si>
    <t>5310115858</t>
  </si>
  <si>
    <t>1562RH145158</t>
  </si>
  <si>
    <t>XXS6T71905</t>
  </si>
  <si>
    <t>1562RH153250</t>
  </si>
  <si>
    <t>1868RIP00257</t>
  </si>
  <si>
    <t>1522FH119153</t>
  </si>
  <si>
    <t>1828FH102266</t>
  </si>
  <si>
    <t>1720FH123167</t>
  </si>
  <si>
    <t>6423</t>
  </si>
  <si>
    <t>Kelebia</t>
  </si>
  <si>
    <t>Coloplast u. 2.</t>
  </si>
  <si>
    <t>Ady E. u. 1321.</t>
  </si>
  <si>
    <t>Bánki D. u. 1.</t>
  </si>
  <si>
    <t>Szentmihályi u. 167-169.</t>
  </si>
  <si>
    <t>Budai út 24.</t>
  </si>
  <si>
    <t>Szilfákalja u. 4.</t>
  </si>
  <si>
    <t>S01168_ENA</t>
  </si>
  <si>
    <t>Hátravan</t>
  </si>
  <si>
    <t>Arány</t>
  </si>
  <si>
    <t>Technikus - ÚJ</t>
  </si>
  <si>
    <t>Török János</t>
  </si>
  <si>
    <t>Radnai István</t>
  </si>
  <si>
    <t>S6T61908</t>
  </si>
  <si>
    <t>S6T61904</t>
  </si>
  <si>
    <t>S6T61907</t>
  </si>
  <si>
    <t>S6T61900</t>
  </si>
  <si>
    <t>S6T61906</t>
  </si>
  <si>
    <t>S6T62301</t>
  </si>
  <si>
    <t>S6T61909</t>
  </si>
  <si>
    <t>S6T61905</t>
  </si>
  <si>
    <t>S6T61910</t>
  </si>
  <si>
    <t>S06032_ENA</t>
  </si>
  <si>
    <t>S09135_ENA</t>
  </si>
  <si>
    <t>S02063_ENA</t>
  </si>
  <si>
    <t>S09108_ENA</t>
  </si>
  <si>
    <t>S01023_ENA</t>
  </si>
  <si>
    <t>S03030_ENA</t>
  </si>
  <si>
    <t>S04005_ENA</t>
  </si>
  <si>
    <t>S08037_ENA</t>
  </si>
  <si>
    <t>S09607_ENA</t>
  </si>
  <si>
    <t>S01209_ENA</t>
  </si>
  <si>
    <t>S08026_ENA</t>
  </si>
  <si>
    <t>S02052_ENA</t>
  </si>
  <si>
    <t>S09621_ENA</t>
  </si>
  <si>
    <t>S01113_ENA</t>
  </si>
  <si>
    <t>S08001_ENA</t>
  </si>
  <si>
    <t>S09224_ENA</t>
  </si>
  <si>
    <t>1720FH123702</t>
  </si>
  <si>
    <t>1720FH121911</t>
  </si>
  <si>
    <t>1720FH123707</t>
  </si>
  <si>
    <t>1760R3320587</t>
  </si>
  <si>
    <t>1720FH123710</t>
  </si>
  <si>
    <t>1720FH123703</t>
  </si>
  <si>
    <t>1720FH123711</t>
  </si>
  <si>
    <t>1720F3320042</t>
  </si>
  <si>
    <t>1720FH123704</t>
  </si>
  <si>
    <t>1720FH123705</t>
  </si>
  <si>
    <t>S6T66002</t>
  </si>
  <si>
    <t>S6T66004</t>
  </si>
  <si>
    <t>S6T66007</t>
  </si>
  <si>
    <t>S6T63801</t>
  </si>
  <si>
    <t>S6T66005</t>
  </si>
  <si>
    <t>S6T66006</t>
  </si>
  <si>
    <t>TESZTB1</t>
  </si>
  <si>
    <t>S08035_ENA</t>
  </si>
  <si>
    <t>S04035_ENA</t>
  </si>
  <si>
    <t>S03012_ENA</t>
  </si>
  <si>
    <t>S04040_ENA</t>
  </si>
  <si>
    <t>S09221_ENA</t>
  </si>
  <si>
    <t>S08032_ENA</t>
  </si>
  <si>
    <t>S09409_ENA</t>
  </si>
  <si>
    <t>TESZTATM4</t>
  </si>
  <si>
    <t>TESZTATM3</t>
  </si>
  <si>
    <t>TESZTATM2_ENA</t>
  </si>
  <si>
    <t>TESZTATM1</t>
  </si>
  <si>
    <t>S09320_ENA</t>
  </si>
  <si>
    <t>S04036_ENA</t>
  </si>
  <si>
    <t>S03016_ENA</t>
  </si>
  <si>
    <t>S02048_ENA</t>
  </si>
  <si>
    <t>S03040_ENA</t>
  </si>
  <si>
    <t>S06034_ENA</t>
  </si>
  <si>
    <t>S03032_ENA</t>
  </si>
  <si>
    <t>S01095_ENA</t>
  </si>
  <si>
    <t>EDHU0622</t>
  </si>
  <si>
    <t>AKHK2613</t>
  </si>
  <si>
    <t>CAST2988</t>
  </si>
  <si>
    <t>DBD82220209</t>
  </si>
  <si>
    <t>DBD82220208</t>
  </si>
  <si>
    <t>CA93</t>
  </si>
  <si>
    <t>CA001_ENA</t>
  </si>
  <si>
    <t>33271062</t>
  </si>
  <si>
    <t>6101299708</t>
  </si>
  <si>
    <t>5300136432</t>
  </si>
  <si>
    <t>5300270891</t>
  </si>
  <si>
    <t>5300027191</t>
  </si>
  <si>
    <t>5300095395</t>
  </si>
  <si>
    <t>1562RH127316</t>
  </si>
  <si>
    <t>1720F3320040</t>
  </si>
  <si>
    <t>1720FH123712</t>
  </si>
  <si>
    <t>1720FH123701</t>
  </si>
  <si>
    <t>1720FH123709</t>
  </si>
  <si>
    <t>1720F3320056</t>
  </si>
  <si>
    <t>1720FH123706</t>
  </si>
  <si>
    <t>1760RH121543</t>
  </si>
  <si>
    <t>1522FH105484</t>
  </si>
  <si>
    <t>1720FH121349</t>
  </si>
  <si>
    <t>1520F3303650</t>
  </si>
  <si>
    <t>1720FH120181</t>
  </si>
  <si>
    <t>1720FH120196</t>
  </si>
  <si>
    <t>1720FH123698</t>
  </si>
  <si>
    <t>1720FH120247</t>
  </si>
  <si>
    <t>1720F3320041</t>
  </si>
  <si>
    <t>1720F3320046</t>
  </si>
  <si>
    <t>1562RH154455</t>
  </si>
  <si>
    <t>1562RH153238</t>
  </si>
  <si>
    <t>1868RH106111</t>
  </si>
  <si>
    <t>1868RH107244</t>
  </si>
  <si>
    <t>1828FH102268</t>
  </si>
  <si>
    <t>1828FH102267</t>
  </si>
  <si>
    <t>1520FH120021</t>
  </si>
  <si>
    <t>1720FH122125</t>
  </si>
  <si>
    <t>2146</t>
  </si>
  <si>
    <t>Mogyoród</t>
  </si>
  <si>
    <t>2626</t>
  </si>
  <si>
    <t>Nagymaros</t>
  </si>
  <si>
    <t>2643</t>
  </si>
  <si>
    <t>Diósjenő</t>
  </si>
  <si>
    <t>2113</t>
  </si>
  <si>
    <t>Erdőkertes</t>
  </si>
  <si>
    <t>2162</t>
  </si>
  <si>
    <t>Őrbottyán</t>
  </si>
  <si>
    <t>2701</t>
  </si>
  <si>
    <t>2071</t>
  </si>
  <si>
    <t>Páty</t>
  </si>
  <si>
    <t>Dózsa u. 54.</t>
  </si>
  <si>
    <t>Fő u. 66-68.</t>
  </si>
  <si>
    <t>Király u. 1/a</t>
  </si>
  <si>
    <t>Kossuth u. 11/c</t>
  </si>
  <si>
    <t>Nemes u. 2.</t>
  </si>
  <si>
    <t>Rákóczi u. 115.</t>
  </si>
  <si>
    <t>.</t>
  </si>
  <si>
    <t>Andrássy út 2-4.</t>
  </si>
  <si>
    <t>Bethlen Gábor utca 5/b</t>
  </si>
  <si>
    <t>Dorogi u. 10-14.</t>
  </si>
  <si>
    <t>Egressy u.44.</t>
  </si>
  <si>
    <t>Hunyadi tér 19-21.</t>
  </si>
  <si>
    <t>Mátyás király út 129.</t>
  </si>
  <si>
    <t>Népkör utca 2.</t>
  </si>
  <si>
    <t>Rákóczi Fejedelem út 34-36.</t>
  </si>
  <si>
    <t>Szabadság tér 4/a</t>
  </si>
  <si>
    <t>Szent István tér.1</t>
  </si>
  <si>
    <t>Szent István út 7-9.</t>
  </si>
  <si>
    <t>Szent László út 26.</t>
  </si>
  <si>
    <t>Széchenyi u. 14.</t>
  </si>
  <si>
    <t>Szent István krt. 18.</t>
  </si>
  <si>
    <t>Kossuth L. u. 77.</t>
  </si>
  <si>
    <t>Kossuth u. 83.</t>
  </si>
  <si>
    <t>Déli-Külhatár u. 2-4.</t>
  </si>
  <si>
    <t>DBD82220211</t>
  </si>
  <si>
    <t>Váci út 80.</t>
  </si>
  <si>
    <t>CIB - ATM690</t>
  </si>
  <si>
    <t>S04017</t>
  </si>
  <si>
    <t>AKHK2627</t>
  </si>
  <si>
    <t>AKHK2654</t>
  </si>
  <si>
    <t>AKHK2687</t>
  </si>
  <si>
    <t>DBD82220210</t>
  </si>
  <si>
    <t>DBD82220212</t>
  </si>
  <si>
    <t>DBD82220213</t>
  </si>
  <si>
    <t>DBD82220214</t>
  </si>
  <si>
    <t>1562R3301398</t>
  </si>
  <si>
    <t>1562RH126087</t>
  </si>
  <si>
    <t>1562RH153253</t>
  </si>
  <si>
    <t>1562RH153248</t>
  </si>
  <si>
    <t>1562RH153243</t>
  </si>
  <si>
    <t>1828FH101653</t>
  </si>
  <si>
    <t>1828FH102217</t>
  </si>
  <si>
    <t>1828FH101698</t>
  </si>
  <si>
    <t>6034</t>
  </si>
  <si>
    <t>Helvécia</t>
  </si>
  <si>
    <t>6765</t>
  </si>
  <si>
    <t>Csengele</t>
  </si>
  <si>
    <t>2932</t>
  </si>
  <si>
    <t>Almásfüzitő</t>
  </si>
  <si>
    <t>Koháry út 3.</t>
  </si>
  <si>
    <t>Petőfi Sándor u. 24.</t>
  </si>
  <si>
    <t>Deák Ferenc u. 25.</t>
  </si>
  <si>
    <t>Fő u. 174.</t>
  </si>
  <si>
    <t>Kossuth L. tér 8.</t>
  </si>
  <si>
    <t>Dombó Pál u. 3.</t>
  </si>
  <si>
    <t>Kossuth L. tér 15.</t>
  </si>
  <si>
    <t>CASH2065_R</t>
  </si>
  <si>
    <t>CASH2048_R</t>
  </si>
  <si>
    <t>CASH2243_R</t>
  </si>
  <si>
    <t>CASH2030_R</t>
  </si>
  <si>
    <t>CASH2068_R</t>
  </si>
  <si>
    <t>CASH2008_R</t>
  </si>
  <si>
    <t>CASH2040_R</t>
  </si>
  <si>
    <t>CASH2034_R</t>
  </si>
  <si>
    <t>CASH2232_R</t>
  </si>
  <si>
    <t>CASH2018_R</t>
  </si>
  <si>
    <t>CASH2020_R</t>
  </si>
  <si>
    <t>CASH2009_R</t>
  </si>
  <si>
    <t>CASH2004_R</t>
  </si>
  <si>
    <t>CASH2021_R</t>
  </si>
  <si>
    <t>CASH2002_R</t>
  </si>
  <si>
    <t>CASH2107_R</t>
  </si>
  <si>
    <t>CASH2013_R</t>
  </si>
  <si>
    <t>CASH2117_R</t>
  </si>
  <si>
    <t>CASH2245_R</t>
  </si>
  <si>
    <t>CASH2223_R</t>
  </si>
  <si>
    <t>CASH2025_R</t>
  </si>
  <si>
    <t>CASH2256_R</t>
  </si>
  <si>
    <t>CASH2071_R</t>
  </si>
  <si>
    <t>CASH2145_R</t>
  </si>
  <si>
    <t>CASH2049_R</t>
  </si>
  <si>
    <t>CASH2023_R</t>
  </si>
  <si>
    <t>CASH2010_R</t>
  </si>
  <si>
    <t>CASH2038_R</t>
  </si>
  <si>
    <t>CASH2039_R</t>
  </si>
  <si>
    <t>CASH2037_R</t>
  </si>
  <si>
    <t>CASH2076_R</t>
  </si>
  <si>
    <t>CASH2135_R</t>
  </si>
  <si>
    <t>CASH2016_R</t>
  </si>
  <si>
    <t>CASH2014_R</t>
  </si>
  <si>
    <t>CASH2026_R</t>
  </si>
  <si>
    <t>CASH2031_R</t>
  </si>
  <si>
    <t>CASH2005_R</t>
  </si>
  <si>
    <t>CASH2077_R</t>
  </si>
  <si>
    <t>CASH2616_R</t>
  </si>
  <si>
    <t>CASH2045_R</t>
  </si>
  <si>
    <t>CASH2203_R</t>
  </si>
  <si>
    <t>CASH2029_R</t>
  </si>
  <si>
    <t>CASH2055_R</t>
  </si>
  <si>
    <t>CASH2213_R</t>
  </si>
  <si>
    <t>CASH2011_R</t>
  </si>
  <si>
    <t>CASH2001_R</t>
  </si>
  <si>
    <t>CASH2478_R</t>
  </si>
  <si>
    <t>DBD82220181</t>
  </si>
  <si>
    <t>CASH2206_R</t>
  </si>
  <si>
    <t>CASH2063_R</t>
  </si>
  <si>
    <t>CASH2529_R</t>
  </si>
  <si>
    <t>S6T50809</t>
  </si>
  <si>
    <t>S6T50309</t>
  </si>
  <si>
    <t>S03005_ENA</t>
  </si>
  <si>
    <t>S09115_ENA</t>
  </si>
  <si>
    <t>1760RH126601</t>
  </si>
  <si>
    <t>1760RH127658</t>
  </si>
  <si>
    <t>CA65_ENA</t>
  </si>
  <si>
    <t>1720FH122343</t>
  </si>
  <si>
    <t>Összeg / Hátravan</t>
  </si>
  <si>
    <t>Babarik János</t>
  </si>
  <si>
    <t>S06041_ENA</t>
  </si>
  <si>
    <t>1760R3320542</t>
  </si>
  <si>
    <t>Kliment Péter</t>
  </si>
  <si>
    <t>S6T73619</t>
  </si>
  <si>
    <t>S6T50302</t>
  </si>
  <si>
    <t>S01084_ENA</t>
  </si>
  <si>
    <t>S01221</t>
  </si>
  <si>
    <t>S01222_ENA</t>
  </si>
  <si>
    <t>S01223_ENA</t>
  </si>
  <si>
    <t>S01224</t>
  </si>
  <si>
    <t>S06079</t>
  </si>
  <si>
    <t>S06080</t>
  </si>
  <si>
    <t>S06081_ENA</t>
  </si>
  <si>
    <t>S06082_ENA</t>
  </si>
  <si>
    <t>EDHU0581</t>
  </si>
  <si>
    <t>AKHB2710</t>
  </si>
  <si>
    <t>AKHK2688</t>
  </si>
  <si>
    <t>AKHK2706</t>
  </si>
  <si>
    <t>AKHK2731</t>
  </si>
  <si>
    <t>CASH2733</t>
  </si>
  <si>
    <t>DBD82220215</t>
  </si>
  <si>
    <t>DBD82220216</t>
  </si>
  <si>
    <t>DBD82220217</t>
  </si>
  <si>
    <t>DBD82220218</t>
  </si>
  <si>
    <t>DBD82220219</t>
  </si>
  <si>
    <t>DBD82220220</t>
  </si>
  <si>
    <t>DBD82220221</t>
  </si>
  <si>
    <t>DBD82220222</t>
  </si>
  <si>
    <t>DBD82220224</t>
  </si>
  <si>
    <t>DBD82220225</t>
  </si>
  <si>
    <t>DBD82220226</t>
  </si>
  <si>
    <t>DBD82220227</t>
  </si>
  <si>
    <t>DBD82220228</t>
  </si>
  <si>
    <t>DBD82220229</t>
  </si>
  <si>
    <t>DBD82220230</t>
  </si>
  <si>
    <t>S6T67602</t>
  </si>
  <si>
    <t>CA192_ENA</t>
  </si>
  <si>
    <t>CA193</t>
  </si>
  <si>
    <t>CA194_ENA</t>
  </si>
  <si>
    <t>CA195</t>
  </si>
  <si>
    <t>CA21</t>
  </si>
  <si>
    <t>1720FH120312</t>
  </si>
  <si>
    <t>1562RH145966</t>
  </si>
  <si>
    <t>1760RH129405</t>
  </si>
  <si>
    <t>1720FH120187</t>
  </si>
  <si>
    <t>1720FH121359</t>
  </si>
  <si>
    <t>1562RH143045</t>
  </si>
  <si>
    <t>1562RCF01076</t>
  </si>
  <si>
    <t>1520FCF00088</t>
  </si>
  <si>
    <t>1720F3320049</t>
  </si>
  <si>
    <t>1562RH131824</t>
  </si>
  <si>
    <t>1562RH153240</t>
  </si>
  <si>
    <t>1562RH153219</t>
  </si>
  <si>
    <t>1562RH153217</t>
  </si>
  <si>
    <t>1562RH153221</t>
  </si>
  <si>
    <t>1378FDC03856</t>
  </si>
  <si>
    <t>1868RIP00259</t>
  </si>
  <si>
    <t>1828FIP00650</t>
  </si>
  <si>
    <t>1828FIP00651</t>
  </si>
  <si>
    <t>1828FIP00652</t>
  </si>
  <si>
    <t>1828FIP00653</t>
  </si>
  <si>
    <t>1828FIP00654</t>
  </si>
  <si>
    <t>1828FIP00655</t>
  </si>
  <si>
    <t>1828FIP00656</t>
  </si>
  <si>
    <t>1828FIP00657</t>
  </si>
  <si>
    <t>1828FIP00659</t>
  </si>
  <si>
    <t>1828FIP00660</t>
  </si>
  <si>
    <t>1828FIP00661</t>
  </si>
  <si>
    <t>1828FIP00662</t>
  </si>
  <si>
    <t>1828FIP00663</t>
  </si>
  <si>
    <t>1828FIP00664</t>
  </si>
  <si>
    <t>1828FIP00665</t>
  </si>
  <si>
    <t>5300154223</t>
  </si>
  <si>
    <t>1520FH122730</t>
  </si>
  <si>
    <t>1720FH121858</t>
  </si>
  <si>
    <t>1520FH122729</t>
  </si>
  <si>
    <t>1520FCF00931</t>
  </si>
  <si>
    <t>6921</t>
  </si>
  <si>
    <t>Maroslele</t>
  </si>
  <si>
    <t>1201</t>
  </si>
  <si>
    <t>3127</t>
  </si>
  <si>
    <t>Kazár</t>
  </si>
  <si>
    <t>Pécs-Újmecsekalja</t>
  </si>
  <si>
    <t>Kossuth L. u. 32.</t>
  </si>
  <si>
    <t>Teréz krt. 24.</t>
  </si>
  <si>
    <t>József krt. 27.</t>
  </si>
  <si>
    <t>Eötvös József u. 39.</t>
  </si>
  <si>
    <t>Belgrád rakpart 23.</t>
  </si>
  <si>
    <t>Semmelweis u. 1.</t>
  </si>
  <si>
    <t>Kossuth Lajos út 17.</t>
  </si>
  <si>
    <t>Páhy u. 21/b</t>
  </si>
  <si>
    <t>Rákóczi út 63.</t>
  </si>
  <si>
    <t>Budai u. 1.</t>
  </si>
  <si>
    <t>Örs vezér tere 25/a</t>
  </si>
  <si>
    <t>Feszty Árpád u. 1.</t>
  </si>
  <si>
    <t>Kossuth tér 3/a</t>
  </si>
  <si>
    <t>Széchenyi tér 13.</t>
  </si>
  <si>
    <t>Ybl u. 7/3</t>
  </si>
  <si>
    <t>Kőrösi Csoma sétány 6.</t>
  </si>
  <si>
    <t>Újlaki u. 2.</t>
  </si>
  <si>
    <t>Ady Endre út 5.</t>
  </si>
  <si>
    <t>Dunavirág u. 2-6.</t>
  </si>
  <si>
    <t>Neumann János u.</t>
  </si>
  <si>
    <t>BéZé Banktechnika</t>
  </si>
  <si>
    <t>S01225</t>
  </si>
  <si>
    <t>S6T71821_BZ</t>
  </si>
  <si>
    <t>AKHB2102</t>
  </si>
  <si>
    <t>AKHB2123</t>
  </si>
  <si>
    <t>AKHB2144</t>
  </si>
  <si>
    <t>AKHB2172</t>
  </si>
  <si>
    <t>AKHB2250</t>
  </si>
  <si>
    <t>AKHB2309</t>
  </si>
  <si>
    <t>AKHB2310</t>
  </si>
  <si>
    <t>AKHB2327</t>
  </si>
  <si>
    <t>AKHB2362</t>
  </si>
  <si>
    <t>AKHB2571</t>
  </si>
  <si>
    <t>AKHB2596</t>
  </si>
  <si>
    <t>AKHB2597</t>
  </si>
  <si>
    <t>AKHB2609</t>
  </si>
  <si>
    <t>CASH2312</t>
  </si>
  <si>
    <t>DBD82220231</t>
  </si>
  <si>
    <t>DBD82220232</t>
  </si>
  <si>
    <t>1562RH143037</t>
  </si>
  <si>
    <t>XXS6T71821_BZ</t>
  </si>
  <si>
    <t>1522FH119147</t>
  </si>
  <si>
    <t>1522FH119149</t>
  </si>
  <si>
    <t>1522FH113842</t>
  </si>
  <si>
    <t>1522FH119150</t>
  </si>
  <si>
    <t>1522FH119155</t>
  </si>
  <si>
    <t>1522FH119157</t>
  </si>
  <si>
    <t>1522FH113847</t>
  </si>
  <si>
    <t>1522FH113857</t>
  </si>
  <si>
    <t>1522FH113837</t>
  </si>
  <si>
    <t>1522FH113838</t>
  </si>
  <si>
    <t>1522FH113833</t>
  </si>
  <si>
    <t>1522FH113834</t>
  </si>
  <si>
    <t>1522FH113844</t>
  </si>
  <si>
    <t>1828FIP00931</t>
  </si>
  <si>
    <t>1828FIP00666</t>
  </si>
  <si>
    <t>1828FIP00667</t>
  </si>
  <si>
    <t>7186</t>
  </si>
  <si>
    <t>Aparhant</t>
  </si>
  <si>
    <t>7773</t>
  </si>
  <si>
    <t>Villány</t>
  </si>
  <si>
    <t>Erzsébet királyné útja 30/b</t>
  </si>
  <si>
    <t>Kossuth u. 32.</t>
  </si>
  <si>
    <t>Antal György u. 3.</t>
  </si>
  <si>
    <t>Szabadsag u. 38.</t>
  </si>
  <si>
    <t>Schweidel J. u. 52.</t>
  </si>
  <si>
    <t>Posta u. 63.</t>
  </si>
  <si>
    <t>Dózsa Gy. u. 4.</t>
  </si>
  <si>
    <t>Park tér 1.</t>
  </si>
  <si>
    <t>Baross G. u. 36-38.</t>
  </si>
  <si>
    <t>Bethlen G. u. 1/a</t>
  </si>
  <si>
    <t>CIB - ATM685</t>
  </si>
  <si>
    <t>CIB - ATM686</t>
  </si>
  <si>
    <t>S06083</t>
  </si>
  <si>
    <t>DBD82220233</t>
  </si>
  <si>
    <t>DBD82220234</t>
  </si>
  <si>
    <t>DBD82220235</t>
  </si>
  <si>
    <t>CINEO C4040 Rearload</t>
  </si>
  <si>
    <t>CINEO C4060 Frontload</t>
  </si>
  <si>
    <t>5310011303</t>
  </si>
  <si>
    <t>5310011330</t>
  </si>
  <si>
    <t>5310152318</t>
  </si>
  <si>
    <t>1562RH143033</t>
  </si>
  <si>
    <t>1828FIP00668</t>
  </si>
  <si>
    <t>1828FIP00669</t>
  </si>
  <si>
    <t>1828FIP00670</t>
  </si>
  <si>
    <t>9011</t>
  </si>
  <si>
    <t>Váci út 1-3. Pollack Mihály sétány 19.</t>
  </si>
  <si>
    <t>Egressy Béni út 80.</t>
  </si>
  <si>
    <t>Kassai u. 16.</t>
  </si>
  <si>
    <t>CIB - ATM604</t>
  </si>
  <si>
    <t>S01203</t>
  </si>
  <si>
    <t>S6T71830</t>
  </si>
  <si>
    <t>DBD82220236</t>
  </si>
  <si>
    <t>DBD82220238</t>
  </si>
  <si>
    <t>DBD82220239</t>
  </si>
  <si>
    <t>CA157</t>
  </si>
  <si>
    <t>1750F3320060</t>
  </si>
  <si>
    <t>1520FCF00236</t>
  </si>
  <si>
    <t>1562RH129340</t>
  </si>
  <si>
    <t>1828FIP00671</t>
  </si>
  <si>
    <t>1828FIP00672</t>
  </si>
  <si>
    <t>1828FIP00673</t>
  </si>
  <si>
    <t>1828FIP00674</t>
  </si>
  <si>
    <t>1520FH124926</t>
  </si>
  <si>
    <t>Báta</t>
  </si>
  <si>
    <t>Robert Bosch u. 3.</t>
  </si>
  <si>
    <t>Fő u. 182.</t>
  </si>
  <si>
    <t>Szabadság út 33.</t>
  </si>
  <si>
    <t>Rákóczi fejedelem u. 44.</t>
  </si>
  <si>
    <t>Avalon u. 4.</t>
  </si>
  <si>
    <t>1720FH122668</t>
  </si>
  <si>
    <t>Szent István krt. 16.</t>
  </si>
  <si>
    <t>S01226</t>
  </si>
  <si>
    <t>S01227</t>
  </si>
  <si>
    <t>S09131_ENA</t>
  </si>
  <si>
    <t>AKHB2122</t>
  </si>
  <si>
    <t>AKHB2317</t>
  </si>
  <si>
    <t>AKHK2086</t>
  </si>
  <si>
    <t>AKHK2148</t>
  </si>
  <si>
    <t>AKHK2189</t>
  </si>
  <si>
    <t>AKHK2761</t>
  </si>
  <si>
    <t>CASH2555</t>
  </si>
  <si>
    <t>CASH2753</t>
  </si>
  <si>
    <t>CASH2762</t>
  </si>
  <si>
    <t>S6T55114</t>
  </si>
  <si>
    <t>S6T74511</t>
  </si>
  <si>
    <t>DBD82220048</t>
  </si>
  <si>
    <t>DBD82220172</t>
  </si>
  <si>
    <t>DBD82220240</t>
  </si>
  <si>
    <t>DBD82220241</t>
  </si>
  <si>
    <t>DBD82220242</t>
  </si>
  <si>
    <t>DBD82220243</t>
  </si>
  <si>
    <t>DBD82220244</t>
  </si>
  <si>
    <t>DBD82220245</t>
  </si>
  <si>
    <t>1520FCF00922</t>
  </si>
  <si>
    <t>1520F3305873</t>
  </si>
  <si>
    <t>1522FH113853</t>
  </si>
  <si>
    <t>1562RH153191</t>
  </si>
  <si>
    <t>1562RH153216</t>
  </si>
  <si>
    <t>1562RH153231</t>
  </si>
  <si>
    <t>1868RIP00252</t>
  </si>
  <si>
    <t>1828FIP00987</t>
  </si>
  <si>
    <t>5300118332</t>
  </si>
  <si>
    <t>1828FH101736</t>
  </si>
  <si>
    <t>1828FH102214</t>
  </si>
  <si>
    <t>1828FIP00675</t>
  </si>
  <si>
    <t>1828FIP00676</t>
  </si>
  <si>
    <t>1828FIP00893</t>
  </si>
  <si>
    <t>1828FIP00894</t>
  </si>
  <si>
    <t>1828FIP00895</t>
  </si>
  <si>
    <t>1828FIP00896</t>
  </si>
  <si>
    <t>4275</t>
  </si>
  <si>
    <t>Monostorpályi</t>
  </si>
  <si>
    <t>4142</t>
  </si>
  <si>
    <t>Zsáka</t>
  </si>
  <si>
    <t>3032</t>
  </si>
  <si>
    <t>Apc</t>
  </si>
  <si>
    <t>3500</t>
  </si>
  <si>
    <t>6087</t>
  </si>
  <si>
    <t>Dunavecse</t>
  </si>
  <si>
    <t>1183</t>
  </si>
  <si>
    <t>Könyves Kálmán krt. 36.</t>
  </si>
  <si>
    <t>Alkotás u. 55-61.</t>
  </si>
  <si>
    <t>Landler tér 4.</t>
  </si>
  <si>
    <t>Ferihegyi út 74.</t>
  </si>
  <si>
    <t>Gutenberg u. 1.</t>
  </si>
  <si>
    <t>Erzsébet királyné u. 11.</t>
  </si>
  <si>
    <t>Fő u. 40.</t>
  </si>
  <si>
    <t>Vasút u. 4/a</t>
  </si>
  <si>
    <t>Köztársaság útja 111.</t>
  </si>
  <si>
    <t>Széchenyi tér 21.</t>
  </si>
  <si>
    <t>Gyömrői út 79-83.</t>
  </si>
  <si>
    <t>S6T65218</t>
  </si>
  <si>
    <t>AKHB2388</t>
  </si>
  <si>
    <t>AKHB2631</t>
  </si>
  <si>
    <t>AKHB2770</t>
  </si>
  <si>
    <t>AKHB2775</t>
  </si>
  <si>
    <t>AKHB2778</t>
  </si>
  <si>
    <t>AKHB2785</t>
  </si>
  <si>
    <t>AKHK2748</t>
  </si>
  <si>
    <t>CASH2763</t>
  </si>
  <si>
    <t>CASH2764</t>
  </si>
  <si>
    <t>CAST2990</t>
  </si>
  <si>
    <t>TESAT908</t>
  </si>
  <si>
    <t>S6T51009</t>
  </si>
  <si>
    <t>S6T53312</t>
  </si>
  <si>
    <t>S6T54508</t>
  </si>
  <si>
    <t>S6T56909</t>
  </si>
  <si>
    <t>S6T59526</t>
  </si>
  <si>
    <t>S6T60624</t>
  </si>
  <si>
    <t>S6T66010</t>
  </si>
  <si>
    <t>S6T68813</t>
  </si>
  <si>
    <t>S6T69818</t>
  </si>
  <si>
    <t>S6T73618</t>
  </si>
  <si>
    <t>S6T73620</t>
  </si>
  <si>
    <t>S6T74015</t>
  </si>
  <si>
    <t>DBD82220246</t>
  </si>
  <si>
    <t>DBD82220247</t>
  </si>
  <si>
    <t>S6T59902</t>
  </si>
  <si>
    <t>S6T60625</t>
  </si>
  <si>
    <t>MTB Magyar Takarékszövetkezeti Bank</t>
  </si>
  <si>
    <t>ProCash 285</t>
  </si>
  <si>
    <t>1562RH130872</t>
  </si>
  <si>
    <t>1520FCF00288</t>
  </si>
  <si>
    <t>1522FH105400</t>
  </si>
  <si>
    <t>1562RH153190</t>
  </si>
  <si>
    <t>1522FH105401</t>
  </si>
  <si>
    <t>1522FH105402</t>
  </si>
  <si>
    <t>1562RH153215</t>
  </si>
  <si>
    <t>1828FIP00986</t>
  </si>
  <si>
    <t>1378FDC03857</t>
  </si>
  <si>
    <t>1378FDC03854</t>
  </si>
  <si>
    <t>5300829108</t>
  </si>
  <si>
    <t>1720F3301939</t>
  </si>
  <si>
    <t>1562RH159080</t>
  </si>
  <si>
    <t>1562RH127792</t>
  </si>
  <si>
    <t>1562RH159124</t>
  </si>
  <si>
    <t>56DY300026</t>
  </si>
  <si>
    <t>1562RH159082</t>
  </si>
  <si>
    <t>1562RH131286</t>
  </si>
  <si>
    <t>1562RH159081</t>
  </si>
  <si>
    <t>1562RH135623</t>
  </si>
  <si>
    <t>1562R3320352</t>
  </si>
  <si>
    <t>56DY300087</t>
  </si>
  <si>
    <t>1562RH131302</t>
  </si>
  <si>
    <t>1562RH159125</t>
  </si>
  <si>
    <t>1828FIP00897</t>
  </si>
  <si>
    <t>1828FIP00898</t>
  </si>
  <si>
    <t>5051</t>
  </si>
  <si>
    <t>Zagyvarékas</t>
  </si>
  <si>
    <t>3013</t>
  </si>
  <si>
    <t>Ecséd</t>
  </si>
  <si>
    <t>5945</t>
  </si>
  <si>
    <t>Kardoskút</t>
  </si>
  <si>
    <t>6728</t>
  </si>
  <si>
    <t>4000</t>
  </si>
  <si>
    <t>4405</t>
  </si>
  <si>
    <t>4071</t>
  </si>
  <si>
    <t>Hortobágy</t>
  </si>
  <si>
    <t>4135</t>
  </si>
  <si>
    <t>Kőrösszegapáti</t>
  </si>
  <si>
    <t>Fekete Lajos u. 1.</t>
  </si>
  <si>
    <t>Szabadság u. 139.</t>
  </si>
  <si>
    <t>Kossuth tér 11.</t>
  </si>
  <si>
    <t>Korányi Frigyes u. 5.</t>
  </si>
  <si>
    <t>Gróf Teleki József u. 2.</t>
  </si>
  <si>
    <t>Andrássy út 29-33.</t>
  </si>
  <si>
    <t>Széchenyi u. 70.</t>
  </si>
  <si>
    <t>Kollégiumi út 6.</t>
  </si>
  <si>
    <t>Fő utca 86.</t>
  </si>
  <si>
    <t>Bethlen G. u. 6-8.</t>
  </si>
  <si>
    <t>Lujza u. 20.</t>
  </si>
  <si>
    <t>Budai u. 42.</t>
  </si>
  <si>
    <t>Kossuth L. u. 6-8.</t>
  </si>
  <si>
    <t>Kossuth u. 46.</t>
  </si>
  <si>
    <t>Farkas Szilárd</t>
  </si>
  <si>
    <t>AKHB2750</t>
  </si>
  <si>
    <t>AKHB2850</t>
  </si>
  <si>
    <t>AKHK2759</t>
  </si>
  <si>
    <t>CASH2848</t>
  </si>
  <si>
    <t>CASH2849</t>
  </si>
  <si>
    <t>S6T66909</t>
  </si>
  <si>
    <t>S6T50415</t>
  </si>
  <si>
    <t>DBD82220248</t>
  </si>
  <si>
    <t>DBD82220249</t>
  </si>
  <si>
    <t>S6T60626</t>
  </si>
  <si>
    <t>1522FH113835</t>
  </si>
  <si>
    <t>1828FIP00930</t>
  </si>
  <si>
    <t>1378FDC03862</t>
  </si>
  <si>
    <t>1562RH155237</t>
  </si>
  <si>
    <t>1828FIP00899</t>
  </si>
  <si>
    <t>1828FIP00900</t>
  </si>
  <si>
    <t>5300187123</t>
  </si>
  <si>
    <t>4558</t>
  </si>
  <si>
    <t>Ófehértó</t>
  </si>
  <si>
    <t>Ady Endre u. 19 .</t>
  </si>
  <si>
    <t>Árpád u. 25.</t>
  </si>
  <si>
    <t>Dumtsa J. u. 6.</t>
  </si>
  <si>
    <t>Váci út 17</t>
  </si>
  <si>
    <t>Alkotmány út 58.</t>
  </si>
  <si>
    <t>S01228</t>
  </si>
  <si>
    <t>1562RH127310</t>
  </si>
  <si>
    <t>Hungária krt. 40-44.</t>
  </si>
  <si>
    <t>XXAS6T57608</t>
  </si>
  <si>
    <t>1562RH145968</t>
  </si>
  <si>
    <t>5300005109</t>
  </si>
  <si>
    <t>1562RCF00950</t>
  </si>
  <si>
    <t>5300450974</t>
  </si>
  <si>
    <t>5300095579</t>
  </si>
  <si>
    <t>5300536252</t>
  </si>
  <si>
    <t>5300216494</t>
  </si>
  <si>
    <t>562RRH100424</t>
  </si>
  <si>
    <t>CINEO C4060 Rearload</t>
  </si>
  <si>
    <t>5310151653</t>
  </si>
  <si>
    <t>5310011368</t>
  </si>
  <si>
    <t>5310151629</t>
  </si>
  <si>
    <t>CINEO C4560</t>
  </si>
  <si>
    <t>5310152889</t>
  </si>
  <si>
    <t>5310152700</t>
  </si>
  <si>
    <t>5310152343</t>
  </si>
  <si>
    <t>5310011429</t>
  </si>
  <si>
    <t>5310152697</t>
  </si>
  <si>
    <t>5300057613</t>
  </si>
  <si>
    <t>1760RH121978</t>
  </si>
  <si>
    <t>1520FCF00099</t>
  </si>
  <si>
    <t>1520F3305876</t>
  </si>
  <si>
    <t>1720F3320052</t>
  </si>
  <si>
    <t>1562RH126040</t>
  </si>
  <si>
    <t>1720FH120193</t>
  </si>
  <si>
    <t>1520FCF00089</t>
  </si>
  <si>
    <t>1520FCF00925</t>
  </si>
  <si>
    <t>1520F3305872</t>
  </si>
  <si>
    <t>1522FH106943</t>
  </si>
  <si>
    <t>1520FH122419</t>
  </si>
  <si>
    <t>1720FH121357</t>
  </si>
  <si>
    <t>5300032755</t>
  </si>
  <si>
    <t>1562RH139004</t>
  </si>
  <si>
    <t>1828FH101968</t>
  </si>
  <si>
    <t>1828FH101958</t>
  </si>
  <si>
    <t>1522FH119114</t>
  </si>
  <si>
    <t>1828FH101961</t>
  </si>
  <si>
    <t>1750F3320015</t>
  </si>
  <si>
    <t>1868RH101219</t>
  </si>
  <si>
    <t>1562RH153241</t>
  </si>
  <si>
    <t>1828FH101967</t>
  </si>
  <si>
    <t>1760RH128260</t>
  </si>
  <si>
    <t>1562RH145752</t>
  </si>
  <si>
    <t>1760RH123965</t>
  </si>
  <si>
    <t>1828FH101757</t>
  </si>
  <si>
    <t>5300002841</t>
  </si>
  <si>
    <t>5300225660</t>
  </si>
  <si>
    <t>5300735222</t>
  </si>
  <si>
    <t>5300403652</t>
  </si>
  <si>
    <t>5300095581</t>
  </si>
  <si>
    <t>5300478309</t>
  </si>
  <si>
    <t>5300270887</t>
  </si>
  <si>
    <t>6101399789</t>
  </si>
  <si>
    <t>5300150776</t>
  </si>
  <si>
    <t>5300342402</t>
  </si>
  <si>
    <t>5300476859</t>
  </si>
  <si>
    <t>5300136431</t>
  </si>
  <si>
    <t>5300280569</t>
  </si>
  <si>
    <t>5300735182</t>
  </si>
  <si>
    <t>5300127262</t>
  </si>
  <si>
    <t>5300216516</t>
  </si>
  <si>
    <t>5300476863</t>
  </si>
  <si>
    <t>5300095396</t>
  </si>
  <si>
    <t>1520FH124921</t>
  </si>
  <si>
    <t>1828FH102263</t>
  </si>
  <si>
    <t>1868RIP00261</t>
  </si>
  <si>
    <t>1760RH120539</t>
  </si>
  <si>
    <t>1522FH113848</t>
  </si>
  <si>
    <t>S6T66011</t>
  </si>
  <si>
    <t>S01180</t>
  </si>
  <si>
    <t>S01229</t>
  </si>
  <si>
    <t>S04051</t>
  </si>
  <si>
    <t>S06084_ENA</t>
  </si>
  <si>
    <t>S6T50416</t>
  </si>
  <si>
    <t>DBD82220250</t>
  </si>
  <si>
    <t>DBD82220251</t>
  </si>
  <si>
    <t>DBD82220252</t>
  </si>
  <si>
    <t>1562RH145753</t>
  </si>
  <si>
    <t>1562RH140524</t>
  </si>
  <si>
    <t>1562RH127302</t>
  </si>
  <si>
    <t>1760RH120562</t>
  </si>
  <si>
    <t>1760R3320541</t>
  </si>
  <si>
    <t>1562RH142488</t>
  </si>
  <si>
    <t>1828FIP00901</t>
  </si>
  <si>
    <t>1828FIP00902</t>
  </si>
  <si>
    <t>1828FIP00903</t>
  </si>
  <si>
    <t>3372</t>
  </si>
  <si>
    <t>Kömlő</t>
  </si>
  <si>
    <t>1120</t>
  </si>
  <si>
    <t>Fő út 8/b</t>
  </si>
  <si>
    <t>Árpád u. 183-185.</t>
  </si>
  <si>
    <t>Bem u. 2-3.</t>
  </si>
  <si>
    <t>Fogarasi út 15/b</t>
  </si>
  <si>
    <t>ok</t>
  </si>
  <si>
    <t>Check</t>
  </si>
  <si>
    <t>S01082_ENA</t>
  </si>
  <si>
    <t>CASH2019_R</t>
  </si>
  <si>
    <t>CASH2022_R</t>
  </si>
  <si>
    <t>CASH2024_R</t>
  </si>
  <si>
    <t>CASH2035_R</t>
  </si>
  <si>
    <t>CASH2042_R</t>
  </si>
  <si>
    <t>CASH2051_R</t>
  </si>
  <si>
    <t>CASH2056_R</t>
  </si>
  <si>
    <t>CASH2064_R</t>
  </si>
  <si>
    <t>CASH2075_R</t>
  </si>
  <si>
    <t>CASH2089_R</t>
  </si>
  <si>
    <t>CASH2095_R</t>
  </si>
  <si>
    <t>CASH2103_R</t>
  </si>
  <si>
    <t>CASH2111_R</t>
  </si>
  <si>
    <t>CASH2127_R</t>
  </si>
  <si>
    <t>CASH2129_R</t>
  </si>
  <si>
    <t>CASH2131_R</t>
  </si>
  <si>
    <t>CASH2150_R</t>
  </si>
  <si>
    <t>CASH2153_R</t>
  </si>
  <si>
    <t>CASH2156_R</t>
  </si>
  <si>
    <t>CASH2159_R</t>
  </si>
  <si>
    <t>CASH2190_R</t>
  </si>
  <si>
    <t>CASH2216_R</t>
  </si>
  <si>
    <t>CASH2218_R</t>
  </si>
  <si>
    <t>CASH2224_R</t>
  </si>
  <si>
    <t>CASH2227_R</t>
  </si>
  <si>
    <t>CASH2228_R</t>
  </si>
  <si>
    <t>CASH2238_R</t>
  </si>
  <si>
    <t>CASH2265_R</t>
  </si>
  <si>
    <t>CASH2273_R</t>
  </si>
  <si>
    <t>CASH2274_R</t>
  </si>
  <si>
    <t>CASH2285_R</t>
  </si>
  <si>
    <t>CASH2287_R</t>
  </si>
  <si>
    <t>CASH2290_R</t>
  </si>
  <si>
    <t>CASH2314_R</t>
  </si>
  <si>
    <t>CASH2318_R</t>
  </si>
  <si>
    <t>CASH2484_R</t>
  </si>
  <si>
    <t>CASH2501_R</t>
  </si>
  <si>
    <t>CASH2524_R</t>
  </si>
  <si>
    <t>CASH2536_R</t>
  </si>
  <si>
    <t>CASH2580_R</t>
  </si>
  <si>
    <t>CASH2623_R</t>
  </si>
  <si>
    <t>CASH2628_R</t>
  </si>
  <si>
    <t>CASH2711_R</t>
  </si>
  <si>
    <t>CA84_ENA</t>
  </si>
  <si>
    <t>5310152694</t>
  </si>
  <si>
    <t>Zalaszentlászló</t>
  </si>
  <si>
    <t>1025</t>
  </si>
  <si>
    <t>Medve u. 4-14</t>
  </si>
  <si>
    <t>Bajcsy Zs. u. 75.</t>
  </si>
  <si>
    <t>Kossuth L. u. 18.</t>
  </si>
  <si>
    <t>Petőfi Sándor u. 60.</t>
  </si>
  <si>
    <t>Rákóczi Ferenc u. 2.</t>
  </si>
  <si>
    <t>Kossut L. u. 37/b</t>
  </si>
  <si>
    <t>Rákóczi Ferenc u. 12.</t>
  </si>
  <si>
    <t>Lehel út 70-76.</t>
  </si>
  <si>
    <t>Kossuth L. u. 92.</t>
  </si>
  <si>
    <t>BB071000</t>
  </si>
  <si>
    <t>S01230_ENA</t>
  </si>
  <si>
    <t>AKHB2714</t>
  </si>
  <si>
    <t>AKHK2677</t>
  </si>
  <si>
    <t>S6T54601</t>
  </si>
  <si>
    <t>S6T54603</t>
  </si>
  <si>
    <t>S6T54604</t>
  </si>
  <si>
    <t>S6T54606</t>
  </si>
  <si>
    <t>S6T54607</t>
  </si>
  <si>
    <t>S6T54608</t>
  </si>
  <si>
    <t>S6T54609</t>
  </si>
  <si>
    <t>S6T54612</t>
  </si>
  <si>
    <t>S6T54613</t>
  </si>
  <si>
    <t>S6T54614</t>
  </si>
  <si>
    <t>S6T54616</t>
  </si>
  <si>
    <t>S6T54617</t>
  </si>
  <si>
    <t>S6T54618</t>
  </si>
  <si>
    <t>S6T54619</t>
  </si>
  <si>
    <t>S6T54620</t>
  </si>
  <si>
    <t>S6T54622</t>
  </si>
  <si>
    <t>S6T54623</t>
  </si>
  <si>
    <t>S6T54626</t>
  </si>
  <si>
    <t>S6T54627</t>
  </si>
  <si>
    <t>S6T54628</t>
  </si>
  <si>
    <t>S6T54629</t>
  </si>
  <si>
    <t>S6T56802</t>
  </si>
  <si>
    <t>S6T56803</t>
  </si>
  <si>
    <t>S6T56908</t>
  </si>
  <si>
    <t>S6T57413</t>
  </si>
  <si>
    <t>S6T57603</t>
  </si>
  <si>
    <t>S6T57604</t>
  </si>
  <si>
    <t>S6T57609</t>
  </si>
  <si>
    <t>S6T66904</t>
  </si>
  <si>
    <t>S6T69501</t>
  </si>
  <si>
    <t>S6T69503</t>
  </si>
  <si>
    <t>S6T69504</t>
  </si>
  <si>
    <t>S6T69505</t>
  </si>
  <si>
    <t>S6T69506</t>
  </si>
  <si>
    <t>S6T69507</t>
  </si>
  <si>
    <t>S6T69508</t>
  </si>
  <si>
    <t>S6T69510</t>
  </si>
  <si>
    <t>S6T69802</t>
  </si>
  <si>
    <t>S6T69803</t>
  </si>
  <si>
    <t>S6T69804</t>
  </si>
  <si>
    <t>S6T69807</t>
  </si>
  <si>
    <t>S6T69809</t>
  </si>
  <si>
    <t>S6T69811</t>
  </si>
  <si>
    <t>S6T69813</t>
  </si>
  <si>
    <t>S6T69814</t>
  </si>
  <si>
    <t>S6T70101</t>
  </si>
  <si>
    <t>S6T70103</t>
  </si>
  <si>
    <t>S6T70104</t>
  </si>
  <si>
    <t>S6T70105</t>
  </si>
  <si>
    <t>S6T70106</t>
  </si>
  <si>
    <t>S6T70107</t>
  </si>
  <si>
    <t>S6T70108</t>
  </si>
  <si>
    <t>S6T70110</t>
  </si>
  <si>
    <t>S6T70111</t>
  </si>
  <si>
    <t>S6T70113</t>
  </si>
  <si>
    <t>S6T70114</t>
  </si>
  <si>
    <t>S6T70307</t>
  </si>
  <si>
    <t>DBD82220253</t>
  </si>
  <si>
    <t>DBD82220254</t>
  </si>
  <si>
    <t>DBD82220255</t>
  </si>
  <si>
    <t>1760R3320586</t>
  </si>
  <si>
    <t>1522FH113860</t>
  </si>
  <si>
    <t>1562RH153214</t>
  </si>
  <si>
    <t>1828FH101960</t>
  </si>
  <si>
    <t>1828FH101959</t>
  </si>
  <si>
    <t>1828FH101965</t>
  </si>
  <si>
    <t>1828FH101846</t>
  </si>
  <si>
    <t>1828FH101966</t>
  </si>
  <si>
    <t>1828FH101963</t>
  </si>
  <si>
    <t>1828FH101962</t>
  </si>
  <si>
    <t>1828FH101970</t>
  </si>
  <si>
    <t>1828FIP00904</t>
  </si>
  <si>
    <t>1828FIP00905</t>
  </si>
  <si>
    <t>1828FIP00906</t>
  </si>
  <si>
    <t>6754</t>
  </si>
  <si>
    <t>Újszentiván</t>
  </si>
  <si>
    <t>7561</t>
  </si>
  <si>
    <t>Nagybajom</t>
  </si>
  <si>
    <t>Felszabadulás u. 7.</t>
  </si>
  <si>
    <t>Fő u. 176.</t>
  </si>
  <si>
    <t>Zrínyi u. 15.</t>
  </si>
  <si>
    <t>Dobó krt 15.</t>
  </si>
  <si>
    <t>Fő u. 1/b</t>
  </si>
  <si>
    <t>Petőfi Sándor u. 4.</t>
  </si>
  <si>
    <t>Petofi Sándor út. 41/b</t>
  </si>
  <si>
    <t>Kőhíd u. 6.</t>
  </si>
  <si>
    <t>Kiskunság tér 1.</t>
  </si>
  <si>
    <t>Táncsics út 2.</t>
  </si>
  <si>
    <t>Kossuth út 93.</t>
  </si>
  <si>
    <t>Községház út 38.</t>
  </si>
  <si>
    <t>Kassai út 28.</t>
  </si>
  <si>
    <t>Mátyás király út 9.</t>
  </si>
  <si>
    <t>Kossuth L. út 179</t>
  </si>
  <si>
    <t>Rákóczi út 1/a</t>
  </si>
  <si>
    <t>Kossuth utca 55.</t>
  </si>
  <si>
    <t>Mátyás király út 70.</t>
  </si>
  <si>
    <t>Vörösmarty u. 43.</t>
  </si>
  <si>
    <t>Akácos u. 2/b</t>
  </si>
  <si>
    <t>Búvár u. 2.</t>
  </si>
  <si>
    <t>Kossuth u. 37/a</t>
  </si>
  <si>
    <t>Iskola u. 2.</t>
  </si>
  <si>
    <t>Tokaji u. 6.</t>
  </si>
  <si>
    <t>Bocskai tér 2/a</t>
  </si>
  <si>
    <t>Szentgyörgyfalvi u. 9.</t>
  </si>
  <si>
    <t>Mátyás király u. 29.</t>
  </si>
  <si>
    <t>Telepi út 50/a</t>
  </si>
  <si>
    <t>Malom u. 1/a</t>
  </si>
  <si>
    <t>Táncsics M. út 82.</t>
  </si>
  <si>
    <t>Fő u. 3.</t>
  </si>
  <si>
    <t>Rákóczi út 52/c</t>
  </si>
  <si>
    <t>Dózsa Gy. u. 42/a</t>
  </si>
  <si>
    <t>Honvéd u. 10.</t>
  </si>
  <si>
    <t>Kossuth L. u. 24.</t>
  </si>
  <si>
    <t>Kossuth u. 67.</t>
  </si>
  <si>
    <t>Kossuth u. 34/a</t>
  </si>
  <si>
    <t>Eötvös u. 22.</t>
  </si>
  <si>
    <t>Izsáki út 70.</t>
  </si>
  <si>
    <t>József Attila u. 24.</t>
  </si>
  <si>
    <t>Gödöllői u. 18/2</t>
  </si>
  <si>
    <t>Rákóczi u. 232.</t>
  </si>
  <si>
    <t>Rákóczi u. 1/a</t>
  </si>
  <si>
    <t>Damjanich u. 71.</t>
  </si>
  <si>
    <t>Fazekas J. tér 9/A</t>
  </si>
  <si>
    <t>Szent Erzsébet út 138.</t>
  </si>
  <si>
    <t>Kossuth L. út 146.</t>
  </si>
  <si>
    <t>Árpád út 4/2</t>
  </si>
  <si>
    <t>Petőfi tér 3-5.</t>
  </si>
  <si>
    <t>Krúdy Gyula u. 112.</t>
  </si>
  <si>
    <t>Fő út 79.</t>
  </si>
  <si>
    <t>Táncsics M. út 2.</t>
  </si>
  <si>
    <t>Petőfi S. u. 50.</t>
  </si>
  <si>
    <t>Batthyány u. 42/b</t>
  </si>
  <si>
    <t>Szabadság tér 4.</t>
  </si>
  <si>
    <t>Fő út 107.</t>
  </si>
  <si>
    <t>Szabadság u. 6.</t>
  </si>
  <si>
    <t>Kossuth L. u. 1-3.</t>
  </si>
  <si>
    <t>AKHB2841</t>
  </si>
  <si>
    <t>1522FH105403</t>
  </si>
  <si>
    <t>1828FH101964</t>
  </si>
  <si>
    <t>Fő út 158.</t>
  </si>
  <si>
    <t>BB085100</t>
  </si>
  <si>
    <t>BBF439</t>
  </si>
  <si>
    <t>BBF70200</t>
  </si>
  <si>
    <t>AKHK2813</t>
  </si>
  <si>
    <t>S6T11593</t>
  </si>
  <si>
    <t>S6T51101</t>
  </si>
  <si>
    <t>S6T51102</t>
  </si>
  <si>
    <t>S6T51702</t>
  </si>
  <si>
    <t>S6T51704</t>
  </si>
  <si>
    <t>S6T51706</t>
  </si>
  <si>
    <t>S6T51708</t>
  </si>
  <si>
    <t>S6T51709</t>
  </si>
  <si>
    <t>S6T51710</t>
  </si>
  <si>
    <t>S6T51711</t>
  </si>
  <si>
    <t>S6T51712</t>
  </si>
  <si>
    <t>S6T51713</t>
  </si>
  <si>
    <t>S6T51714</t>
  </si>
  <si>
    <t>S6T51715</t>
  </si>
  <si>
    <t>S6T51740</t>
  </si>
  <si>
    <t>S6T51741</t>
  </si>
  <si>
    <t>S6T51742</t>
  </si>
  <si>
    <t>S6T53302</t>
  </si>
  <si>
    <t>S6T53303</t>
  </si>
  <si>
    <t>S6T53304</t>
  </si>
  <si>
    <t>S6T53305</t>
  </si>
  <si>
    <t>S6T53306</t>
  </si>
  <si>
    <t>S6T53307</t>
  </si>
  <si>
    <t>S6T53308</t>
  </si>
  <si>
    <t>S6T53601</t>
  </si>
  <si>
    <t>S6T53701</t>
  </si>
  <si>
    <t>S6T53702</t>
  </si>
  <si>
    <t>S6T53704</t>
  </si>
  <si>
    <t>S6T54008</t>
  </si>
  <si>
    <t>S6T54304</t>
  </si>
  <si>
    <t>S6T54305</t>
  </si>
  <si>
    <t>S6T54306</t>
  </si>
  <si>
    <t>S6T54502</t>
  </si>
  <si>
    <t>S6T54503</t>
  </si>
  <si>
    <t>S6T54504</t>
  </si>
  <si>
    <t>S6T55401</t>
  </si>
  <si>
    <t>S6T55402</t>
  </si>
  <si>
    <t>S6T55403</t>
  </si>
  <si>
    <t>S6T55404</t>
  </si>
  <si>
    <t>S6T55406</t>
  </si>
  <si>
    <t>S6T55407</t>
  </si>
  <si>
    <t>S6T55408</t>
  </si>
  <si>
    <t>S6T55410</t>
  </si>
  <si>
    <t>S6T55411</t>
  </si>
  <si>
    <t>S6T55412</t>
  </si>
  <si>
    <t>S6T55413</t>
  </si>
  <si>
    <t>S6T55415</t>
  </si>
  <si>
    <t>S6T55601</t>
  </si>
  <si>
    <t>S6T55801</t>
  </si>
  <si>
    <t>S6T55802</t>
  </si>
  <si>
    <t>S6T55803</t>
  </si>
  <si>
    <t>S6T57220</t>
  </si>
  <si>
    <t>S6T57401</t>
  </si>
  <si>
    <t>S6T57403</t>
  </si>
  <si>
    <t>S6T57409</t>
  </si>
  <si>
    <t>S6T57808</t>
  </si>
  <si>
    <t>S6T59108</t>
  </si>
  <si>
    <t>S6T59504</t>
  </si>
  <si>
    <t>S6T59506</t>
  </si>
  <si>
    <t>S6T59512</t>
  </si>
  <si>
    <t>S6T59514</t>
  </si>
  <si>
    <t>S6T59515</t>
  </si>
  <si>
    <t>S6T59516</t>
  </si>
  <si>
    <t>S6T59517</t>
  </si>
  <si>
    <t>S6T59522</t>
  </si>
  <si>
    <t>S6T60303</t>
  </si>
  <si>
    <t>S6T60619</t>
  </si>
  <si>
    <t>S6T61601</t>
  </si>
  <si>
    <t>S6T61602</t>
  </si>
  <si>
    <t>S6T61911</t>
  </si>
  <si>
    <t>S6T62701</t>
  </si>
  <si>
    <t>S6T62816</t>
  </si>
  <si>
    <t>S6T63605</t>
  </si>
  <si>
    <t>S6T65122</t>
  </si>
  <si>
    <t>S6T65200</t>
  </si>
  <si>
    <t>S6T66008</t>
  </si>
  <si>
    <t>S6T66908</t>
  </si>
  <si>
    <t>S6T67002</t>
  </si>
  <si>
    <t>S6T68805</t>
  </si>
  <si>
    <t>S6T68806</t>
  </si>
  <si>
    <t>S6T69406</t>
  </si>
  <si>
    <t>S6T70301</t>
  </si>
  <si>
    <t>S6T70302</t>
  </si>
  <si>
    <t>S6T70303</t>
  </si>
  <si>
    <t>S6T70305</t>
  </si>
  <si>
    <t>S6T70306</t>
  </si>
  <si>
    <t>S6T70903</t>
  </si>
  <si>
    <t>S6T71810</t>
  </si>
  <si>
    <t>S6T71825</t>
  </si>
  <si>
    <t>S6T71831</t>
  </si>
  <si>
    <t>S6T71905</t>
  </si>
  <si>
    <t>S6T72113</t>
  </si>
  <si>
    <t>S6T72603</t>
  </si>
  <si>
    <t>S6T74008</t>
  </si>
  <si>
    <t>S6T74011</t>
  </si>
  <si>
    <t>S6T74012</t>
  </si>
  <si>
    <t>S6T74505</t>
  </si>
  <si>
    <t>DBD82220256</t>
  </si>
  <si>
    <t>DBD82220257</t>
  </si>
  <si>
    <t>DBD82220258</t>
  </si>
  <si>
    <t>DBD82220259</t>
  </si>
  <si>
    <t>DBD82220260</t>
  </si>
  <si>
    <t>ProCash Compact</t>
  </si>
  <si>
    <t>Diebold-Opteva 500 ATM</t>
  </si>
  <si>
    <t>1522FH118612</t>
  </si>
  <si>
    <t>1522FH118610</t>
  </si>
  <si>
    <t>1562RH153227</t>
  </si>
  <si>
    <t>5310150559</t>
  </si>
  <si>
    <t>5300006433</t>
  </si>
  <si>
    <t>SSB3213015</t>
  </si>
  <si>
    <t>XXS6T51702</t>
  </si>
  <si>
    <t>5300453208</t>
  </si>
  <si>
    <t>XXS6T51706</t>
  </si>
  <si>
    <t>5300116667</t>
  </si>
  <si>
    <t>5300113770</t>
  </si>
  <si>
    <t>5300221510</t>
  </si>
  <si>
    <t>5300141081</t>
  </si>
  <si>
    <t>5300242753</t>
  </si>
  <si>
    <t>5300242737</t>
  </si>
  <si>
    <t>5300307078</t>
  </si>
  <si>
    <t>5300278481</t>
  </si>
  <si>
    <t>5300150707</t>
  </si>
  <si>
    <t>XXS6T51741</t>
  </si>
  <si>
    <t>XXS6T51742</t>
  </si>
  <si>
    <t>XXS6T53302</t>
  </si>
  <si>
    <t>5300466341</t>
  </si>
  <si>
    <t>5300249974</t>
  </si>
  <si>
    <t>5300358124</t>
  </si>
  <si>
    <t>5300166949</t>
  </si>
  <si>
    <t>562RRH100023</t>
  </si>
  <si>
    <t>1760RCF00640</t>
  </si>
  <si>
    <t>1562RH133132</t>
  </si>
  <si>
    <t>1562RH144917</t>
  </si>
  <si>
    <t>XXS6T54304</t>
  </si>
  <si>
    <t>5300214620</t>
  </si>
  <si>
    <t>5300214619</t>
  </si>
  <si>
    <t>5300095397</t>
  </si>
  <si>
    <t>5300129569</t>
  </si>
  <si>
    <t>5300249865</t>
  </si>
  <si>
    <t>6100785098</t>
  </si>
  <si>
    <t>5300204194</t>
  </si>
  <si>
    <t>SSB3211077</t>
  </si>
  <si>
    <t>5300204188</t>
  </si>
  <si>
    <t>5300071668</t>
  </si>
  <si>
    <t>5300071667</t>
  </si>
  <si>
    <t>5300084505</t>
  </si>
  <si>
    <t>5300162412</t>
  </si>
  <si>
    <t>5300611904</t>
  </si>
  <si>
    <t>5300611790</t>
  </si>
  <si>
    <t>5300611846</t>
  </si>
  <si>
    <t>XXS6T55415</t>
  </si>
  <si>
    <t>5300249968</t>
  </si>
  <si>
    <t>5300316432</t>
  </si>
  <si>
    <t>5300316414</t>
  </si>
  <si>
    <t>5300620561</t>
  </si>
  <si>
    <t>5300027282</t>
  </si>
  <si>
    <t>XXS6T57401</t>
  </si>
  <si>
    <t>6100304862</t>
  </si>
  <si>
    <t>5300027281</t>
  </si>
  <si>
    <t>6100195845</t>
  </si>
  <si>
    <t>1562RH129335</t>
  </si>
  <si>
    <t>1520F3306269</t>
  </si>
  <si>
    <t>1760RH120875</t>
  </si>
  <si>
    <t>1520F3305617</t>
  </si>
  <si>
    <t>1500F3320011</t>
  </si>
  <si>
    <t>1760RH120877</t>
  </si>
  <si>
    <t>1760RH120886</t>
  </si>
  <si>
    <t>1760RH120887</t>
  </si>
  <si>
    <t>1562RH141320</t>
  </si>
  <si>
    <t>XXS6T60303</t>
  </si>
  <si>
    <t>XXS6T60619</t>
  </si>
  <si>
    <t>SSB3216928</t>
  </si>
  <si>
    <t>5300454316</t>
  </si>
  <si>
    <t>5300379746</t>
  </si>
  <si>
    <t>SSB3212669</t>
  </si>
  <si>
    <t>XXS6T63605</t>
  </si>
  <si>
    <t>XXS6T65122</t>
  </si>
  <si>
    <t>1760RH122174</t>
  </si>
  <si>
    <t>5300527187</t>
  </si>
  <si>
    <t>XXS6T66908</t>
  </si>
  <si>
    <t>XXS6T67002</t>
  </si>
  <si>
    <t>XXS6T68805</t>
  </si>
  <si>
    <t>XXS6T68806</t>
  </si>
  <si>
    <t>1560R3301573</t>
  </si>
  <si>
    <t>5300278478</t>
  </si>
  <si>
    <t>5300162410</t>
  </si>
  <si>
    <t>5300226899</t>
  </si>
  <si>
    <t>5300383948</t>
  </si>
  <si>
    <t>XXS6T70306</t>
  </si>
  <si>
    <t>XXS6T70903</t>
  </si>
  <si>
    <t>XXS6T71810</t>
  </si>
  <si>
    <t>XXS6T71825</t>
  </si>
  <si>
    <t>XXS6T71831</t>
  </si>
  <si>
    <t>1522FH100302</t>
  </si>
  <si>
    <t>1760RCF00479</t>
  </si>
  <si>
    <t>XXS6T74008</t>
  </si>
  <si>
    <t>XXS6T74011</t>
  </si>
  <si>
    <t>XXS6T74012</t>
  </si>
  <si>
    <t>XXS6T74505</t>
  </si>
  <si>
    <t>1828FH102003</t>
  </si>
  <si>
    <t>1828FIP00908</t>
  </si>
  <si>
    <t>1828FIP00909</t>
  </si>
  <si>
    <t>1828FIP00910</t>
  </si>
  <si>
    <t>6447</t>
  </si>
  <si>
    <t>Felsőszentiván</t>
  </si>
  <si>
    <t>6131</t>
  </si>
  <si>
    <t>Szank</t>
  </si>
  <si>
    <t>6044</t>
  </si>
  <si>
    <t>Hetényegyháza</t>
  </si>
  <si>
    <t>6045</t>
  </si>
  <si>
    <t>6449</t>
  </si>
  <si>
    <t>Mélykút</t>
  </si>
  <si>
    <t>6112</t>
  </si>
  <si>
    <t>Pálmonostora</t>
  </si>
  <si>
    <t>6066</t>
  </si>
  <si>
    <t>Tiszaalpár</t>
  </si>
  <si>
    <t>6097</t>
  </si>
  <si>
    <t>Kunadacs</t>
  </si>
  <si>
    <t>Ladánybene</t>
  </si>
  <si>
    <t>6135</t>
  </si>
  <si>
    <t>Csólyospálos</t>
  </si>
  <si>
    <t>6134</t>
  </si>
  <si>
    <t>Kömpöc</t>
  </si>
  <si>
    <t>6077</t>
  </si>
  <si>
    <t>Orgovány</t>
  </si>
  <si>
    <t>6114</t>
  </si>
  <si>
    <t>Bugac</t>
  </si>
  <si>
    <t>5932</t>
  </si>
  <si>
    <t>Gádoros</t>
  </si>
  <si>
    <t>5931</t>
  </si>
  <si>
    <t>Nagyszénás</t>
  </si>
  <si>
    <t>5675</t>
  </si>
  <si>
    <t>Telekgerendás</t>
  </si>
  <si>
    <t>5662</t>
  </si>
  <si>
    <t>Csanádapáca</t>
  </si>
  <si>
    <t>5920</t>
  </si>
  <si>
    <t>Csorvás</t>
  </si>
  <si>
    <t>5946</t>
  </si>
  <si>
    <t>Békéssámson</t>
  </si>
  <si>
    <t>5553</t>
  </si>
  <si>
    <t>Kondoros</t>
  </si>
  <si>
    <t>5567</t>
  </si>
  <si>
    <t>Zsadány</t>
  </si>
  <si>
    <t>3794</t>
  </si>
  <si>
    <t>Boldva</t>
  </si>
  <si>
    <t>3786</t>
  </si>
  <si>
    <t>Lak</t>
  </si>
  <si>
    <t>3796</t>
  </si>
  <si>
    <t>Borsodszirák</t>
  </si>
  <si>
    <t>3564</t>
  </si>
  <si>
    <t>Hernádnémeti</t>
  </si>
  <si>
    <t>3571</t>
  </si>
  <si>
    <t>Alsózsolca</t>
  </si>
  <si>
    <t>3671</t>
  </si>
  <si>
    <t>Borsodnádasd</t>
  </si>
  <si>
    <t>3070</t>
  </si>
  <si>
    <t>Bátonyterenye</t>
  </si>
  <si>
    <t>3041</t>
  </si>
  <si>
    <t>Héhalom</t>
  </si>
  <si>
    <t>3182</t>
  </si>
  <si>
    <t>Karancslapujtő</t>
  </si>
  <si>
    <t>2688</t>
  </si>
  <si>
    <t>Vanyarc</t>
  </si>
  <si>
    <t>3626</t>
  </si>
  <si>
    <t>Hangony</t>
  </si>
  <si>
    <t>2191</t>
  </si>
  <si>
    <t>Bag</t>
  </si>
  <si>
    <t>Somoskőújfalu</t>
  </si>
  <si>
    <t>3733</t>
  </si>
  <si>
    <t>Rudabánya</t>
  </si>
  <si>
    <t>3909</t>
  </si>
  <si>
    <t>Mád</t>
  </si>
  <si>
    <t>3915</t>
  </si>
  <si>
    <t>Tarcal</t>
  </si>
  <si>
    <t>6913</t>
  </si>
  <si>
    <t>Csanádpalota</t>
  </si>
  <si>
    <t>9374</t>
  </si>
  <si>
    <t>Iván</t>
  </si>
  <si>
    <t>9223</t>
  </si>
  <si>
    <t>Bezenye</t>
  </si>
  <si>
    <t>9423</t>
  </si>
  <si>
    <t>Ágfalva</t>
  </si>
  <si>
    <t>9371</t>
  </si>
  <si>
    <t>Vitnyéd</t>
  </si>
  <si>
    <t>9495</t>
  </si>
  <si>
    <t>Kópháza</t>
  </si>
  <si>
    <t>9482</t>
  </si>
  <si>
    <t>Nagylózs</t>
  </si>
  <si>
    <t>9353</t>
  </si>
  <si>
    <t>Szárföld</t>
  </si>
  <si>
    <t>4125</t>
  </si>
  <si>
    <t>Pocsaj</t>
  </si>
  <si>
    <t>3346</t>
  </si>
  <si>
    <t>Bélapátfalva</t>
  </si>
  <si>
    <t>3386</t>
  </si>
  <si>
    <t>Sarud</t>
  </si>
  <si>
    <t>2618</t>
  </si>
  <si>
    <t>Nézsa</t>
  </si>
  <si>
    <t>2142</t>
  </si>
  <si>
    <t>Nagytarcsa</t>
  </si>
  <si>
    <t>2632</t>
  </si>
  <si>
    <t>Letkés</t>
  </si>
  <si>
    <t>5061</t>
  </si>
  <si>
    <t>Tiszasüly</t>
  </si>
  <si>
    <t>5052</t>
  </si>
  <si>
    <t>Újszász</t>
  </si>
  <si>
    <t>5091</t>
  </si>
  <si>
    <t>Tószeg</t>
  </si>
  <si>
    <t>5053</t>
  </si>
  <si>
    <t>Szászberek</t>
  </si>
  <si>
    <t>7347</t>
  </si>
  <si>
    <t>Egyházaskozár</t>
  </si>
  <si>
    <t>7193</t>
  </si>
  <si>
    <t>Regöly</t>
  </si>
  <si>
    <t>7143</t>
  </si>
  <si>
    <t>Őcsény</t>
  </si>
  <si>
    <t>7172</t>
  </si>
  <si>
    <t>Harc</t>
  </si>
  <si>
    <t>9724</t>
  </si>
  <si>
    <t>Lukácsháza</t>
  </si>
  <si>
    <t>9641</t>
  </si>
  <si>
    <t>Rábapaty</t>
  </si>
  <si>
    <t>8771</t>
  </si>
  <si>
    <t>Hahót</t>
  </si>
  <si>
    <t>8925</t>
  </si>
  <si>
    <t>Búcsúszentlászló</t>
  </si>
  <si>
    <t>8834</t>
  </si>
  <si>
    <t>Murakeresztúr</t>
  </si>
  <si>
    <t>Kerepesi út 61.</t>
  </si>
  <si>
    <t>Török Flóris u. 70.</t>
  </si>
  <si>
    <t>Váci út 117-119.</t>
  </si>
  <si>
    <t>Rákóczi út 11-1.</t>
  </si>
  <si>
    <t>Kapás u. 11-15.</t>
  </si>
  <si>
    <t>Szabadság u. 9.</t>
  </si>
  <si>
    <t>Béke u. 38.</t>
  </si>
  <si>
    <t>Szegfű u. 2/A</t>
  </si>
  <si>
    <t>Dózsa u. 74.</t>
  </si>
  <si>
    <t>Petőfi tér 3.</t>
  </si>
  <si>
    <t>Széchenyi sétány 5.</t>
  </si>
  <si>
    <t>Posta u. 14.</t>
  </si>
  <si>
    <t>Alkotmány u. 10.</t>
  </si>
  <si>
    <t>Szabadság tér 3/a.</t>
  </si>
  <si>
    <t>Kossuth u. 42/a.</t>
  </si>
  <si>
    <t>Fő u. 51.</t>
  </si>
  <si>
    <t>Kossuth u. 79.</t>
  </si>
  <si>
    <t>Petőfi S. u. 5.</t>
  </si>
  <si>
    <t>Kölcsei u. 2/A.</t>
  </si>
  <si>
    <t>Béke utca 18.</t>
  </si>
  <si>
    <t>Nagy u. 63.</t>
  </si>
  <si>
    <t>Hősök u. 2/A</t>
  </si>
  <si>
    <t>Ady u. 18/1.</t>
  </si>
  <si>
    <t>Batthyány u. 3.</t>
  </si>
  <si>
    <t>Szabadság u. 66.</t>
  </si>
  <si>
    <t>Városház utca 23.</t>
  </si>
  <si>
    <t>Csabai út 14.</t>
  </si>
  <si>
    <t>Orosházi út 47.</t>
  </si>
  <si>
    <t>Lencsési út 42.</t>
  </si>
  <si>
    <t>Béke utca 92.</t>
  </si>
  <si>
    <t>Mátyás kir. u. 76.</t>
  </si>
  <si>
    <t>Kossuth u. 1/c.</t>
  </si>
  <si>
    <t>Fő u. 16.</t>
  </si>
  <si>
    <t>Kossuth u. 121.</t>
  </si>
  <si>
    <t>Brassói út 1.</t>
  </si>
  <si>
    <t>Mohos sétány</t>
  </si>
  <si>
    <t>Köztársaság u. 21.</t>
  </si>
  <si>
    <t>Vasgyári út 3.</t>
  </si>
  <si>
    <t>Ózdi út 47.</t>
  </si>
  <si>
    <t>Petőfi u. 7.</t>
  </si>
  <si>
    <t>Rákóczi út 53-55.</t>
  </si>
  <si>
    <t>Sziráki út 1.</t>
  </si>
  <si>
    <t>Rákóczi út 71.</t>
  </si>
  <si>
    <t>Petőfi tér 14.</t>
  </si>
  <si>
    <t>Semmelweis út HRSZ.: 9877/1.</t>
  </si>
  <si>
    <t>Petőfi út 8.</t>
  </si>
  <si>
    <t>Rákóczi u. 46.</t>
  </si>
  <si>
    <t>Rákóczi út 105.</t>
  </si>
  <si>
    <t>Oroszlán u. 1.</t>
  </si>
  <si>
    <t>Fő fasor 19.</t>
  </si>
  <si>
    <t>Kelemen L. tér 10.</t>
  </si>
  <si>
    <t>Árpád u. 90-92.</t>
  </si>
  <si>
    <t>Hunyadi u. 2.</t>
  </si>
  <si>
    <t>Soproni u. 93.</t>
  </si>
  <si>
    <t>Szabadság u. 54.</t>
  </si>
  <si>
    <t>Kőszegi u. 5.</t>
  </si>
  <si>
    <t>Fő u. 1/a.</t>
  </si>
  <si>
    <t>Fő u. 15.</t>
  </si>
  <si>
    <t>Pásti u. 1/E.</t>
  </si>
  <si>
    <t>Nagy u. 28.</t>
  </si>
  <si>
    <t>Katona tér 7-9.</t>
  </si>
  <si>
    <t>Május 1. u. 2/a</t>
  </si>
  <si>
    <t>Kossuth út 109.</t>
  </si>
  <si>
    <t>Bugát Pál tér 1/1</t>
  </si>
  <si>
    <t>Szondi u. 108</t>
  </si>
  <si>
    <t>Tompa M. u. 19.</t>
  </si>
  <si>
    <t>Pesti út 41/d</t>
  </si>
  <si>
    <t>Dózsa út 16.</t>
  </si>
  <si>
    <t>Georgikon u. 9.</t>
  </si>
  <si>
    <t>Teleki u. 22.</t>
  </si>
  <si>
    <t>Bajcsy-Zs. u. 30/a.</t>
  </si>
  <si>
    <t>Kiséri út 23.</t>
  </si>
  <si>
    <t>Erkel F. u. 2/a</t>
  </si>
  <si>
    <t>Szilágyi út 2.</t>
  </si>
  <si>
    <t>Rákóczi út 33/A</t>
  </si>
  <si>
    <t>Kossuth L. u. 197/a</t>
  </si>
  <si>
    <t>Szent István tér 7.</t>
  </si>
  <si>
    <t>Fő tér 3/A</t>
  </si>
  <si>
    <t>Hősök tere 7.</t>
  </si>
  <si>
    <t>Vörösmarty utca 1.</t>
  </si>
  <si>
    <t>Szombathelyi u. 6.</t>
  </si>
  <si>
    <t>Alsópatyi u. 59.</t>
  </si>
  <si>
    <t>Széchenyi u. 7.</t>
  </si>
  <si>
    <t>Állomás tér 1.</t>
  </si>
  <si>
    <t>Ady u. 43.</t>
  </si>
  <si>
    <t>Dózsa Gy. u. 102/a</t>
  </si>
  <si>
    <t>Váci út 135-139.</t>
  </si>
  <si>
    <t>Szent István tér 1.</t>
  </si>
  <si>
    <t>Kész2020</t>
  </si>
  <si>
    <t>Kész2020_2</t>
  </si>
  <si>
    <t>ALL</t>
  </si>
  <si>
    <t>Rosenberger Gábor</t>
  </si>
  <si>
    <t>Tóth András</t>
  </si>
  <si>
    <t>N/A</t>
  </si>
  <si>
    <t>S01231</t>
  </si>
  <si>
    <t>S03068</t>
  </si>
  <si>
    <t>S08063</t>
  </si>
  <si>
    <t>S08064</t>
  </si>
  <si>
    <t>S08065_ENA</t>
  </si>
  <si>
    <t>S08066_ENA</t>
  </si>
  <si>
    <t>EDHU0716</t>
  </si>
  <si>
    <t>CASH2634_R</t>
  </si>
  <si>
    <t>CASH2826_R</t>
  </si>
  <si>
    <t>S6T50834</t>
  </si>
  <si>
    <t>DBD82220261</t>
  </si>
  <si>
    <t>DBD82220262</t>
  </si>
  <si>
    <t>DBD82220263</t>
  </si>
  <si>
    <t>DBD82220264</t>
  </si>
  <si>
    <t>DBD82220265</t>
  </si>
  <si>
    <t>DBD82220266</t>
  </si>
  <si>
    <t>DBD82220267</t>
  </si>
  <si>
    <t>1760RH120565</t>
  </si>
  <si>
    <t>1562RH127313</t>
  </si>
  <si>
    <t>1520FCF00232</t>
  </si>
  <si>
    <t>1520FH120094</t>
  </si>
  <si>
    <t>1720F3320051</t>
  </si>
  <si>
    <t>1522FH111862</t>
  </si>
  <si>
    <t>1378FDC03861</t>
  </si>
  <si>
    <t>1378FDC03855</t>
  </si>
  <si>
    <t>1562RH134502</t>
  </si>
  <si>
    <t>5300145145</t>
  </si>
  <si>
    <t>5300222546</t>
  </si>
  <si>
    <t>5300162360</t>
  </si>
  <si>
    <t>1828FIP00907</t>
  </si>
  <si>
    <t>1828FIP00911</t>
  </si>
  <si>
    <t>1828FIP00912</t>
  </si>
  <si>
    <t>1828FIP00658</t>
  </si>
  <si>
    <t>1828FIP00913</t>
  </si>
  <si>
    <t>1828FIP00914</t>
  </si>
  <si>
    <t>2212</t>
  </si>
  <si>
    <t>Csévharaszt</t>
  </si>
  <si>
    <t>7624</t>
  </si>
  <si>
    <t>6080</t>
  </si>
  <si>
    <t>Szabadszállás</t>
  </si>
  <si>
    <t>9431</t>
  </si>
  <si>
    <t>Fertőd</t>
  </si>
  <si>
    <t>Stoczek utca 4.</t>
  </si>
  <si>
    <t>Ady Endre út 15.</t>
  </si>
  <si>
    <t>Kisfaludy u. 6.</t>
  </si>
  <si>
    <t>Kossuth Lajos u. 43/b</t>
  </si>
  <si>
    <t>Szabadság u. 5.</t>
  </si>
  <si>
    <t>Páfrány u. 2.</t>
  </si>
  <si>
    <t>Budai Nagy Antal utca 1.</t>
  </si>
  <si>
    <t>Kálvin tér 4.</t>
  </si>
  <si>
    <t>Iparos u. 5.</t>
  </si>
  <si>
    <t>Kossuth tér 16.</t>
  </si>
  <si>
    <t>Thököly út 102/b</t>
  </si>
  <si>
    <t>AKHK2451</t>
  </si>
  <si>
    <t>DBD82220268</t>
  </si>
  <si>
    <t>CA91</t>
  </si>
  <si>
    <t>1562RH129704</t>
  </si>
  <si>
    <t>1828FIP00966</t>
  </si>
  <si>
    <t>1562RCF00041</t>
  </si>
  <si>
    <t>Wekerle Sándor u. 34/a</t>
  </si>
  <si>
    <t>Egressy Béni u. 1/c fsz. 2.</t>
  </si>
  <si>
    <t>Bástya u. 10.</t>
  </si>
  <si>
    <t>AKHK2800</t>
  </si>
  <si>
    <t>CASH2801</t>
  </si>
  <si>
    <t>5300153810</t>
  </si>
  <si>
    <t>1522FH105404</t>
  </si>
  <si>
    <t>1828FIP01035</t>
  </si>
  <si>
    <t>CIB - ATM664</t>
  </si>
  <si>
    <t>S01232_ENA</t>
  </si>
  <si>
    <t>AKHK2822</t>
  </si>
  <si>
    <t>1760RH125412</t>
  </si>
  <si>
    <t>1760R3320565</t>
  </si>
  <si>
    <t>1562RH129689</t>
  </si>
  <si>
    <t>Kossuth L. u. 81.</t>
  </si>
  <si>
    <t>Gesztenye sor 3.</t>
  </si>
  <si>
    <t>Király u. 10.</t>
  </si>
  <si>
    <t>#HIÁNYZIK</t>
  </si>
  <si>
    <t>CIB - ATM665</t>
  </si>
  <si>
    <t>S01233</t>
  </si>
  <si>
    <t>S01234</t>
  </si>
  <si>
    <t>S01235_ENA</t>
  </si>
  <si>
    <t>S01236_ENA</t>
  </si>
  <si>
    <t>S06065</t>
  </si>
  <si>
    <t>S08067</t>
  </si>
  <si>
    <t>CASH2939</t>
  </si>
  <si>
    <t>5310184790</t>
  </si>
  <si>
    <t>1520FCF00231</t>
  </si>
  <si>
    <t>1520FCF00095</t>
  </si>
  <si>
    <t>1720FH123708</t>
  </si>
  <si>
    <t>1720FH123700</t>
  </si>
  <si>
    <t>1562RH126081</t>
  </si>
  <si>
    <t>1562RH159050</t>
  </si>
  <si>
    <t>1828FIP01036</t>
  </si>
  <si>
    <t>Bécsi utca 5.</t>
  </si>
  <si>
    <t>Béke körút</t>
  </si>
  <si>
    <t>Tápai u. 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</si>
</sst>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206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9" fontId="3" fillId="0" borderId="0" applyFont="0" applyFill="0" applyBorder="0" applyAlignment="0" applyProtection="0"/>
    <xf numFmtId="0" fontId="4" fillId="4" borderId="0" applyNumberFormat="0" applyBorder="0" applyAlignment="0" applyProtection="0"/>
    <xf numFmtId="0" fontId="10" fillId="5" borderId="2" applyNumberFormat="0" applyAlignment="0" applyProtection="0"/>
  </cellStyleXfs>
  <cellXfs count="20">
    <xf numFmtId="0" fontId="0" fillId="0" borderId="0" xfId="0"/>
    <xf numFmtId="1" fontId="0" fillId="0" borderId="0" xfId="0" applyNumberFormat="1" applyAlignment="1">
      <alignment horizontal="center"/>
    </xf>
    <xf numFmtId="0" fontId="1" fillId="2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2" fillId="3" borderId="1" xfId="2" applyNumberFormat="1" applyAlignment="1">
      <alignment horizontal="center"/>
    </xf>
    <xf numFmtId="10" fontId="0" fillId="0" borderId="0" xfId="3" applyNumberFormat="1" applyFont="1"/>
    <xf numFmtId="10" fontId="4" fillId="4" borderId="0" xfId="4" applyNumberFormat="1"/>
    <xf numFmtId="0" fontId="7" fillId="2" borderId="0" xfId="1" applyFont="1"/>
    <xf numFmtId="0" fontId="8" fillId="0" borderId="0" xfId="0" applyFont="1"/>
    <xf numFmtId="0" fontId="7" fillId="0" borderId="0" xfId="0" applyFont="1"/>
    <xf numFmtId="0" fontId="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NumberFormat="1" applyFont="1"/>
    <xf numFmtId="0" fontId="8" fillId="0" borderId="0" xfId="0" applyFont="1" applyAlignment="1">
      <alignment horizontal="left"/>
    </xf>
    <xf numFmtId="10" fontId="8" fillId="0" borderId="0" xfId="3" applyNumberFormat="1" applyFont="1"/>
    <xf numFmtId="0" fontId="0" fillId="0" borderId="0" xfId="0" applyFill="1"/>
    <xf numFmtId="0" fontId="9" fillId="0" borderId="0" xfId="0" applyFont="1"/>
    <xf numFmtId="10" fontId="10" fillId="5" borderId="2" xfId="5" applyNumberFormat="1"/>
  </cellXfs>
  <cellStyles count="6">
    <cellStyle name="60% - 6. jelölőszín" xfId="4" builtinId="52"/>
    <cellStyle name="Bevitel" xfId="2" builtinId="20"/>
    <cellStyle name="Ellenőrzőcella" xfId="5" builtinId="23"/>
    <cellStyle name="Normál" xfId="0" builtinId="0"/>
    <cellStyle name="Semleges" xfId="1" builtinId="28"/>
    <cellStyle name="Százalék" xfId="3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chhub.diebold.com/teams/DN_Hungary/ServiceBank/Karbantartas/Karb_ticketek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ka1"/>
      <sheetName val="Munka2"/>
      <sheetName val="Calls"/>
    </sheetNames>
    <sheetDataSet>
      <sheetData sheetId="0"/>
      <sheetData sheetId="1">
        <row r="1">
          <cell r="A1" t="str">
            <v>1st Repair start Time</v>
          </cell>
          <cell r="B1" t="str">
            <v>(Több tétel)</v>
          </cell>
        </row>
        <row r="3">
          <cell r="A3" t="str">
            <v>Sorcímkék</v>
          </cell>
          <cell r="B3" t="str">
            <v>Mennyiség / Request Number</v>
          </cell>
        </row>
        <row r="4">
          <cell r="A4" t="str">
            <v>1378FDC03856</v>
          </cell>
          <cell r="B4">
            <v>1</v>
          </cell>
        </row>
        <row r="5">
          <cell r="A5" t="str">
            <v>1378FDC04449</v>
          </cell>
          <cell r="B5">
            <v>1</v>
          </cell>
        </row>
        <row r="6">
          <cell r="A6" t="str">
            <v>1520F3300009</v>
          </cell>
          <cell r="B6">
            <v>1</v>
          </cell>
        </row>
        <row r="7">
          <cell r="A7" t="str">
            <v>1520F3302400</v>
          </cell>
          <cell r="B7">
            <v>1</v>
          </cell>
        </row>
        <row r="8">
          <cell r="A8" t="str">
            <v>1520F3302402</v>
          </cell>
          <cell r="B8">
            <v>1</v>
          </cell>
        </row>
        <row r="9">
          <cell r="A9" t="str">
            <v>1520F3303649</v>
          </cell>
          <cell r="B9">
            <v>1</v>
          </cell>
        </row>
        <row r="10">
          <cell r="A10" t="str">
            <v>1520F3305870</v>
          </cell>
          <cell r="B10">
            <v>1</v>
          </cell>
        </row>
        <row r="11">
          <cell r="A11" t="str">
            <v>1520F3305876</v>
          </cell>
          <cell r="B11">
            <v>1</v>
          </cell>
        </row>
        <row r="12">
          <cell r="A12" t="str">
            <v>1520F3305879</v>
          </cell>
          <cell r="B12">
            <v>1</v>
          </cell>
        </row>
        <row r="13">
          <cell r="A13" t="str">
            <v>1520F3305919</v>
          </cell>
          <cell r="B13">
            <v>1</v>
          </cell>
        </row>
        <row r="14">
          <cell r="A14" t="str">
            <v>1520F3306008</v>
          </cell>
          <cell r="B14">
            <v>1</v>
          </cell>
        </row>
        <row r="15">
          <cell r="A15" t="str">
            <v>1520F3311674</v>
          </cell>
          <cell r="B15">
            <v>1</v>
          </cell>
        </row>
        <row r="16">
          <cell r="A16" t="str">
            <v>1520FCF00089</v>
          </cell>
          <cell r="B16">
            <v>1</v>
          </cell>
        </row>
        <row r="17">
          <cell r="A17" t="str">
            <v>1520FCF00090</v>
          </cell>
          <cell r="B17">
            <v>1</v>
          </cell>
        </row>
        <row r="18">
          <cell r="A18" t="str">
            <v>1520FCF00165</v>
          </cell>
          <cell r="B18">
            <v>1</v>
          </cell>
        </row>
        <row r="19">
          <cell r="A19" t="str">
            <v>1520FCF00167</v>
          </cell>
          <cell r="B19">
            <v>1</v>
          </cell>
        </row>
        <row r="20">
          <cell r="A20" t="str">
            <v>1520FCF00219</v>
          </cell>
          <cell r="B20">
            <v>1</v>
          </cell>
        </row>
        <row r="21">
          <cell r="A21" t="str">
            <v>1520FCF00220</v>
          </cell>
          <cell r="B21">
            <v>1</v>
          </cell>
        </row>
        <row r="22">
          <cell r="A22" t="str">
            <v>1520FCF00222</v>
          </cell>
          <cell r="B22">
            <v>1</v>
          </cell>
        </row>
        <row r="23">
          <cell r="A23" t="str">
            <v>1520FCF00223</v>
          </cell>
          <cell r="B23">
            <v>1</v>
          </cell>
        </row>
        <row r="24">
          <cell r="A24" t="str">
            <v>1520FCF00225</v>
          </cell>
          <cell r="B24">
            <v>1</v>
          </cell>
        </row>
        <row r="25">
          <cell r="A25" t="str">
            <v>1520FCF00233</v>
          </cell>
          <cell r="B25">
            <v>1</v>
          </cell>
        </row>
        <row r="26">
          <cell r="A26" t="str">
            <v>1520FCF00236</v>
          </cell>
          <cell r="B26">
            <v>1</v>
          </cell>
        </row>
        <row r="27">
          <cell r="A27" t="str">
            <v>1520FCF00239</v>
          </cell>
          <cell r="B27">
            <v>1</v>
          </cell>
        </row>
        <row r="28">
          <cell r="A28" t="str">
            <v>1520FCF00241</v>
          </cell>
          <cell r="B28">
            <v>1</v>
          </cell>
        </row>
        <row r="29">
          <cell r="A29" t="str">
            <v>1520FCF00286</v>
          </cell>
          <cell r="B29">
            <v>1</v>
          </cell>
        </row>
        <row r="30">
          <cell r="A30" t="str">
            <v>1520FCF00443</v>
          </cell>
          <cell r="B30">
            <v>1</v>
          </cell>
        </row>
        <row r="31">
          <cell r="A31" t="str">
            <v>1520FCF00562</v>
          </cell>
          <cell r="B31">
            <v>1</v>
          </cell>
        </row>
        <row r="32">
          <cell r="A32" t="str">
            <v>1520FCF00564</v>
          </cell>
          <cell r="B32">
            <v>1</v>
          </cell>
        </row>
        <row r="33">
          <cell r="A33" t="str">
            <v>1520FCF00565</v>
          </cell>
          <cell r="B33">
            <v>1</v>
          </cell>
        </row>
        <row r="34">
          <cell r="A34" t="str">
            <v>1520FCF00566</v>
          </cell>
          <cell r="B34">
            <v>1</v>
          </cell>
        </row>
        <row r="35">
          <cell r="A35" t="str">
            <v>1520FCF00568</v>
          </cell>
          <cell r="B35">
            <v>1</v>
          </cell>
        </row>
        <row r="36">
          <cell r="A36" t="str">
            <v>1520FCF00570</v>
          </cell>
          <cell r="B36">
            <v>1</v>
          </cell>
        </row>
        <row r="37">
          <cell r="A37" t="str">
            <v>1520FCF00877</v>
          </cell>
          <cell r="B37">
            <v>1</v>
          </cell>
        </row>
        <row r="38">
          <cell r="A38" t="str">
            <v>1520FCF00878</v>
          </cell>
          <cell r="B38">
            <v>1</v>
          </cell>
        </row>
        <row r="39">
          <cell r="A39" t="str">
            <v>1520FCF00880</v>
          </cell>
          <cell r="B39">
            <v>1</v>
          </cell>
        </row>
        <row r="40">
          <cell r="A40" t="str">
            <v>1520FCF00886</v>
          </cell>
          <cell r="B40">
            <v>1</v>
          </cell>
        </row>
        <row r="41">
          <cell r="A41" t="str">
            <v>1520FCF00887</v>
          </cell>
          <cell r="B41">
            <v>1</v>
          </cell>
        </row>
        <row r="42">
          <cell r="A42" t="str">
            <v>1520FCF00888</v>
          </cell>
          <cell r="B42">
            <v>1</v>
          </cell>
        </row>
        <row r="43">
          <cell r="A43" t="str">
            <v>1520FCF00890</v>
          </cell>
          <cell r="B43">
            <v>1</v>
          </cell>
        </row>
        <row r="44">
          <cell r="A44" t="str">
            <v>1520FCF00892</v>
          </cell>
          <cell r="B44">
            <v>1</v>
          </cell>
        </row>
        <row r="45">
          <cell r="A45" t="str">
            <v>1520FCF00893</v>
          </cell>
          <cell r="B45">
            <v>1</v>
          </cell>
        </row>
        <row r="46">
          <cell r="A46" t="str">
            <v>1520FCF00911</v>
          </cell>
          <cell r="B46">
            <v>1</v>
          </cell>
        </row>
        <row r="47">
          <cell r="A47" t="str">
            <v>1520FCF00913</v>
          </cell>
          <cell r="B47">
            <v>1</v>
          </cell>
        </row>
        <row r="48">
          <cell r="A48" t="str">
            <v>1520FCF00928</v>
          </cell>
          <cell r="B48">
            <v>1</v>
          </cell>
        </row>
        <row r="49">
          <cell r="A49" t="str">
            <v>1520FCF00929</v>
          </cell>
          <cell r="B49">
            <v>1</v>
          </cell>
        </row>
        <row r="50">
          <cell r="A50" t="str">
            <v>1520FCF00930</v>
          </cell>
          <cell r="B50">
            <v>1</v>
          </cell>
        </row>
        <row r="51">
          <cell r="A51" t="str">
            <v>1520FCF00931</v>
          </cell>
          <cell r="B51">
            <v>1</v>
          </cell>
        </row>
        <row r="52">
          <cell r="A52" t="str">
            <v>1520FCF00933</v>
          </cell>
          <cell r="B52">
            <v>1</v>
          </cell>
        </row>
        <row r="53">
          <cell r="A53" t="str">
            <v>1520FCF00937</v>
          </cell>
          <cell r="B53">
            <v>1</v>
          </cell>
        </row>
        <row r="54">
          <cell r="A54" t="str">
            <v>1520FH120010</v>
          </cell>
          <cell r="B54">
            <v>1</v>
          </cell>
        </row>
        <row r="55">
          <cell r="A55" t="str">
            <v>1520FH120011</v>
          </cell>
          <cell r="B55">
            <v>1</v>
          </cell>
        </row>
        <row r="56">
          <cell r="A56" t="str">
            <v>1520FH120012</v>
          </cell>
          <cell r="B56">
            <v>1</v>
          </cell>
        </row>
        <row r="57">
          <cell r="A57" t="str">
            <v>1520FH120013</v>
          </cell>
          <cell r="B57">
            <v>1</v>
          </cell>
        </row>
        <row r="58">
          <cell r="A58" t="str">
            <v>1520FH120017</v>
          </cell>
          <cell r="B58">
            <v>1</v>
          </cell>
        </row>
        <row r="59">
          <cell r="A59" t="str">
            <v>1520FH120021</v>
          </cell>
          <cell r="B59">
            <v>1</v>
          </cell>
        </row>
        <row r="60">
          <cell r="A60" t="str">
            <v>1520FH120023</v>
          </cell>
          <cell r="B60">
            <v>1</v>
          </cell>
        </row>
        <row r="61">
          <cell r="A61" t="str">
            <v>1520FH120024</v>
          </cell>
          <cell r="B61">
            <v>1</v>
          </cell>
        </row>
        <row r="62">
          <cell r="A62" t="str">
            <v>1520FH120025</v>
          </cell>
          <cell r="B62">
            <v>1</v>
          </cell>
        </row>
        <row r="63">
          <cell r="A63" t="str">
            <v>1520FH120026</v>
          </cell>
          <cell r="B63">
            <v>1</v>
          </cell>
        </row>
        <row r="64">
          <cell r="A64" t="str">
            <v>1520FH120028</v>
          </cell>
          <cell r="B64">
            <v>1</v>
          </cell>
        </row>
        <row r="65">
          <cell r="A65" t="str">
            <v>1520FH120031</v>
          </cell>
          <cell r="B65">
            <v>1</v>
          </cell>
        </row>
        <row r="66">
          <cell r="A66" t="str">
            <v>1520FH120033</v>
          </cell>
          <cell r="B66">
            <v>1</v>
          </cell>
        </row>
        <row r="67">
          <cell r="A67" t="str">
            <v>1520FH120035</v>
          </cell>
          <cell r="B67">
            <v>1</v>
          </cell>
        </row>
        <row r="68">
          <cell r="A68" t="str">
            <v>1520FH120036</v>
          </cell>
          <cell r="B68">
            <v>1</v>
          </cell>
        </row>
        <row r="69">
          <cell r="A69" t="str">
            <v>1520FH120037</v>
          </cell>
          <cell r="B69">
            <v>1</v>
          </cell>
        </row>
        <row r="70">
          <cell r="A70" t="str">
            <v>1520FH120038</v>
          </cell>
          <cell r="B70">
            <v>1</v>
          </cell>
        </row>
        <row r="71">
          <cell r="A71" t="str">
            <v>1520FH120039</v>
          </cell>
          <cell r="B71">
            <v>1</v>
          </cell>
        </row>
        <row r="72">
          <cell r="A72" t="str">
            <v>1520FH120042</v>
          </cell>
          <cell r="B72">
            <v>1</v>
          </cell>
        </row>
        <row r="73">
          <cell r="A73" t="str">
            <v>1520FH120044</v>
          </cell>
          <cell r="B73">
            <v>1</v>
          </cell>
        </row>
        <row r="74">
          <cell r="A74" t="str">
            <v>1520FH120048</v>
          </cell>
          <cell r="B74">
            <v>1</v>
          </cell>
        </row>
        <row r="75">
          <cell r="A75" t="str">
            <v>1520FH120050</v>
          </cell>
          <cell r="B75">
            <v>1</v>
          </cell>
        </row>
        <row r="76">
          <cell r="A76" t="str">
            <v>1520FH120051</v>
          </cell>
          <cell r="B76">
            <v>1</v>
          </cell>
        </row>
        <row r="77">
          <cell r="A77" t="str">
            <v>1520FH120053</v>
          </cell>
          <cell r="B77">
            <v>1</v>
          </cell>
        </row>
        <row r="78">
          <cell r="A78" t="str">
            <v>1520FH120054</v>
          </cell>
          <cell r="B78">
            <v>1</v>
          </cell>
        </row>
        <row r="79">
          <cell r="A79" t="str">
            <v>1520FH120085</v>
          </cell>
          <cell r="B79">
            <v>1</v>
          </cell>
        </row>
        <row r="80">
          <cell r="A80" t="str">
            <v>1520FH120088</v>
          </cell>
          <cell r="B80">
            <v>1</v>
          </cell>
        </row>
        <row r="81">
          <cell r="A81" t="str">
            <v>1520FH120090</v>
          </cell>
          <cell r="B81">
            <v>2</v>
          </cell>
        </row>
        <row r="82">
          <cell r="A82" t="str">
            <v>1520FH121289</v>
          </cell>
          <cell r="B82">
            <v>1</v>
          </cell>
        </row>
        <row r="83">
          <cell r="A83" t="str">
            <v>1520FH121290</v>
          </cell>
          <cell r="B83">
            <v>1</v>
          </cell>
        </row>
        <row r="84">
          <cell r="A84" t="str">
            <v>1520FH121649</v>
          </cell>
          <cell r="B84">
            <v>1</v>
          </cell>
        </row>
        <row r="85">
          <cell r="A85" t="str">
            <v>1520FH121651</v>
          </cell>
          <cell r="B85">
            <v>1</v>
          </cell>
        </row>
        <row r="86">
          <cell r="A86" t="str">
            <v>1520FH121676</v>
          </cell>
          <cell r="B86">
            <v>1</v>
          </cell>
        </row>
        <row r="87">
          <cell r="A87" t="str">
            <v>1520FH121677</v>
          </cell>
          <cell r="B87">
            <v>1</v>
          </cell>
        </row>
        <row r="88">
          <cell r="A88" t="str">
            <v>1520FH121679</v>
          </cell>
          <cell r="B88">
            <v>1</v>
          </cell>
        </row>
        <row r="89">
          <cell r="A89" t="str">
            <v>1520FH121681</v>
          </cell>
          <cell r="B89">
            <v>1</v>
          </cell>
        </row>
        <row r="90">
          <cell r="A90" t="str">
            <v>1520FH121954</v>
          </cell>
          <cell r="B90">
            <v>1</v>
          </cell>
        </row>
        <row r="91">
          <cell r="A91" t="str">
            <v>1520FH122649</v>
          </cell>
          <cell r="B91">
            <v>1</v>
          </cell>
        </row>
        <row r="92">
          <cell r="A92" t="str">
            <v>1520FH122650</v>
          </cell>
          <cell r="B92">
            <v>1</v>
          </cell>
        </row>
        <row r="93">
          <cell r="A93" t="str">
            <v>1520FH122651</v>
          </cell>
          <cell r="B93">
            <v>1</v>
          </cell>
        </row>
        <row r="94">
          <cell r="A94" t="str">
            <v>1520FH122653</v>
          </cell>
          <cell r="B94">
            <v>1</v>
          </cell>
        </row>
        <row r="95">
          <cell r="A95" t="str">
            <v>1520FH122705</v>
          </cell>
          <cell r="B95">
            <v>1</v>
          </cell>
        </row>
        <row r="96">
          <cell r="A96" t="str">
            <v>1520FH122727</v>
          </cell>
          <cell r="B96">
            <v>1</v>
          </cell>
        </row>
        <row r="97">
          <cell r="A97" t="str">
            <v>1520FH122728</v>
          </cell>
          <cell r="B97">
            <v>1</v>
          </cell>
        </row>
        <row r="98">
          <cell r="A98" t="str">
            <v>1520FH122730</v>
          </cell>
          <cell r="B98">
            <v>1</v>
          </cell>
        </row>
        <row r="99">
          <cell r="A99" t="str">
            <v>1520FH122731</v>
          </cell>
          <cell r="B99">
            <v>1</v>
          </cell>
        </row>
        <row r="100">
          <cell r="A100" t="str">
            <v>1520FH122732</v>
          </cell>
          <cell r="B100">
            <v>1</v>
          </cell>
        </row>
        <row r="101">
          <cell r="A101" t="str">
            <v>1520FH122733</v>
          </cell>
          <cell r="B101">
            <v>1</v>
          </cell>
        </row>
        <row r="102">
          <cell r="A102" t="str">
            <v>1520FH122734</v>
          </cell>
          <cell r="B102">
            <v>1</v>
          </cell>
        </row>
        <row r="103">
          <cell r="A103" t="str">
            <v>1520FH122877</v>
          </cell>
          <cell r="B103">
            <v>1</v>
          </cell>
        </row>
        <row r="104">
          <cell r="A104" t="str">
            <v>1520FH123001</v>
          </cell>
          <cell r="B104">
            <v>1</v>
          </cell>
        </row>
        <row r="105">
          <cell r="A105" t="str">
            <v>1520FH123069</v>
          </cell>
          <cell r="B105">
            <v>1</v>
          </cell>
        </row>
        <row r="106">
          <cell r="A106" t="str">
            <v>1520FH123070</v>
          </cell>
          <cell r="B106">
            <v>1</v>
          </cell>
        </row>
        <row r="107">
          <cell r="A107" t="str">
            <v>1520FH123072</v>
          </cell>
          <cell r="B107">
            <v>1</v>
          </cell>
        </row>
        <row r="108">
          <cell r="A108" t="str">
            <v>1520FH123073</v>
          </cell>
          <cell r="B108">
            <v>1</v>
          </cell>
        </row>
        <row r="109">
          <cell r="A109" t="str">
            <v>1520FH123075</v>
          </cell>
          <cell r="B109">
            <v>1</v>
          </cell>
        </row>
        <row r="110">
          <cell r="A110" t="str">
            <v>1520FH123076</v>
          </cell>
          <cell r="B110">
            <v>1</v>
          </cell>
        </row>
        <row r="111">
          <cell r="A111" t="str">
            <v>1520FH123081</v>
          </cell>
          <cell r="B111">
            <v>1</v>
          </cell>
        </row>
        <row r="112">
          <cell r="A112" t="str">
            <v>1520FH123082</v>
          </cell>
          <cell r="B112">
            <v>1</v>
          </cell>
        </row>
        <row r="113">
          <cell r="A113" t="str">
            <v>1520FH123083</v>
          </cell>
          <cell r="B113">
            <v>1</v>
          </cell>
        </row>
        <row r="114">
          <cell r="A114" t="str">
            <v>1520FH123084</v>
          </cell>
          <cell r="B114">
            <v>1</v>
          </cell>
        </row>
        <row r="115">
          <cell r="A115" t="str">
            <v>1520FH123086</v>
          </cell>
          <cell r="B115">
            <v>1</v>
          </cell>
        </row>
        <row r="116">
          <cell r="A116" t="str">
            <v>1520FH124912</v>
          </cell>
          <cell r="B116">
            <v>1</v>
          </cell>
        </row>
        <row r="117">
          <cell r="A117" t="str">
            <v>1520FH124913</v>
          </cell>
          <cell r="B117">
            <v>1</v>
          </cell>
        </row>
        <row r="118">
          <cell r="A118" t="str">
            <v>1520FH124914</v>
          </cell>
          <cell r="B118">
            <v>1</v>
          </cell>
        </row>
        <row r="119">
          <cell r="A119" t="str">
            <v>1520FH124915</v>
          </cell>
          <cell r="B119">
            <v>1</v>
          </cell>
        </row>
        <row r="120">
          <cell r="A120" t="str">
            <v>1520FH124917</v>
          </cell>
          <cell r="B120">
            <v>1</v>
          </cell>
        </row>
        <row r="121">
          <cell r="A121" t="str">
            <v>1520FH124918</v>
          </cell>
          <cell r="B121">
            <v>1</v>
          </cell>
        </row>
        <row r="122">
          <cell r="A122" t="str">
            <v>1520FH124920</v>
          </cell>
          <cell r="B122">
            <v>1</v>
          </cell>
        </row>
        <row r="123">
          <cell r="A123" t="str">
            <v>1520FH124921</v>
          </cell>
          <cell r="B123">
            <v>1</v>
          </cell>
        </row>
        <row r="124">
          <cell r="A124" t="str">
            <v>1520FH124922</v>
          </cell>
          <cell r="B124">
            <v>1</v>
          </cell>
        </row>
        <row r="125">
          <cell r="A125" t="str">
            <v>1520FH124923</v>
          </cell>
          <cell r="B125">
            <v>1</v>
          </cell>
        </row>
        <row r="126">
          <cell r="A126" t="str">
            <v>1520FH124924</v>
          </cell>
          <cell r="B126">
            <v>1</v>
          </cell>
        </row>
        <row r="127">
          <cell r="A127" t="str">
            <v>1520V3300478</v>
          </cell>
          <cell r="B127">
            <v>1</v>
          </cell>
        </row>
        <row r="128">
          <cell r="A128" t="str">
            <v>1520V3300495</v>
          </cell>
          <cell r="B128">
            <v>1</v>
          </cell>
        </row>
        <row r="129">
          <cell r="A129" t="str">
            <v>1520V3300628</v>
          </cell>
          <cell r="B129">
            <v>1</v>
          </cell>
        </row>
        <row r="130">
          <cell r="A130" t="str">
            <v>1520V3300634</v>
          </cell>
          <cell r="B130">
            <v>1</v>
          </cell>
        </row>
        <row r="131">
          <cell r="A131" t="str">
            <v>1520V3300691</v>
          </cell>
          <cell r="B131">
            <v>1</v>
          </cell>
        </row>
        <row r="132">
          <cell r="A132" t="str">
            <v>1520VH120043</v>
          </cell>
          <cell r="B132">
            <v>1</v>
          </cell>
        </row>
        <row r="133">
          <cell r="A133" t="str">
            <v>1522FH100275</v>
          </cell>
          <cell r="B133">
            <v>1</v>
          </cell>
        </row>
        <row r="134">
          <cell r="A134" t="str">
            <v>1522FH100276</v>
          </cell>
          <cell r="B134">
            <v>1</v>
          </cell>
        </row>
        <row r="135">
          <cell r="A135" t="str">
            <v>1522FH100277</v>
          </cell>
          <cell r="B135">
            <v>1</v>
          </cell>
        </row>
        <row r="136">
          <cell r="A136" t="str">
            <v>1522FH100278</v>
          </cell>
          <cell r="B136">
            <v>1</v>
          </cell>
        </row>
        <row r="137">
          <cell r="A137" t="str">
            <v>1522FH100281</v>
          </cell>
          <cell r="B137">
            <v>1</v>
          </cell>
        </row>
        <row r="138">
          <cell r="A138" t="str">
            <v>1522FH100283</v>
          </cell>
          <cell r="B138">
            <v>1</v>
          </cell>
        </row>
        <row r="139">
          <cell r="A139" t="str">
            <v>1522FH100284</v>
          </cell>
          <cell r="B139">
            <v>1</v>
          </cell>
        </row>
        <row r="140">
          <cell r="A140" t="str">
            <v>1522FH100285</v>
          </cell>
          <cell r="B140">
            <v>1</v>
          </cell>
        </row>
        <row r="141">
          <cell r="A141" t="str">
            <v>1522FH100287</v>
          </cell>
          <cell r="B141">
            <v>1</v>
          </cell>
        </row>
        <row r="142">
          <cell r="A142" t="str">
            <v>1522FH100288</v>
          </cell>
          <cell r="B142">
            <v>1</v>
          </cell>
        </row>
        <row r="143">
          <cell r="A143" t="str">
            <v>1522FH100290</v>
          </cell>
          <cell r="B143">
            <v>1</v>
          </cell>
        </row>
        <row r="144">
          <cell r="A144" t="str">
            <v>1522FH100497</v>
          </cell>
          <cell r="B144">
            <v>1</v>
          </cell>
        </row>
        <row r="145">
          <cell r="A145" t="str">
            <v>1522FH102030</v>
          </cell>
          <cell r="B145">
            <v>1</v>
          </cell>
        </row>
        <row r="146">
          <cell r="A146" t="str">
            <v>1522FH102196</v>
          </cell>
          <cell r="B146">
            <v>1</v>
          </cell>
        </row>
        <row r="147">
          <cell r="A147" t="str">
            <v>1522FH102197</v>
          </cell>
          <cell r="B147">
            <v>1</v>
          </cell>
        </row>
        <row r="148">
          <cell r="A148" t="str">
            <v>1522FH102199</v>
          </cell>
          <cell r="B148">
            <v>1</v>
          </cell>
        </row>
        <row r="149">
          <cell r="A149" t="str">
            <v>1522FH102200</v>
          </cell>
          <cell r="B149">
            <v>1</v>
          </cell>
        </row>
        <row r="150">
          <cell r="A150" t="str">
            <v>1522FH102740</v>
          </cell>
          <cell r="B150">
            <v>1</v>
          </cell>
        </row>
        <row r="151">
          <cell r="A151" t="str">
            <v>1522FH104752</v>
          </cell>
          <cell r="B151">
            <v>1</v>
          </cell>
        </row>
        <row r="152">
          <cell r="A152" t="str">
            <v>1522FH104893</v>
          </cell>
          <cell r="B152">
            <v>1</v>
          </cell>
        </row>
        <row r="153">
          <cell r="A153" t="str">
            <v>1522FH104894</v>
          </cell>
          <cell r="B153">
            <v>1</v>
          </cell>
        </row>
        <row r="154">
          <cell r="A154" t="str">
            <v>1522FH105474</v>
          </cell>
          <cell r="B154">
            <v>1</v>
          </cell>
        </row>
        <row r="155">
          <cell r="A155" t="str">
            <v>1522FH105476</v>
          </cell>
          <cell r="B155">
            <v>1</v>
          </cell>
        </row>
        <row r="156">
          <cell r="A156" t="str">
            <v>1522FH105477</v>
          </cell>
          <cell r="B156">
            <v>1</v>
          </cell>
        </row>
        <row r="157">
          <cell r="A157" t="str">
            <v>1522FH105478</v>
          </cell>
          <cell r="B157">
            <v>1</v>
          </cell>
        </row>
        <row r="158">
          <cell r="A158" t="str">
            <v>1522FH105479</v>
          </cell>
          <cell r="B158">
            <v>1</v>
          </cell>
        </row>
        <row r="159">
          <cell r="A159" t="str">
            <v>1522FH105480</v>
          </cell>
          <cell r="B159">
            <v>1</v>
          </cell>
        </row>
        <row r="160">
          <cell r="A160" t="str">
            <v>1522FH105481</v>
          </cell>
          <cell r="B160">
            <v>1</v>
          </cell>
        </row>
        <row r="161">
          <cell r="A161" t="str">
            <v>1522FH105482</v>
          </cell>
          <cell r="B161">
            <v>1</v>
          </cell>
        </row>
        <row r="162">
          <cell r="A162" t="str">
            <v>1522FH105483</v>
          </cell>
          <cell r="B162">
            <v>1</v>
          </cell>
        </row>
        <row r="163">
          <cell r="A163" t="str">
            <v>1522FH105486</v>
          </cell>
          <cell r="B163">
            <v>1</v>
          </cell>
        </row>
        <row r="164">
          <cell r="A164" t="str">
            <v>1522FH105487</v>
          </cell>
          <cell r="B164">
            <v>1</v>
          </cell>
        </row>
        <row r="165">
          <cell r="A165" t="str">
            <v>1522FH106938</v>
          </cell>
          <cell r="B165">
            <v>1</v>
          </cell>
        </row>
        <row r="166">
          <cell r="A166" t="str">
            <v>1522FH106939</v>
          </cell>
          <cell r="B166">
            <v>1</v>
          </cell>
        </row>
        <row r="167">
          <cell r="A167" t="str">
            <v>1522FH106943</v>
          </cell>
          <cell r="B167">
            <v>1</v>
          </cell>
        </row>
        <row r="168">
          <cell r="A168" t="str">
            <v>1522FH107068</v>
          </cell>
          <cell r="B168">
            <v>1</v>
          </cell>
        </row>
        <row r="169">
          <cell r="A169" t="str">
            <v>1522FH107073</v>
          </cell>
          <cell r="B169">
            <v>1</v>
          </cell>
        </row>
        <row r="170">
          <cell r="A170" t="str">
            <v>1522FH108476</v>
          </cell>
          <cell r="B170">
            <v>1</v>
          </cell>
        </row>
        <row r="171">
          <cell r="A171" t="str">
            <v>1522FH108482</v>
          </cell>
          <cell r="B171">
            <v>1</v>
          </cell>
        </row>
        <row r="172">
          <cell r="A172" t="str">
            <v>1522FH108666</v>
          </cell>
          <cell r="B172">
            <v>1</v>
          </cell>
        </row>
        <row r="173">
          <cell r="A173" t="str">
            <v>1522FH111337</v>
          </cell>
          <cell r="B173">
            <v>1</v>
          </cell>
        </row>
        <row r="174">
          <cell r="A174" t="str">
            <v>1522FH111639</v>
          </cell>
          <cell r="B174">
            <v>1</v>
          </cell>
        </row>
        <row r="175">
          <cell r="A175" t="str">
            <v>1522FH111861</v>
          </cell>
          <cell r="B175">
            <v>1</v>
          </cell>
        </row>
        <row r="176">
          <cell r="A176" t="str">
            <v>1522FH113832</v>
          </cell>
          <cell r="B176">
            <v>1</v>
          </cell>
        </row>
        <row r="177">
          <cell r="A177" t="str">
            <v>1522FH113836</v>
          </cell>
          <cell r="B177">
            <v>1</v>
          </cell>
        </row>
        <row r="178">
          <cell r="A178" t="str">
            <v>1522FH113841</v>
          </cell>
          <cell r="B178">
            <v>1</v>
          </cell>
        </row>
        <row r="179">
          <cell r="A179" t="str">
            <v>1522FH113843</v>
          </cell>
          <cell r="B179">
            <v>1</v>
          </cell>
        </row>
        <row r="180">
          <cell r="A180" t="str">
            <v>1522FH113849</v>
          </cell>
          <cell r="B180">
            <v>1</v>
          </cell>
        </row>
        <row r="181">
          <cell r="A181" t="str">
            <v>1522FH113857</v>
          </cell>
          <cell r="B181">
            <v>1</v>
          </cell>
        </row>
        <row r="182">
          <cell r="A182" t="str">
            <v>1522FH113859</v>
          </cell>
          <cell r="B182">
            <v>1</v>
          </cell>
        </row>
        <row r="183">
          <cell r="A183" t="str">
            <v>1522FH115041</v>
          </cell>
          <cell r="B183">
            <v>1</v>
          </cell>
        </row>
        <row r="184">
          <cell r="A184" t="str">
            <v>1522FH118968</v>
          </cell>
          <cell r="B184">
            <v>1</v>
          </cell>
        </row>
        <row r="185">
          <cell r="A185" t="str">
            <v>1522FH119114</v>
          </cell>
          <cell r="B185">
            <v>1</v>
          </cell>
        </row>
        <row r="186">
          <cell r="A186" t="str">
            <v>1522FH119143</v>
          </cell>
          <cell r="B186">
            <v>1</v>
          </cell>
        </row>
        <row r="187">
          <cell r="A187" t="str">
            <v>1522FH119146</v>
          </cell>
          <cell r="B187">
            <v>1</v>
          </cell>
        </row>
        <row r="188">
          <cell r="A188" t="str">
            <v>1522FH119147</v>
          </cell>
          <cell r="B188">
            <v>1</v>
          </cell>
        </row>
        <row r="189">
          <cell r="A189" t="str">
            <v>1522FH119149</v>
          </cell>
          <cell r="B189">
            <v>1</v>
          </cell>
        </row>
        <row r="190">
          <cell r="A190" t="str">
            <v>1522FH119152</v>
          </cell>
          <cell r="B190">
            <v>1</v>
          </cell>
        </row>
        <row r="191">
          <cell r="A191" t="str">
            <v>1522FH119154</v>
          </cell>
          <cell r="B191">
            <v>1</v>
          </cell>
        </row>
        <row r="192">
          <cell r="A192" t="str">
            <v>1522FH119156</v>
          </cell>
          <cell r="B192">
            <v>1</v>
          </cell>
        </row>
        <row r="193">
          <cell r="A193" t="str">
            <v>1522FH119157</v>
          </cell>
          <cell r="B193">
            <v>1</v>
          </cell>
        </row>
        <row r="194">
          <cell r="A194" t="str">
            <v>1522FH119158</v>
          </cell>
          <cell r="B194">
            <v>1</v>
          </cell>
        </row>
        <row r="195">
          <cell r="A195" t="str">
            <v>1522VH101390</v>
          </cell>
          <cell r="B195">
            <v>1</v>
          </cell>
        </row>
        <row r="196">
          <cell r="A196" t="str">
            <v>1560FCF00823</v>
          </cell>
          <cell r="B196">
            <v>1</v>
          </cell>
        </row>
        <row r="197">
          <cell r="A197" t="str">
            <v>1560R3300336</v>
          </cell>
          <cell r="B197">
            <v>1</v>
          </cell>
        </row>
        <row r="198">
          <cell r="A198" t="str">
            <v>1560R3300546</v>
          </cell>
          <cell r="B198">
            <v>1</v>
          </cell>
        </row>
        <row r="199">
          <cell r="A199" t="str">
            <v>1560R3300547</v>
          </cell>
          <cell r="B199">
            <v>1</v>
          </cell>
        </row>
        <row r="200">
          <cell r="A200" t="str">
            <v>1560R3300737</v>
          </cell>
          <cell r="B200">
            <v>1</v>
          </cell>
        </row>
        <row r="201">
          <cell r="A201" t="str">
            <v>1560R3300847</v>
          </cell>
          <cell r="B201">
            <v>1</v>
          </cell>
        </row>
        <row r="202">
          <cell r="A202" t="str">
            <v>1560R3300990</v>
          </cell>
          <cell r="B202">
            <v>1</v>
          </cell>
        </row>
        <row r="203">
          <cell r="A203" t="str">
            <v>1560R3301574</v>
          </cell>
          <cell r="B203">
            <v>1</v>
          </cell>
        </row>
        <row r="204">
          <cell r="A204" t="str">
            <v>1560R3301575</v>
          </cell>
          <cell r="B204">
            <v>1</v>
          </cell>
        </row>
        <row r="205">
          <cell r="A205" t="str">
            <v>1560R3301581</v>
          </cell>
          <cell r="B205">
            <v>1</v>
          </cell>
        </row>
        <row r="206">
          <cell r="A206" t="str">
            <v>1560R3301817</v>
          </cell>
          <cell r="B206">
            <v>1</v>
          </cell>
        </row>
        <row r="207">
          <cell r="A207" t="str">
            <v>1560R3301866</v>
          </cell>
          <cell r="B207">
            <v>1</v>
          </cell>
        </row>
        <row r="208">
          <cell r="A208" t="str">
            <v>1560R3301867</v>
          </cell>
          <cell r="B208">
            <v>1</v>
          </cell>
        </row>
        <row r="209">
          <cell r="A209" t="str">
            <v>1560R3302368</v>
          </cell>
          <cell r="B209">
            <v>1</v>
          </cell>
        </row>
        <row r="210">
          <cell r="A210" t="str">
            <v>1560R3302476</v>
          </cell>
          <cell r="B210">
            <v>1</v>
          </cell>
        </row>
        <row r="211">
          <cell r="A211" t="str">
            <v>1560R3302880</v>
          </cell>
          <cell r="B211">
            <v>1</v>
          </cell>
        </row>
        <row r="212">
          <cell r="A212" t="str">
            <v>1560R3302909</v>
          </cell>
          <cell r="B212">
            <v>1</v>
          </cell>
        </row>
        <row r="213">
          <cell r="A213" t="str">
            <v>1560R3303608</v>
          </cell>
          <cell r="B213">
            <v>1</v>
          </cell>
        </row>
        <row r="214">
          <cell r="A214" t="str">
            <v>1560R3304426</v>
          </cell>
          <cell r="B214">
            <v>1</v>
          </cell>
        </row>
        <row r="215">
          <cell r="A215" t="str">
            <v>1560RCF00567</v>
          </cell>
          <cell r="B215">
            <v>1</v>
          </cell>
        </row>
        <row r="216">
          <cell r="A216" t="str">
            <v>1560RCF00822</v>
          </cell>
          <cell r="B216">
            <v>1</v>
          </cell>
        </row>
        <row r="217">
          <cell r="A217" t="str">
            <v>1560RCF00824</v>
          </cell>
          <cell r="B217">
            <v>1</v>
          </cell>
        </row>
        <row r="218">
          <cell r="A218" t="str">
            <v>1560RCF00830</v>
          </cell>
          <cell r="B218">
            <v>1</v>
          </cell>
        </row>
        <row r="219">
          <cell r="A219" t="str">
            <v>1560RCF01059</v>
          </cell>
          <cell r="B219">
            <v>1</v>
          </cell>
        </row>
        <row r="220">
          <cell r="A220" t="str">
            <v>1560RCF01060</v>
          </cell>
          <cell r="B220">
            <v>1</v>
          </cell>
        </row>
        <row r="221">
          <cell r="A221" t="str">
            <v>1562FH153234</v>
          </cell>
          <cell r="B221">
            <v>1</v>
          </cell>
        </row>
        <row r="222">
          <cell r="A222" t="str">
            <v>1562FH153235</v>
          </cell>
          <cell r="B222">
            <v>1</v>
          </cell>
        </row>
        <row r="223">
          <cell r="A223" t="str">
            <v>1562R3300029</v>
          </cell>
          <cell r="B223">
            <v>1</v>
          </cell>
        </row>
        <row r="224">
          <cell r="A224" t="str">
            <v>1562R3300348</v>
          </cell>
          <cell r="B224">
            <v>1</v>
          </cell>
        </row>
        <row r="225">
          <cell r="A225" t="str">
            <v>1562R3301389</v>
          </cell>
          <cell r="B225">
            <v>1</v>
          </cell>
        </row>
        <row r="226">
          <cell r="A226" t="str">
            <v>1562R3301391</v>
          </cell>
          <cell r="B226">
            <v>1</v>
          </cell>
        </row>
        <row r="227">
          <cell r="A227" t="str">
            <v>1562R3301392</v>
          </cell>
          <cell r="B227">
            <v>1</v>
          </cell>
        </row>
        <row r="228">
          <cell r="A228" t="str">
            <v>1562R3301393</v>
          </cell>
          <cell r="B228">
            <v>1</v>
          </cell>
        </row>
        <row r="229">
          <cell r="A229" t="str">
            <v>1562R3301397</v>
          </cell>
          <cell r="B229">
            <v>1</v>
          </cell>
        </row>
        <row r="230">
          <cell r="A230" t="str">
            <v>1562R3301400</v>
          </cell>
          <cell r="B230">
            <v>1</v>
          </cell>
        </row>
        <row r="231">
          <cell r="A231" t="str">
            <v>1562R3301402</v>
          </cell>
          <cell r="B231">
            <v>1</v>
          </cell>
        </row>
        <row r="232">
          <cell r="A232" t="str">
            <v>1562R3320089</v>
          </cell>
          <cell r="B232">
            <v>1</v>
          </cell>
        </row>
        <row r="233">
          <cell r="A233" t="str">
            <v>1562R3320090</v>
          </cell>
          <cell r="B233">
            <v>1</v>
          </cell>
        </row>
        <row r="234">
          <cell r="A234" t="str">
            <v>1562R3320091</v>
          </cell>
          <cell r="B234">
            <v>1</v>
          </cell>
        </row>
        <row r="235">
          <cell r="A235" t="str">
            <v>1562R3320092</v>
          </cell>
          <cell r="B235">
            <v>1</v>
          </cell>
        </row>
        <row r="236">
          <cell r="A236" t="str">
            <v>1562R3320353</v>
          </cell>
          <cell r="B236">
            <v>1</v>
          </cell>
        </row>
        <row r="237">
          <cell r="A237" t="str">
            <v>1562R3320354</v>
          </cell>
          <cell r="B237">
            <v>1</v>
          </cell>
        </row>
        <row r="238">
          <cell r="A238" t="str">
            <v>1562R3320358</v>
          </cell>
          <cell r="B238">
            <v>1</v>
          </cell>
        </row>
        <row r="239">
          <cell r="A239" t="str">
            <v>1562R3320359</v>
          </cell>
          <cell r="B239">
            <v>1</v>
          </cell>
        </row>
        <row r="240">
          <cell r="A240" t="str">
            <v>1562R3320388</v>
          </cell>
          <cell r="B240">
            <v>1</v>
          </cell>
        </row>
        <row r="241">
          <cell r="A241" t="str">
            <v>1562R3320389</v>
          </cell>
          <cell r="B241">
            <v>1</v>
          </cell>
        </row>
        <row r="242">
          <cell r="A242" t="str">
            <v>1562R3320390</v>
          </cell>
          <cell r="B242">
            <v>1</v>
          </cell>
        </row>
        <row r="243">
          <cell r="A243" t="str">
            <v>1562R3320391</v>
          </cell>
          <cell r="B243">
            <v>1</v>
          </cell>
        </row>
        <row r="244">
          <cell r="A244" t="str">
            <v>1562R3320464</v>
          </cell>
          <cell r="B244">
            <v>1</v>
          </cell>
        </row>
        <row r="245">
          <cell r="A245" t="str">
            <v>1562R3320466</v>
          </cell>
          <cell r="B245">
            <v>1</v>
          </cell>
        </row>
        <row r="246">
          <cell r="A246" t="str">
            <v>1562R3320561</v>
          </cell>
          <cell r="B246">
            <v>1</v>
          </cell>
        </row>
        <row r="247">
          <cell r="A247" t="str">
            <v>1562RCF00032</v>
          </cell>
          <cell r="B247">
            <v>1</v>
          </cell>
        </row>
        <row r="248">
          <cell r="A248" t="str">
            <v>1562RCF00033</v>
          </cell>
          <cell r="B248">
            <v>1</v>
          </cell>
        </row>
        <row r="249">
          <cell r="A249" t="str">
            <v>1562RCF00034</v>
          </cell>
          <cell r="B249">
            <v>1</v>
          </cell>
        </row>
        <row r="250">
          <cell r="A250" t="str">
            <v>1562RCF00035</v>
          </cell>
          <cell r="B250">
            <v>1</v>
          </cell>
        </row>
        <row r="251">
          <cell r="A251" t="str">
            <v>1562RCF00036</v>
          </cell>
          <cell r="B251">
            <v>1</v>
          </cell>
        </row>
        <row r="252">
          <cell r="A252" t="str">
            <v>1562RCF00038</v>
          </cell>
          <cell r="B252">
            <v>1</v>
          </cell>
        </row>
        <row r="253">
          <cell r="A253" t="str">
            <v>1562RCF00039</v>
          </cell>
          <cell r="B253">
            <v>1</v>
          </cell>
        </row>
        <row r="254">
          <cell r="A254" t="str">
            <v>1562RCF00040</v>
          </cell>
          <cell r="B254">
            <v>1</v>
          </cell>
        </row>
        <row r="255">
          <cell r="A255" t="str">
            <v>1562RCF00042</v>
          </cell>
          <cell r="B255">
            <v>1</v>
          </cell>
        </row>
        <row r="256">
          <cell r="A256" t="str">
            <v>1562RCF00176</v>
          </cell>
          <cell r="B256">
            <v>1</v>
          </cell>
        </row>
        <row r="257">
          <cell r="A257" t="str">
            <v>1562RCF00179</v>
          </cell>
          <cell r="B257">
            <v>1</v>
          </cell>
        </row>
        <row r="258">
          <cell r="A258" t="str">
            <v>1562RCF00942</v>
          </cell>
          <cell r="B258">
            <v>1</v>
          </cell>
        </row>
        <row r="259">
          <cell r="A259" t="str">
            <v>1562RCF00944</v>
          </cell>
          <cell r="B259">
            <v>1</v>
          </cell>
        </row>
        <row r="260">
          <cell r="A260" t="str">
            <v>1562RCF00946</v>
          </cell>
          <cell r="B260">
            <v>1</v>
          </cell>
        </row>
        <row r="261">
          <cell r="A261" t="str">
            <v>1562RCF00947</v>
          </cell>
          <cell r="B261">
            <v>1</v>
          </cell>
        </row>
        <row r="262">
          <cell r="A262" t="str">
            <v>1562RCF00948</v>
          </cell>
          <cell r="B262">
            <v>1</v>
          </cell>
        </row>
        <row r="263">
          <cell r="A263" t="str">
            <v>1562RCF00949</v>
          </cell>
          <cell r="B263">
            <v>1</v>
          </cell>
        </row>
        <row r="264">
          <cell r="A264" t="str">
            <v>1562RCF00953</v>
          </cell>
          <cell r="B264">
            <v>1</v>
          </cell>
        </row>
        <row r="265">
          <cell r="A265" t="str">
            <v>1562RCF00955</v>
          </cell>
          <cell r="B265">
            <v>1</v>
          </cell>
        </row>
        <row r="266">
          <cell r="A266" t="str">
            <v>1562RCF00956</v>
          </cell>
          <cell r="B266">
            <v>1</v>
          </cell>
        </row>
        <row r="267">
          <cell r="A267" t="str">
            <v>1562RCF00957</v>
          </cell>
          <cell r="B267">
            <v>1</v>
          </cell>
        </row>
        <row r="268">
          <cell r="A268" t="str">
            <v>1562RCF00958</v>
          </cell>
          <cell r="B268">
            <v>1</v>
          </cell>
        </row>
        <row r="269">
          <cell r="A269" t="str">
            <v>1562RCF01067</v>
          </cell>
          <cell r="B269">
            <v>2</v>
          </cell>
        </row>
        <row r="270">
          <cell r="A270" t="str">
            <v>1562RCF01069</v>
          </cell>
          <cell r="B270">
            <v>1</v>
          </cell>
        </row>
        <row r="271">
          <cell r="A271" t="str">
            <v>1562RCF01072</v>
          </cell>
          <cell r="B271">
            <v>1</v>
          </cell>
        </row>
        <row r="272">
          <cell r="A272" t="str">
            <v>1562RCF01074</v>
          </cell>
          <cell r="B272">
            <v>1</v>
          </cell>
        </row>
        <row r="273">
          <cell r="A273" t="str">
            <v>1562RCF01075</v>
          </cell>
          <cell r="B273">
            <v>1</v>
          </cell>
        </row>
        <row r="274">
          <cell r="A274" t="str">
            <v>1562RCF01176</v>
          </cell>
          <cell r="B274">
            <v>1</v>
          </cell>
        </row>
        <row r="275">
          <cell r="A275" t="str">
            <v>1562RH120079</v>
          </cell>
          <cell r="B275">
            <v>1</v>
          </cell>
        </row>
        <row r="276">
          <cell r="A276" t="str">
            <v>1562RH120081</v>
          </cell>
          <cell r="B276">
            <v>1</v>
          </cell>
        </row>
        <row r="277">
          <cell r="A277" t="str">
            <v>1562RH120082</v>
          </cell>
          <cell r="B277">
            <v>1</v>
          </cell>
        </row>
        <row r="278">
          <cell r="A278" t="str">
            <v>1562RH120085</v>
          </cell>
          <cell r="B278">
            <v>1</v>
          </cell>
        </row>
        <row r="279">
          <cell r="A279" t="str">
            <v>1562RH120096</v>
          </cell>
          <cell r="B279">
            <v>1</v>
          </cell>
        </row>
        <row r="280">
          <cell r="A280" t="str">
            <v>1562RH122167</v>
          </cell>
          <cell r="B280">
            <v>1</v>
          </cell>
        </row>
        <row r="281">
          <cell r="A281" t="str">
            <v>1562RH124076</v>
          </cell>
          <cell r="B281">
            <v>1</v>
          </cell>
        </row>
        <row r="282">
          <cell r="A282" t="str">
            <v>1562RH124872</v>
          </cell>
          <cell r="B282">
            <v>1</v>
          </cell>
        </row>
        <row r="283">
          <cell r="A283" t="str">
            <v>1562RH125156</v>
          </cell>
          <cell r="B283">
            <v>1</v>
          </cell>
        </row>
        <row r="284">
          <cell r="A284" t="str">
            <v>1562RH125247</v>
          </cell>
          <cell r="B284">
            <v>1</v>
          </cell>
        </row>
        <row r="285">
          <cell r="A285" t="str">
            <v>1562RH125286</v>
          </cell>
          <cell r="B285">
            <v>1</v>
          </cell>
        </row>
        <row r="286">
          <cell r="A286" t="str">
            <v>1562RH126030</v>
          </cell>
          <cell r="B286">
            <v>1</v>
          </cell>
        </row>
        <row r="287">
          <cell r="A287" t="str">
            <v>1562RH126039</v>
          </cell>
          <cell r="B287">
            <v>1</v>
          </cell>
        </row>
        <row r="288">
          <cell r="A288" t="str">
            <v>1562RH126082</v>
          </cell>
          <cell r="B288">
            <v>1</v>
          </cell>
        </row>
        <row r="289">
          <cell r="A289" t="str">
            <v>1562RH126083</v>
          </cell>
          <cell r="B289">
            <v>1</v>
          </cell>
        </row>
        <row r="290">
          <cell r="A290" t="str">
            <v>1562RH126084</v>
          </cell>
          <cell r="B290">
            <v>1</v>
          </cell>
        </row>
        <row r="291">
          <cell r="A291" t="str">
            <v>1562RH126086</v>
          </cell>
          <cell r="B291">
            <v>1</v>
          </cell>
        </row>
        <row r="292">
          <cell r="A292" t="str">
            <v>1562RH126087</v>
          </cell>
          <cell r="B292">
            <v>1</v>
          </cell>
        </row>
        <row r="293">
          <cell r="A293" t="str">
            <v>1562RH126088</v>
          </cell>
          <cell r="B293">
            <v>1</v>
          </cell>
        </row>
        <row r="294">
          <cell r="A294" t="str">
            <v>1562RH127143</v>
          </cell>
          <cell r="B294">
            <v>1</v>
          </cell>
        </row>
        <row r="295">
          <cell r="A295" t="str">
            <v>1562RH127300</v>
          </cell>
          <cell r="B295">
            <v>1</v>
          </cell>
        </row>
        <row r="296">
          <cell r="A296" t="str">
            <v>1562RH127301</v>
          </cell>
          <cell r="B296">
            <v>1</v>
          </cell>
        </row>
        <row r="297">
          <cell r="A297" t="str">
            <v>1562RH127303</v>
          </cell>
          <cell r="B297">
            <v>1</v>
          </cell>
        </row>
        <row r="298">
          <cell r="A298" t="str">
            <v>1562RH127305</v>
          </cell>
          <cell r="B298">
            <v>1</v>
          </cell>
        </row>
        <row r="299">
          <cell r="A299" t="str">
            <v>1562RH127308</v>
          </cell>
          <cell r="B299">
            <v>1</v>
          </cell>
        </row>
        <row r="300">
          <cell r="A300" t="str">
            <v>1562RH127313</v>
          </cell>
          <cell r="B300">
            <v>1</v>
          </cell>
        </row>
        <row r="301">
          <cell r="A301" t="str">
            <v>1562RH127314</v>
          </cell>
          <cell r="B301">
            <v>1</v>
          </cell>
        </row>
        <row r="302">
          <cell r="A302" t="str">
            <v>1562RH127315</v>
          </cell>
          <cell r="B302">
            <v>1</v>
          </cell>
        </row>
        <row r="303">
          <cell r="A303" t="str">
            <v>1562RH127704</v>
          </cell>
          <cell r="B303">
            <v>1</v>
          </cell>
        </row>
        <row r="304">
          <cell r="A304" t="str">
            <v>1562RH127742</v>
          </cell>
          <cell r="B304">
            <v>1</v>
          </cell>
        </row>
        <row r="305">
          <cell r="A305" t="str">
            <v>1562RH127743</v>
          </cell>
          <cell r="B305">
            <v>1</v>
          </cell>
        </row>
        <row r="306">
          <cell r="A306" t="str">
            <v>1562RH127781</v>
          </cell>
          <cell r="B306">
            <v>1</v>
          </cell>
        </row>
        <row r="307">
          <cell r="A307" t="str">
            <v>1562RH127793</v>
          </cell>
          <cell r="B307">
            <v>1</v>
          </cell>
        </row>
        <row r="308">
          <cell r="A308" t="str">
            <v>1562RH127794</v>
          </cell>
          <cell r="B308">
            <v>1</v>
          </cell>
        </row>
        <row r="309">
          <cell r="A309" t="str">
            <v>1562RH128143</v>
          </cell>
          <cell r="B309">
            <v>1</v>
          </cell>
        </row>
        <row r="310">
          <cell r="A310" t="str">
            <v>1562RH128272</v>
          </cell>
          <cell r="B310">
            <v>1</v>
          </cell>
        </row>
        <row r="311">
          <cell r="A311" t="str">
            <v>1562RH128669</v>
          </cell>
          <cell r="B311">
            <v>1</v>
          </cell>
        </row>
        <row r="312">
          <cell r="A312" t="str">
            <v>1562RH128670</v>
          </cell>
          <cell r="B312">
            <v>1</v>
          </cell>
        </row>
        <row r="313">
          <cell r="A313" t="str">
            <v>1562RH128676</v>
          </cell>
          <cell r="B313">
            <v>1</v>
          </cell>
        </row>
        <row r="314">
          <cell r="A314" t="str">
            <v>1562RH129292</v>
          </cell>
          <cell r="B314">
            <v>1</v>
          </cell>
        </row>
        <row r="315">
          <cell r="A315" t="str">
            <v>1562RH129293</v>
          </cell>
          <cell r="B315">
            <v>1</v>
          </cell>
        </row>
        <row r="316">
          <cell r="A316" t="str">
            <v>1562RH129336</v>
          </cell>
          <cell r="B316">
            <v>1</v>
          </cell>
        </row>
        <row r="317">
          <cell r="A317" t="str">
            <v>1562RH129337</v>
          </cell>
          <cell r="B317">
            <v>1</v>
          </cell>
        </row>
        <row r="318">
          <cell r="A318" t="str">
            <v>1562RH129341</v>
          </cell>
          <cell r="B318">
            <v>1</v>
          </cell>
        </row>
        <row r="319">
          <cell r="A319" t="str">
            <v>1562RH129458</v>
          </cell>
          <cell r="B319">
            <v>1</v>
          </cell>
        </row>
        <row r="320">
          <cell r="A320" t="str">
            <v>1562RH129459</v>
          </cell>
          <cell r="B320">
            <v>1</v>
          </cell>
        </row>
        <row r="321">
          <cell r="A321" t="str">
            <v>1562RH129810</v>
          </cell>
          <cell r="B321">
            <v>1</v>
          </cell>
        </row>
        <row r="322">
          <cell r="A322" t="str">
            <v>1562RH129815</v>
          </cell>
          <cell r="B322">
            <v>1</v>
          </cell>
        </row>
        <row r="323">
          <cell r="A323" t="str">
            <v>1562RH129816</v>
          </cell>
          <cell r="B323">
            <v>1</v>
          </cell>
        </row>
        <row r="324">
          <cell r="A324" t="str">
            <v>1562RH129958</v>
          </cell>
          <cell r="B324">
            <v>1</v>
          </cell>
        </row>
        <row r="325">
          <cell r="A325" t="str">
            <v>1562RH130106</v>
          </cell>
          <cell r="B325">
            <v>1</v>
          </cell>
        </row>
        <row r="326">
          <cell r="A326" t="str">
            <v>1562RH130985</v>
          </cell>
          <cell r="B326">
            <v>1</v>
          </cell>
        </row>
        <row r="327">
          <cell r="A327" t="str">
            <v>1562RH131301</v>
          </cell>
          <cell r="B327">
            <v>1</v>
          </cell>
        </row>
        <row r="328">
          <cell r="A328" t="str">
            <v>1562RH131985</v>
          </cell>
          <cell r="B328">
            <v>1</v>
          </cell>
        </row>
        <row r="329">
          <cell r="A329" t="str">
            <v>1562RH132390</v>
          </cell>
          <cell r="B329">
            <v>1</v>
          </cell>
        </row>
        <row r="330">
          <cell r="A330" t="str">
            <v>1562RH132407</v>
          </cell>
          <cell r="B330">
            <v>1</v>
          </cell>
        </row>
        <row r="331">
          <cell r="A331" t="str">
            <v>1562RH132409</v>
          </cell>
          <cell r="B331">
            <v>1</v>
          </cell>
        </row>
        <row r="332">
          <cell r="A332" t="str">
            <v>1562RH132608</v>
          </cell>
          <cell r="B332">
            <v>1</v>
          </cell>
        </row>
        <row r="333">
          <cell r="A333" t="str">
            <v>1562RH132666</v>
          </cell>
          <cell r="B333">
            <v>1</v>
          </cell>
        </row>
        <row r="334">
          <cell r="A334" t="str">
            <v>1562RH132667</v>
          </cell>
          <cell r="B334">
            <v>1</v>
          </cell>
        </row>
        <row r="335">
          <cell r="A335" t="str">
            <v>1562RH132931</v>
          </cell>
          <cell r="B335">
            <v>1</v>
          </cell>
        </row>
        <row r="336">
          <cell r="A336" t="str">
            <v>1562RH133119</v>
          </cell>
          <cell r="B336">
            <v>1</v>
          </cell>
        </row>
        <row r="337">
          <cell r="A337" t="str">
            <v>1562RH133120</v>
          </cell>
          <cell r="B337">
            <v>1</v>
          </cell>
        </row>
        <row r="338">
          <cell r="A338" t="str">
            <v>1562RH134181</v>
          </cell>
          <cell r="B338">
            <v>1</v>
          </cell>
        </row>
        <row r="339">
          <cell r="A339" t="str">
            <v>1562RH134182</v>
          </cell>
          <cell r="B339">
            <v>1</v>
          </cell>
        </row>
        <row r="340">
          <cell r="A340" t="str">
            <v>1562RH134183</v>
          </cell>
          <cell r="B340">
            <v>1</v>
          </cell>
        </row>
        <row r="341">
          <cell r="A341" t="str">
            <v>1562RH134184</v>
          </cell>
          <cell r="B341">
            <v>1</v>
          </cell>
        </row>
        <row r="342">
          <cell r="A342" t="str">
            <v>1562RH134855</v>
          </cell>
          <cell r="B342">
            <v>1</v>
          </cell>
        </row>
        <row r="343">
          <cell r="A343" t="str">
            <v>1562RH134856</v>
          </cell>
          <cell r="B343">
            <v>1</v>
          </cell>
        </row>
        <row r="344">
          <cell r="A344" t="str">
            <v>1562RH135622</v>
          </cell>
          <cell r="B344">
            <v>1</v>
          </cell>
        </row>
        <row r="345">
          <cell r="A345" t="str">
            <v>1562RH136304</v>
          </cell>
          <cell r="B345">
            <v>1</v>
          </cell>
        </row>
        <row r="346">
          <cell r="A346" t="str">
            <v>1562RH136371</v>
          </cell>
          <cell r="B346">
            <v>1</v>
          </cell>
        </row>
        <row r="347">
          <cell r="A347" t="str">
            <v>1562RH136372</v>
          </cell>
          <cell r="B347">
            <v>1</v>
          </cell>
        </row>
        <row r="348">
          <cell r="A348" t="str">
            <v>1562RH137083</v>
          </cell>
          <cell r="B348">
            <v>1</v>
          </cell>
        </row>
        <row r="349">
          <cell r="A349" t="str">
            <v>1562RH137084</v>
          </cell>
          <cell r="B349">
            <v>1</v>
          </cell>
        </row>
        <row r="350">
          <cell r="A350" t="str">
            <v>1562RH138184</v>
          </cell>
          <cell r="B350">
            <v>1</v>
          </cell>
        </row>
        <row r="351">
          <cell r="A351" t="str">
            <v>1562RH138186</v>
          </cell>
          <cell r="B351">
            <v>1</v>
          </cell>
        </row>
        <row r="352">
          <cell r="A352" t="str">
            <v>1562RH138601</v>
          </cell>
          <cell r="B352">
            <v>1</v>
          </cell>
        </row>
        <row r="353">
          <cell r="A353" t="str">
            <v>1562RH138602</v>
          </cell>
          <cell r="B353">
            <v>1</v>
          </cell>
        </row>
        <row r="354">
          <cell r="A354" t="str">
            <v>1562RH138608</v>
          </cell>
          <cell r="B354">
            <v>1</v>
          </cell>
        </row>
        <row r="355">
          <cell r="A355" t="str">
            <v>1562RH139003</v>
          </cell>
          <cell r="B355">
            <v>1</v>
          </cell>
        </row>
        <row r="356">
          <cell r="A356" t="str">
            <v>1562RH139004</v>
          </cell>
          <cell r="B356">
            <v>1</v>
          </cell>
        </row>
        <row r="357">
          <cell r="A357" t="str">
            <v>1562RH139098</v>
          </cell>
          <cell r="B357">
            <v>1</v>
          </cell>
        </row>
        <row r="358">
          <cell r="A358" t="str">
            <v>1562RH139156</v>
          </cell>
          <cell r="B358">
            <v>1</v>
          </cell>
        </row>
        <row r="359">
          <cell r="A359" t="str">
            <v>1562RH139157</v>
          </cell>
          <cell r="B359">
            <v>1</v>
          </cell>
        </row>
        <row r="360">
          <cell r="A360" t="str">
            <v>1562RH139158</v>
          </cell>
          <cell r="B360">
            <v>1</v>
          </cell>
        </row>
        <row r="361">
          <cell r="A361" t="str">
            <v>1562RH139368</v>
          </cell>
          <cell r="B361">
            <v>1</v>
          </cell>
        </row>
        <row r="362">
          <cell r="A362" t="str">
            <v>1562RH139370</v>
          </cell>
          <cell r="B362">
            <v>1</v>
          </cell>
        </row>
        <row r="363">
          <cell r="A363" t="str">
            <v>1562RH140499</v>
          </cell>
          <cell r="B363">
            <v>1</v>
          </cell>
        </row>
        <row r="364">
          <cell r="A364" t="str">
            <v>1562RH140500</v>
          </cell>
          <cell r="B364">
            <v>1</v>
          </cell>
        </row>
        <row r="365">
          <cell r="A365" t="str">
            <v>1562RH140502</v>
          </cell>
          <cell r="B365">
            <v>1</v>
          </cell>
        </row>
        <row r="366">
          <cell r="A366" t="str">
            <v>1562RH140523</v>
          </cell>
          <cell r="B366">
            <v>1</v>
          </cell>
        </row>
        <row r="367">
          <cell r="A367" t="str">
            <v>1562RH140524</v>
          </cell>
          <cell r="B367">
            <v>1</v>
          </cell>
        </row>
        <row r="368">
          <cell r="A368" t="str">
            <v>1562RH140525</v>
          </cell>
          <cell r="B368">
            <v>1</v>
          </cell>
        </row>
        <row r="369">
          <cell r="A369" t="str">
            <v>1562RH140527</v>
          </cell>
          <cell r="B369">
            <v>1</v>
          </cell>
        </row>
        <row r="370">
          <cell r="A370" t="str">
            <v>1562RH140531</v>
          </cell>
          <cell r="B370">
            <v>1</v>
          </cell>
        </row>
        <row r="371">
          <cell r="A371" t="str">
            <v>1562RH140532</v>
          </cell>
          <cell r="B371">
            <v>1</v>
          </cell>
        </row>
        <row r="372">
          <cell r="A372" t="str">
            <v>1562RH140533</v>
          </cell>
          <cell r="B372">
            <v>1</v>
          </cell>
        </row>
        <row r="373">
          <cell r="A373" t="str">
            <v>1562RH140534</v>
          </cell>
          <cell r="B373">
            <v>1</v>
          </cell>
        </row>
        <row r="374">
          <cell r="A374" t="str">
            <v>1562RH140535</v>
          </cell>
          <cell r="B374">
            <v>1</v>
          </cell>
        </row>
        <row r="375">
          <cell r="A375" t="str">
            <v>1562RH141317</v>
          </cell>
          <cell r="B375">
            <v>1</v>
          </cell>
        </row>
        <row r="376">
          <cell r="A376" t="str">
            <v>1562RH141318</v>
          </cell>
          <cell r="B376">
            <v>1</v>
          </cell>
        </row>
        <row r="377">
          <cell r="A377" t="str">
            <v>1562RH141319</v>
          </cell>
          <cell r="B377">
            <v>1</v>
          </cell>
        </row>
        <row r="378">
          <cell r="A378" t="str">
            <v>1562RH141913</v>
          </cell>
          <cell r="B378">
            <v>1</v>
          </cell>
        </row>
        <row r="379">
          <cell r="A379" t="str">
            <v>1562RH142387</v>
          </cell>
          <cell r="B379">
            <v>1</v>
          </cell>
        </row>
        <row r="380">
          <cell r="A380" t="str">
            <v>1562RH142403</v>
          </cell>
          <cell r="B380">
            <v>1</v>
          </cell>
        </row>
        <row r="381">
          <cell r="A381" t="str">
            <v>1562RH142715</v>
          </cell>
          <cell r="B381">
            <v>1</v>
          </cell>
        </row>
        <row r="382">
          <cell r="A382" t="str">
            <v>1562RH142716</v>
          </cell>
          <cell r="B382">
            <v>1</v>
          </cell>
        </row>
        <row r="383">
          <cell r="A383" t="str">
            <v>1562RH142720</v>
          </cell>
          <cell r="B383">
            <v>1</v>
          </cell>
        </row>
        <row r="384">
          <cell r="A384" t="str">
            <v>1562RH143031</v>
          </cell>
          <cell r="B384">
            <v>1</v>
          </cell>
        </row>
        <row r="385">
          <cell r="A385" t="str">
            <v>1562RH143032</v>
          </cell>
          <cell r="B385">
            <v>1</v>
          </cell>
        </row>
        <row r="386">
          <cell r="A386" t="str">
            <v>1562RH143034</v>
          </cell>
          <cell r="B386">
            <v>1</v>
          </cell>
        </row>
        <row r="387">
          <cell r="A387" t="str">
            <v>1562RH143038</v>
          </cell>
          <cell r="B387">
            <v>1</v>
          </cell>
        </row>
        <row r="388">
          <cell r="A388" t="str">
            <v>1562RH143042</v>
          </cell>
          <cell r="B388">
            <v>1</v>
          </cell>
        </row>
        <row r="389">
          <cell r="A389" t="str">
            <v>1562RH143043</v>
          </cell>
          <cell r="B389">
            <v>1</v>
          </cell>
        </row>
        <row r="390">
          <cell r="A390" t="str">
            <v>1562RH143044</v>
          </cell>
          <cell r="B390">
            <v>1</v>
          </cell>
        </row>
        <row r="391">
          <cell r="A391" t="str">
            <v>1562RH144650</v>
          </cell>
          <cell r="B391">
            <v>1</v>
          </cell>
        </row>
        <row r="392">
          <cell r="A392" t="str">
            <v>1562RH144918</v>
          </cell>
          <cell r="B392">
            <v>1</v>
          </cell>
        </row>
        <row r="393">
          <cell r="A393" t="str">
            <v>1562RH145154</v>
          </cell>
          <cell r="B393">
            <v>1</v>
          </cell>
        </row>
        <row r="394">
          <cell r="A394" t="str">
            <v>1562RH145155</v>
          </cell>
          <cell r="B394">
            <v>1</v>
          </cell>
        </row>
        <row r="395">
          <cell r="A395" t="str">
            <v>1562RH145156</v>
          </cell>
          <cell r="B395">
            <v>1</v>
          </cell>
        </row>
        <row r="396">
          <cell r="A396" t="str">
            <v>1562RH145751</v>
          </cell>
          <cell r="B396">
            <v>1</v>
          </cell>
        </row>
        <row r="397">
          <cell r="A397" t="str">
            <v>1562RH145752</v>
          </cell>
          <cell r="B397">
            <v>1</v>
          </cell>
        </row>
        <row r="398">
          <cell r="A398" t="str">
            <v>1562RH145965</v>
          </cell>
          <cell r="B398">
            <v>1</v>
          </cell>
        </row>
        <row r="399">
          <cell r="A399" t="str">
            <v>1562RH145966</v>
          </cell>
          <cell r="B399">
            <v>1</v>
          </cell>
        </row>
        <row r="400">
          <cell r="A400" t="str">
            <v>1562RH145967</v>
          </cell>
          <cell r="B400">
            <v>1</v>
          </cell>
        </row>
        <row r="401">
          <cell r="A401" t="str">
            <v>1562RH146857</v>
          </cell>
          <cell r="B401">
            <v>1</v>
          </cell>
        </row>
        <row r="402">
          <cell r="A402" t="str">
            <v>1562RH147066</v>
          </cell>
          <cell r="B402">
            <v>1</v>
          </cell>
        </row>
        <row r="403">
          <cell r="A403" t="str">
            <v>1562RH147977</v>
          </cell>
          <cell r="B403">
            <v>1</v>
          </cell>
        </row>
        <row r="404">
          <cell r="A404" t="str">
            <v>1562RH147978</v>
          </cell>
          <cell r="B404">
            <v>1</v>
          </cell>
        </row>
        <row r="405">
          <cell r="A405" t="str">
            <v>1562RH149306</v>
          </cell>
          <cell r="B405">
            <v>1</v>
          </cell>
        </row>
        <row r="406">
          <cell r="A406" t="str">
            <v>1562RH149307</v>
          </cell>
          <cell r="B406">
            <v>1</v>
          </cell>
        </row>
        <row r="407">
          <cell r="A407" t="str">
            <v>1562RH150123</v>
          </cell>
          <cell r="B407">
            <v>1</v>
          </cell>
        </row>
        <row r="408">
          <cell r="A408" t="str">
            <v>1562RH150124</v>
          </cell>
          <cell r="B408">
            <v>1</v>
          </cell>
        </row>
        <row r="409">
          <cell r="A409" t="str">
            <v>1562RH152174</v>
          </cell>
          <cell r="B409">
            <v>1</v>
          </cell>
        </row>
        <row r="410">
          <cell r="A410" t="str">
            <v>1562RH152824</v>
          </cell>
          <cell r="B410">
            <v>1</v>
          </cell>
        </row>
        <row r="411">
          <cell r="A411" t="str">
            <v>1562RH153172</v>
          </cell>
          <cell r="B411">
            <v>1</v>
          </cell>
        </row>
        <row r="412">
          <cell r="A412" t="str">
            <v>1562RH153173</v>
          </cell>
          <cell r="B412">
            <v>1</v>
          </cell>
        </row>
        <row r="413">
          <cell r="A413" t="str">
            <v>1562RH153174</v>
          </cell>
          <cell r="B413">
            <v>1</v>
          </cell>
        </row>
        <row r="414">
          <cell r="A414" t="str">
            <v>1562RH153175</v>
          </cell>
          <cell r="B414">
            <v>1</v>
          </cell>
        </row>
        <row r="415">
          <cell r="A415" t="str">
            <v>1562RH153176</v>
          </cell>
          <cell r="B415">
            <v>1</v>
          </cell>
        </row>
        <row r="416">
          <cell r="A416" t="str">
            <v>1562RH153182</v>
          </cell>
          <cell r="B416">
            <v>1</v>
          </cell>
        </row>
        <row r="417">
          <cell r="A417" t="str">
            <v>1562RH153184</v>
          </cell>
          <cell r="B417">
            <v>1</v>
          </cell>
        </row>
        <row r="418">
          <cell r="A418" t="str">
            <v>1562RH153185</v>
          </cell>
          <cell r="B418">
            <v>1</v>
          </cell>
        </row>
        <row r="419">
          <cell r="A419" t="str">
            <v>1562RH153187</v>
          </cell>
          <cell r="B419">
            <v>1</v>
          </cell>
        </row>
        <row r="420">
          <cell r="A420" t="str">
            <v>1562RH153189</v>
          </cell>
          <cell r="B420">
            <v>1</v>
          </cell>
        </row>
        <row r="421">
          <cell r="A421" t="str">
            <v>1562RH153205</v>
          </cell>
          <cell r="B421">
            <v>1</v>
          </cell>
        </row>
        <row r="422">
          <cell r="A422" t="str">
            <v>1562RH153206</v>
          </cell>
          <cell r="B422">
            <v>1</v>
          </cell>
        </row>
        <row r="423">
          <cell r="A423" t="str">
            <v>1562RH153207</v>
          </cell>
          <cell r="B423">
            <v>1</v>
          </cell>
        </row>
        <row r="424">
          <cell r="A424" t="str">
            <v>1562RH153210</v>
          </cell>
          <cell r="B424">
            <v>1</v>
          </cell>
        </row>
        <row r="425">
          <cell r="A425" t="str">
            <v>1562RH153212</v>
          </cell>
          <cell r="B425">
            <v>1</v>
          </cell>
        </row>
        <row r="426">
          <cell r="A426" t="str">
            <v>1562RH153213</v>
          </cell>
          <cell r="B426">
            <v>1</v>
          </cell>
        </row>
        <row r="427">
          <cell r="A427" t="str">
            <v>1562RH153218</v>
          </cell>
          <cell r="B427">
            <v>1</v>
          </cell>
        </row>
        <row r="428">
          <cell r="A428" t="str">
            <v>1562RH153219</v>
          </cell>
          <cell r="B428">
            <v>1</v>
          </cell>
        </row>
        <row r="429">
          <cell r="A429" t="str">
            <v>1562RH153221</v>
          </cell>
          <cell r="B429">
            <v>1</v>
          </cell>
        </row>
        <row r="430">
          <cell r="A430" t="str">
            <v>1562RH153222</v>
          </cell>
          <cell r="B430">
            <v>1</v>
          </cell>
        </row>
        <row r="431">
          <cell r="A431" t="str">
            <v>1562RH153223</v>
          </cell>
          <cell r="B431">
            <v>1</v>
          </cell>
        </row>
        <row r="432">
          <cell r="A432" t="str">
            <v>1562RH153228</v>
          </cell>
          <cell r="B432">
            <v>1</v>
          </cell>
        </row>
        <row r="433">
          <cell r="A433" t="str">
            <v>1562RH153229</v>
          </cell>
          <cell r="B433">
            <v>1</v>
          </cell>
        </row>
        <row r="434">
          <cell r="A434" t="str">
            <v>1562RH153230</v>
          </cell>
          <cell r="B434">
            <v>1</v>
          </cell>
        </row>
        <row r="435">
          <cell r="A435" t="str">
            <v>1562RH153232</v>
          </cell>
          <cell r="B435">
            <v>1</v>
          </cell>
        </row>
        <row r="436">
          <cell r="A436" t="str">
            <v>1562RH153236</v>
          </cell>
          <cell r="B436">
            <v>1</v>
          </cell>
        </row>
        <row r="437">
          <cell r="A437" t="str">
            <v>1562RH153241</v>
          </cell>
          <cell r="B437">
            <v>1</v>
          </cell>
        </row>
        <row r="438">
          <cell r="A438" t="str">
            <v>1562RH153242</v>
          </cell>
          <cell r="B438">
            <v>1</v>
          </cell>
        </row>
        <row r="439">
          <cell r="A439" t="str">
            <v>1562RH153244</v>
          </cell>
          <cell r="B439">
            <v>1</v>
          </cell>
        </row>
        <row r="440">
          <cell r="A440" t="str">
            <v>1562RH153245</v>
          </cell>
          <cell r="B440">
            <v>1</v>
          </cell>
        </row>
        <row r="441">
          <cell r="A441" t="str">
            <v>1562RH153248</v>
          </cell>
          <cell r="B441">
            <v>1</v>
          </cell>
        </row>
        <row r="442">
          <cell r="A442" t="str">
            <v>1562RH153251</v>
          </cell>
          <cell r="B442">
            <v>1</v>
          </cell>
        </row>
        <row r="443">
          <cell r="A443" t="str">
            <v>1562RH153252</v>
          </cell>
          <cell r="B443">
            <v>1</v>
          </cell>
        </row>
        <row r="444">
          <cell r="A444" t="str">
            <v>1562RH153487</v>
          </cell>
          <cell r="B444">
            <v>1</v>
          </cell>
        </row>
        <row r="445">
          <cell r="A445" t="str">
            <v>1562RH154066</v>
          </cell>
          <cell r="B445">
            <v>1</v>
          </cell>
        </row>
        <row r="446">
          <cell r="A446" t="str">
            <v>1562RH154067</v>
          </cell>
          <cell r="B446">
            <v>1</v>
          </cell>
        </row>
        <row r="447">
          <cell r="A447" t="str">
            <v>1562RH154068</v>
          </cell>
          <cell r="B447">
            <v>1</v>
          </cell>
        </row>
        <row r="448">
          <cell r="A448" t="str">
            <v>1562RH154072</v>
          </cell>
          <cell r="B448">
            <v>1</v>
          </cell>
        </row>
        <row r="449">
          <cell r="A449" t="str">
            <v>1562RH154075</v>
          </cell>
          <cell r="B449">
            <v>1</v>
          </cell>
        </row>
        <row r="450">
          <cell r="A450" t="str">
            <v>1562RH154080</v>
          </cell>
          <cell r="B450">
            <v>1</v>
          </cell>
        </row>
        <row r="451">
          <cell r="A451" t="str">
            <v>1562RH154081</v>
          </cell>
          <cell r="B451">
            <v>1</v>
          </cell>
        </row>
        <row r="452">
          <cell r="A452" t="str">
            <v>1562RH154212</v>
          </cell>
          <cell r="B452">
            <v>1</v>
          </cell>
        </row>
        <row r="453">
          <cell r="A453" t="str">
            <v>1562RH154444</v>
          </cell>
          <cell r="B453">
            <v>1</v>
          </cell>
        </row>
        <row r="454">
          <cell r="A454" t="str">
            <v>1562RH154446</v>
          </cell>
          <cell r="B454">
            <v>1</v>
          </cell>
        </row>
        <row r="455">
          <cell r="A455" t="str">
            <v>1562RH154448</v>
          </cell>
          <cell r="B455">
            <v>1</v>
          </cell>
        </row>
        <row r="456">
          <cell r="A456" t="str">
            <v>1562RH154450</v>
          </cell>
          <cell r="B456">
            <v>1</v>
          </cell>
        </row>
        <row r="457">
          <cell r="A457" t="str">
            <v>1562RH154454</v>
          </cell>
          <cell r="B457">
            <v>1</v>
          </cell>
        </row>
        <row r="458">
          <cell r="A458" t="str">
            <v>1562RH154455</v>
          </cell>
          <cell r="B458">
            <v>1</v>
          </cell>
        </row>
        <row r="459">
          <cell r="A459" t="str">
            <v>1562RH154598</v>
          </cell>
          <cell r="B459">
            <v>1</v>
          </cell>
        </row>
        <row r="460">
          <cell r="A460" t="str">
            <v>1562RH155233</v>
          </cell>
          <cell r="B460">
            <v>1</v>
          </cell>
        </row>
        <row r="461">
          <cell r="A461" t="str">
            <v>1562RH155238</v>
          </cell>
          <cell r="B461">
            <v>1</v>
          </cell>
        </row>
        <row r="462">
          <cell r="A462" t="str">
            <v>1562RH155247</v>
          </cell>
          <cell r="B462">
            <v>1</v>
          </cell>
        </row>
        <row r="463">
          <cell r="A463" t="str">
            <v>1562RH156698</v>
          </cell>
          <cell r="B463">
            <v>1</v>
          </cell>
        </row>
        <row r="464">
          <cell r="A464" t="str">
            <v>1562RH156886</v>
          </cell>
          <cell r="B464">
            <v>1</v>
          </cell>
        </row>
        <row r="465">
          <cell r="A465" t="str">
            <v>1562RH157104</v>
          </cell>
          <cell r="B465">
            <v>1</v>
          </cell>
        </row>
        <row r="466">
          <cell r="A466" t="str">
            <v>1562RH157360</v>
          </cell>
          <cell r="B466">
            <v>1</v>
          </cell>
        </row>
        <row r="467">
          <cell r="A467" t="str">
            <v>1562RH157361</v>
          </cell>
          <cell r="B467">
            <v>1</v>
          </cell>
        </row>
        <row r="468">
          <cell r="A468" t="str">
            <v>1562RH157484</v>
          </cell>
          <cell r="B468">
            <v>1</v>
          </cell>
        </row>
        <row r="469">
          <cell r="A469" t="str">
            <v>1562RH157546</v>
          </cell>
          <cell r="B469">
            <v>1</v>
          </cell>
        </row>
        <row r="470">
          <cell r="A470" t="str">
            <v>1562RH157547</v>
          </cell>
          <cell r="B470">
            <v>1</v>
          </cell>
        </row>
        <row r="471">
          <cell r="A471" t="str">
            <v>1562RH157548</v>
          </cell>
          <cell r="B471">
            <v>1</v>
          </cell>
        </row>
        <row r="472">
          <cell r="A472" t="str">
            <v>1562RH157850</v>
          </cell>
          <cell r="B472">
            <v>1</v>
          </cell>
        </row>
        <row r="473">
          <cell r="A473" t="str">
            <v>1562RH158134</v>
          </cell>
          <cell r="B473">
            <v>1</v>
          </cell>
        </row>
        <row r="474">
          <cell r="A474" t="str">
            <v>1562RH158137</v>
          </cell>
          <cell r="B474">
            <v>1</v>
          </cell>
        </row>
        <row r="475">
          <cell r="A475" t="str">
            <v>1720F3301167</v>
          </cell>
          <cell r="B475">
            <v>1</v>
          </cell>
        </row>
        <row r="476">
          <cell r="A476" t="str">
            <v>1720F3301172</v>
          </cell>
          <cell r="B476">
            <v>1</v>
          </cell>
        </row>
        <row r="477">
          <cell r="A477" t="str">
            <v>1720F3301184</v>
          </cell>
          <cell r="B477">
            <v>1</v>
          </cell>
        </row>
        <row r="478">
          <cell r="A478" t="str">
            <v>1720F3301190</v>
          </cell>
          <cell r="B478">
            <v>1</v>
          </cell>
        </row>
        <row r="479">
          <cell r="A479" t="str">
            <v>1720F3301953</v>
          </cell>
          <cell r="B479">
            <v>1</v>
          </cell>
        </row>
        <row r="480">
          <cell r="A480" t="str">
            <v>1720F3320039</v>
          </cell>
          <cell r="B480">
            <v>1</v>
          </cell>
        </row>
        <row r="481">
          <cell r="A481" t="str">
            <v>1720F3320041</v>
          </cell>
          <cell r="B481">
            <v>1</v>
          </cell>
        </row>
        <row r="482">
          <cell r="A482" t="str">
            <v>1720F3320044</v>
          </cell>
          <cell r="B482">
            <v>1</v>
          </cell>
        </row>
        <row r="483">
          <cell r="A483" t="str">
            <v>1720F3320045</v>
          </cell>
          <cell r="B483">
            <v>1</v>
          </cell>
        </row>
        <row r="484">
          <cell r="A484" t="str">
            <v>1720F3320046</v>
          </cell>
          <cell r="B484">
            <v>2</v>
          </cell>
        </row>
        <row r="485">
          <cell r="A485" t="str">
            <v>1720F3320047</v>
          </cell>
          <cell r="B485">
            <v>1</v>
          </cell>
        </row>
        <row r="486">
          <cell r="A486" t="str">
            <v>1720F3320050</v>
          </cell>
          <cell r="B486">
            <v>1</v>
          </cell>
        </row>
        <row r="487">
          <cell r="A487" t="str">
            <v>1720F3320052</v>
          </cell>
          <cell r="B487">
            <v>1</v>
          </cell>
        </row>
        <row r="488">
          <cell r="A488" t="str">
            <v>1720F3320053</v>
          </cell>
          <cell r="B488">
            <v>1</v>
          </cell>
        </row>
        <row r="489">
          <cell r="A489" t="str">
            <v>1720F3320054</v>
          </cell>
          <cell r="B489">
            <v>1</v>
          </cell>
        </row>
        <row r="490">
          <cell r="A490" t="str">
            <v>1720F3320055</v>
          </cell>
          <cell r="B490">
            <v>1</v>
          </cell>
        </row>
        <row r="491">
          <cell r="A491" t="str">
            <v>1720F3320058</v>
          </cell>
          <cell r="B491">
            <v>1</v>
          </cell>
        </row>
        <row r="492">
          <cell r="A492" t="str">
            <v>1720F3320060</v>
          </cell>
          <cell r="B492">
            <v>1</v>
          </cell>
        </row>
        <row r="493">
          <cell r="A493" t="str">
            <v>1720F3320061</v>
          </cell>
          <cell r="B493">
            <v>1</v>
          </cell>
        </row>
        <row r="494">
          <cell r="A494" t="str">
            <v>1720F3320062</v>
          </cell>
          <cell r="B494">
            <v>1</v>
          </cell>
        </row>
        <row r="495">
          <cell r="A495" t="str">
            <v>1720F3320065</v>
          </cell>
          <cell r="B495">
            <v>1</v>
          </cell>
        </row>
        <row r="496">
          <cell r="A496" t="str">
            <v>1720F3320066</v>
          </cell>
          <cell r="B496">
            <v>1</v>
          </cell>
        </row>
        <row r="497">
          <cell r="A497" t="str">
            <v>1720F3320067</v>
          </cell>
          <cell r="B497">
            <v>1</v>
          </cell>
        </row>
        <row r="498">
          <cell r="A498" t="str">
            <v>1720FCF00089</v>
          </cell>
          <cell r="B498">
            <v>1</v>
          </cell>
        </row>
        <row r="499">
          <cell r="A499" t="str">
            <v>1720FH120178</v>
          </cell>
          <cell r="B499">
            <v>1</v>
          </cell>
        </row>
        <row r="500">
          <cell r="A500" t="str">
            <v>1720FH120181</v>
          </cell>
          <cell r="B500">
            <v>1</v>
          </cell>
        </row>
        <row r="501">
          <cell r="A501" t="str">
            <v>1720FH120183</v>
          </cell>
          <cell r="B501">
            <v>1</v>
          </cell>
        </row>
        <row r="502">
          <cell r="A502" t="str">
            <v>1720FH120184</v>
          </cell>
          <cell r="B502">
            <v>1</v>
          </cell>
        </row>
        <row r="503">
          <cell r="A503" t="str">
            <v>1720FH120185</v>
          </cell>
          <cell r="B503">
            <v>1</v>
          </cell>
        </row>
        <row r="504">
          <cell r="A504" t="str">
            <v>1720FH120188</v>
          </cell>
          <cell r="B504">
            <v>1</v>
          </cell>
        </row>
        <row r="505">
          <cell r="A505" t="str">
            <v>1720FH120190</v>
          </cell>
          <cell r="B505">
            <v>1</v>
          </cell>
        </row>
        <row r="506">
          <cell r="A506" t="str">
            <v>1720FH120192</v>
          </cell>
          <cell r="B506">
            <v>1</v>
          </cell>
        </row>
        <row r="507">
          <cell r="A507" t="str">
            <v>1720FH120193</v>
          </cell>
          <cell r="B507">
            <v>1</v>
          </cell>
        </row>
        <row r="508">
          <cell r="A508" t="str">
            <v>1720FH120194</v>
          </cell>
          <cell r="B508">
            <v>1</v>
          </cell>
        </row>
        <row r="509">
          <cell r="A509" t="str">
            <v>1720FH120196</v>
          </cell>
          <cell r="B509">
            <v>1</v>
          </cell>
        </row>
        <row r="510">
          <cell r="A510" t="str">
            <v>1720FH120198</v>
          </cell>
          <cell r="B510">
            <v>1</v>
          </cell>
        </row>
        <row r="511">
          <cell r="A511" t="str">
            <v>1720FH120199</v>
          </cell>
          <cell r="B511">
            <v>1</v>
          </cell>
        </row>
        <row r="512">
          <cell r="A512" t="str">
            <v>1720FH120200</v>
          </cell>
          <cell r="B512">
            <v>1</v>
          </cell>
        </row>
        <row r="513">
          <cell r="A513" t="str">
            <v>1720FH120242</v>
          </cell>
          <cell r="B513">
            <v>1</v>
          </cell>
        </row>
        <row r="514">
          <cell r="A514" t="str">
            <v>1720FH120243</v>
          </cell>
          <cell r="B514">
            <v>1</v>
          </cell>
        </row>
        <row r="515">
          <cell r="A515" t="str">
            <v>1720FH120244</v>
          </cell>
          <cell r="B515">
            <v>1</v>
          </cell>
        </row>
        <row r="516">
          <cell r="A516" t="str">
            <v>1720FH120246</v>
          </cell>
          <cell r="B516">
            <v>1</v>
          </cell>
        </row>
        <row r="517">
          <cell r="A517" t="str">
            <v>1720FH120247</v>
          </cell>
          <cell r="B517">
            <v>1</v>
          </cell>
        </row>
        <row r="518">
          <cell r="A518" t="str">
            <v>1720FH120312</v>
          </cell>
          <cell r="B518">
            <v>1</v>
          </cell>
        </row>
        <row r="519">
          <cell r="A519" t="str">
            <v>1720FH121344</v>
          </cell>
          <cell r="B519">
            <v>1</v>
          </cell>
        </row>
        <row r="520">
          <cell r="A520" t="str">
            <v>1720FH121346</v>
          </cell>
          <cell r="B520">
            <v>1</v>
          </cell>
        </row>
        <row r="521">
          <cell r="A521" t="str">
            <v>1720FH121347</v>
          </cell>
          <cell r="B521">
            <v>1</v>
          </cell>
        </row>
        <row r="522">
          <cell r="A522" t="str">
            <v>1720FH121350</v>
          </cell>
          <cell r="B522">
            <v>1</v>
          </cell>
        </row>
        <row r="523">
          <cell r="A523" t="str">
            <v>1720FH121351</v>
          </cell>
          <cell r="B523">
            <v>1</v>
          </cell>
        </row>
        <row r="524">
          <cell r="A524" t="str">
            <v>1720FH121352</v>
          </cell>
          <cell r="B524">
            <v>1</v>
          </cell>
        </row>
        <row r="525">
          <cell r="A525" t="str">
            <v>1720FH121353</v>
          </cell>
          <cell r="B525">
            <v>1</v>
          </cell>
        </row>
        <row r="526">
          <cell r="A526" t="str">
            <v>1720FH121355</v>
          </cell>
          <cell r="B526">
            <v>1</v>
          </cell>
        </row>
        <row r="527">
          <cell r="A527" t="str">
            <v>1720FH121357</v>
          </cell>
          <cell r="B527">
            <v>1</v>
          </cell>
        </row>
        <row r="528">
          <cell r="A528" t="str">
            <v>1720FH121358</v>
          </cell>
          <cell r="B528">
            <v>1</v>
          </cell>
        </row>
        <row r="529">
          <cell r="A529" t="str">
            <v>1720FH121360</v>
          </cell>
          <cell r="B529">
            <v>1</v>
          </cell>
        </row>
        <row r="530">
          <cell r="A530" t="str">
            <v>1720FH121361</v>
          </cell>
          <cell r="B530">
            <v>1</v>
          </cell>
        </row>
        <row r="531">
          <cell r="A531" t="str">
            <v>1720FH121362</v>
          </cell>
          <cell r="B531">
            <v>1</v>
          </cell>
        </row>
        <row r="532">
          <cell r="A532" t="str">
            <v>1720FH121363</v>
          </cell>
          <cell r="B532">
            <v>1</v>
          </cell>
        </row>
        <row r="533">
          <cell r="A533" t="str">
            <v>1720FH121364</v>
          </cell>
          <cell r="B533">
            <v>1</v>
          </cell>
        </row>
        <row r="534">
          <cell r="A534" t="str">
            <v>1720FH121720</v>
          </cell>
          <cell r="B534">
            <v>1</v>
          </cell>
        </row>
        <row r="535">
          <cell r="A535" t="str">
            <v>1720FH121721</v>
          </cell>
          <cell r="B535">
            <v>1</v>
          </cell>
        </row>
        <row r="536">
          <cell r="A536" t="str">
            <v>1720FH121722</v>
          </cell>
          <cell r="B536">
            <v>1</v>
          </cell>
        </row>
        <row r="537">
          <cell r="A537" t="str">
            <v>1720FH121724</v>
          </cell>
          <cell r="B537">
            <v>1</v>
          </cell>
        </row>
        <row r="538">
          <cell r="A538" t="str">
            <v>1720FH121726</v>
          </cell>
          <cell r="B538">
            <v>1</v>
          </cell>
        </row>
        <row r="539">
          <cell r="A539" t="str">
            <v>1720FH121779</v>
          </cell>
          <cell r="B539">
            <v>1</v>
          </cell>
        </row>
        <row r="540">
          <cell r="A540" t="str">
            <v>1720FH121780</v>
          </cell>
          <cell r="B540">
            <v>1</v>
          </cell>
        </row>
        <row r="541">
          <cell r="A541" t="str">
            <v>1720FH121781</v>
          </cell>
          <cell r="B541">
            <v>1</v>
          </cell>
        </row>
        <row r="542">
          <cell r="A542" t="str">
            <v>1720FH121782</v>
          </cell>
          <cell r="B542">
            <v>1</v>
          </cell>
        </row>
        <row r="543">
          <cell r="A543" t="str">
            <v>1720FH121783</v>
          </cell>
          <cell r="B543">
            <v>1</v>
          </cell>
        </row>
        <row r="544">
          <cell r="A544" t="str">
            <v>1720FH121784</v>
          </cell>
          <cell r="B544">
            <v>1</v>
          </cell>
        </row>
        <row r="545">
          <cell r="A545" t="str">
            <v>1720FH121785</v>
          </cell>
          <cell r="B545">
            <v>1</v>
          </cell>
        </row>
        <row r="546">
          <cell r="A546" t="str">
            <v>1720FH121856</v>
          </cell>
          <cell r="B546">
            <v>1</v>
          </cell>
        </row>
        <row r="547">
          <cell r="A547" t="str">
            <v>1720FH121857</v>
          </cell>
          <cell r="B547">
            <v>1</v>
          </cell>
        </row>
        <row r="548">
          <cell r="A548" t="str">
            <v>1720FH121859</v>
          </cell>
          <cell r="B548">
            <v>1</v>
          </cell>
        </row>
        <row r="549">
          <cell r="A549" t="str">
            <v>1720FH121907</v>
          </cell>
          <cell r="B549">
            <v>1</v>
          </cell>
        </row>
        <row r="550">
          <cell r="A550" t="str">
            <v>1720FH121908</v>
          </cell>
          <cell r="B550">
            <v>1</v>
          </cell>
        </row>
        <row r="551">
          <cell r="A551" t="str">
            <v>1720FH121909</v>
          </cell>
          <cell r="B551">
            <v>1</v>
          </cell>
        </row>
        <row r="552">
          <cell r="A552" t="str">
            <v>1720FH121911</v>
          </cell>
          <cell r="B552">
            <v>1</v>
          </cell>
        </row>
        <row r="553">
          <cell r="A553" t="str">
            <v>1720FH121912</v>
          </cell>
          <cell r="B553">
            <v>1</v>
          </cell>
        </row>
        <row r="554">
          <cell r="A554" t="str">
            <v>1720FH121913</v>
          </cell>
          <cell r="B554">
            <v>1</v>
          </cell>
        </row>
        <row r="555">
          <cell r="A555" t="str">
            <v>1720FH121914</v>
          </cell>
          <cell r="B555">
            <v>1</v>
          </cell>
        </row>
        <row r="556">
          <cell r="A556" t="str">
            <v>1720FH121915</v>
          </cell>
          <cell r="B556">
            <v>1</v>
          </cell>
        </row>
        <row r="557">
          <cell r="A557" t="str">
            <v>1720FH122068</v>
          </cell>
          <cell r="B557">
            <v>1</v>
          </cell>
        </row>
        <row r="558">
          <cell r="A558" t="str">
            <v>1720FH122104</v>
          </cell>
          <cell r="B558">
            <v>1</v>
          </cell>
        </row>
        <row r="559">
          <cell r="A559" t="str">
            <v>1720FH122105</v>
          </cell>
          <cell r="B559">
            <v>1</v>
          </cell>
        </row>
        <row r="560">
          <cell r="A560" t="str">
            <v>1720FH122106</v>
          </cell>
          <cell r="B560">
            <v>1</v>
          </cell>
        </row>
        <row r="561">
          <cell r="A561" t="str">
            <v>1720FH122107</v>
          </cell>
          <cell r="B561">
            <v>1</v>
          </cell>
        </row>
        <row r="562">
          <cell r="A562" t="str">
            <v>1720FH122108</v>
          </cell>
          <cell r="B562">
            <v>1</v>
          </cell>
        </row>
        <row r="563">
          <cell r="A563" t="str">
            <v>1720FH122110</v>
          </cell>
          <cell r="B563">
            <v>1</v>
          </cell>
        </row>
        <row r="564">
          <cell r="A564" t="str">
            <v>1720FH122111</v>
          </cell>
          <cell r="B564">
            <v>1</v>
          </cell>
        </row>
        <row r="565">
          <cell r="A565" t="str">
            <v>1720FH122112</v>
          </cell>
          <cell r="B565">
            <v>1</v>
          </cell>
        </row>
        <row r="566">
          <cell r="A566" t="str">
            <v>1720FH122113</v>
          </cell>
          <cell r="B566">
            <v>1</v>
          </cell>
        </row>
        <row r="567">
          <cell r="A567" t="str">
            <v>1720FH122114</v>
          </cell>
          <cell r="B567">
            <v>1</v>
          </cell>
        </row>
        <row r="568">
          <cell r="A568" t="str">
            <v>1720FH122115</v>
          </cell>
          <cell r="B568">
            <v>1</v>
          </cell>
        </row>
        <row r="569">
          <cell r="A569" t="str">
            <v>1720FH122116</v>
          </cell>
          <cell r="B569">
            <v>1</v>
          </cell>
        </row>
        <row r="570">
          <cell r="A570" t="str">
            <v>1720FH122117</v>
          </cell>
          <cell r="B570">
            <v>1</v>
          </cell>
        </row>
        <row r="571">
          <cell r="A571" t="str">
            <v>1720FH122159</v>
          </cell>
          <cell r="B571">
            <v>1</v>
          </cell>
        </row>
        <row r="572">
          <cell r="A572" t="str">
            <v>1720FH122160</v>
          </cell>
          <cell r="B572">
            <v>1</v>
          </cell>
        </row>
        <row r="573">
          <cell r="A573" t="str">
            <v>1720FH122161</v>
          </cell>
          <cell r="B573">
            <v>1</v>
          </cell>
        </row>
        <row r="574">
          <cell r="A574" t="str">
            <v>1720FH122162</v>
          </cell>
          <cell r="B574">
            <v>1</v>
          </cell>
        </row>
        <row r="575">
          <cell r="A575" t="str">
            <v>1720FH122163</v>
          </cell>
          <cell r="B575">
            <v>1</v>
          </cell>
        </row>
        <row r="576">
          <cell r="A576" t="str">
            <v>1720FH122164</v>
          </cell>
          <cell r="B576">
            <v>1</v>
          </cell>
        </row>
        <row r="577">
          <cell r="A577" t="str">
            <v>1720FH122166</v>
          </cell>
          <cell r="B577">
            <v>1</v>
          </cell>
        </row>
        <row r="578">
          <cell r="A578" t="str">
            <v>1720FH122167</v>
          </cell>
          <cell r="B578">
            <v>1</v>
          </cell>
        </row>
        <row r="579">
          <cell r="A579" t="str">
            <v>1720FH122168</v>
          </cell>
          <cell r="B579">
            <v>1</v>
          </cell>
        </row>
        <row r="580">
          <cell r="A580" t="str">
            <v>1720FH122169</v>
          </cell>
          <cell r="B580">
            <v>1</v>
          </cell>
        </row>
        <row r="581">
          <cell r="A581" t="str">
            <v>1720FH122343</v>
          </cell>
          <cell r="B581">
            <v>1</v>
          </cell>
        </row>
        <row r="582">
          <cell r="A582" t="str">
            <v>1720FH122344</v>
          </cell>
          <cell r="B582">
            <v>1</v>
          </cell>
        </row>
        <row r="583">
          <cell r="A583" t="str">
            <v>1720FH122345</v>
          </cell>
          <cell r="B583">
            <v>1</v>
          </cell>
        </row>
        <row r="584">
          <cell r="A584" t="str">
            <v>1720FH122346</v>
          </cell>
          <cell r="B584">
            <v>1</v>
          </cell>
        </row>
        <row r="585">
          <cell r="A585" t="str">
            <v>1720FH122347</v>
          </cell>
          <cell r="B585">
            <v>1</v>
          </cell>
        </row>
        <row r="586">
          <cell r="A586" t="str">
            <v>1720FH122348</v>
          </cell>
          <cell r="B586">
            <v>1</v>
          </cell>
        </row>
        <row r="587">
          <cell r="A587" t="str">
            <v>1720FH122663</v>
          </cell>
          <cell r="B587">
            <v>1</v>
          </cell>
        </row>
        <row r="588">
          <cell r="A588" t="str">
            <v>1720FH122664</v>
          </cell>
          <cell r="B588">
            <v>1</v>
          </cell>
        </row>
        <row r="589">
          <cell r="A589" t="str">
            <v>1720FH122665</v>
          </cell>
          <cell r="B589">
            <v>1</v>
          </cell>
        </row>
        <row r="590">
          <cell r="A590" t="str">
            <v>1720FH122666</v>
          </cell>
          <cell r="B590">
            <v>1</v>
          </cell>
        </row>
        <row r="591">
          <cell r="A591" t="str">
            <v>1720FH122667</v>
          </cell>
          <cell r="B591">
            <v>1</v>
          </cell>
        </row>
        <row r="592">
          <cell r="A592" t="str">
            <v>1720FH122668</v>
          </cell>
          <cell r="B592">
            <v>1</v>
          </cell>
        </row>
        <row r="593">
          <cell r="A593" t="str">
            <v>1720FH122669</v>
          </cell>
          <cell r="B593">
            <v>1</v>
          </cell>
        </row>
        <row r="594">
          <cell r="A594" t="str">
            <v>1720FH122670</v>
          </cell>
          <cell r="B594">
            <v>1</v>
          </cell>
        </row>
        <row r="595">
          <cell r="A595" t="str">
            <v>1720FH123158</v>
          </cell>
          <cell r="B595">
            <v>1</v>
          </cell>
        </row>
        <row r="596">
          <cell r="A596" t="str">
            <v>1720FH123159</v>
          </cell>
          <cell r="B596">
            <v>1</v>
          </cell>
        </row>
        <row r="597">
          <cell r="A597" t="str">
            <v>1720FH123161</v>
          </cell>
          <cell r="B597">
            <v>1</v>
          </cell>
        </row>
        <row r="598">
          <cell r="A598" t="str">
            <v>1720FH123163</v>
          </cell>
          <cell r="B598">
            <v>1</v>
          </cell>
        </row>
        <row r="599">
          <cell r="A599" t="str">
            <v>1720FH123164</v>
          </cell>
          <cell r="B599">
            <v>1</v>
          </cell>
        </row>
        <row r="600">
          <cell r="A600" t="str">
            <v>1720FH123165</v>
          </cell>
          <cell r="B600">
            <v>1</v>
          </cell>
        </row>
        <row r="601">
          <cell r="A601" t="str">
            <v>1720FH123166</v>
          </cell>
          <cell r="B601">
            <v>1</v>
          </cell>
        </row>
        <row r="602">
          <cell r="A602" t="str">
            <v>1720FH123167</v>
          </cell>
          <cell r="B602">
            <v>1</v>
          </cell>
        </row>
        <row r="603">
          <cell r="A603" t="str">
            <v>1720FH123698</v>
          </cell>
          <cell r="B603">
            <v>1</v>
          </cell>
        </row>
        <row r="604">
          <cell r="A604" t="str">
            <v>1720FH123699</v>
          </cell>
          <cell r="B604">
            <v>1</v>
          </cell>
        </row>
        <row r="605">
          <cell r="A605" t="str">
            <v>1720FH123700</v>
          </cell>
          <cell r="B605">
            <v>1</v>
          </cell>
        </row>
        <row r="606">
          <cell r="A606" t="str">
            <v>1720FH123701</v>
          </cell>
          <cell r="B606">
            <v>1</v>
          </cell>
        </row>
        <row r="607">
          <cell r="A607" t="str">
            <v>1720FH123703</v>
          </cell>
          <cell r="B607">
            <v>1</v>
          </cell>
        </row>
        <row r="608">
          <cell r="A608" t="str">
            <v>1720FH123705</v>
          </cell>
          <cell r="B608">
            <v>1</v>
          </cell>
        </row>
        <row r="609">
          <cell r="A609" t="str">
            <v>1720FH123706</v>
          </cell>
          <cell r="B609">
            <v>1</v>
          </cell>
        </row>
        <row r="610">
          <cell r="A610" t="str">
            <v>1720FH123707</v>
          </cell>
          <cell r="B610">
            <v>1</v>
          </cell>
        </row>
        <row r="611">
          <cell r="A611" t="str">
            <v>1720FH123710</v>
          </cell>
          <cell r="B611">
            <v>1</v>
          </cell>
        </row>
        <row r="612">
          <cell r="A612" t="str">
            <v>1720FH123711</v>
          </cell>
          <cell r="B612">
            <v>1</v>
          </cell>
        </row>
        <row r="613">
          <cell r="A613" t="str">
            <v>1720V3300881</v>
          </cell>
          <cell r="B613">
            <v>1</v>
          </cell>
        </row>
        <row r="614">
          <cell r="A614" t="str">
            <v>1720V3301056</v>
          </cell>
          <cell r="B614">
            <v>1</v>
          </cell>
        </row>
        <row r="615">
          <cell r="A615" t="str">
            <v>1720VCF00020</v>
          </cell>
          <cell r="B615">
            <v>1</v>
          </cell>
        </row>
        <row r="616">
          <cell r="A616" t="str">
            <v>1720VH120055</v>
          </cell>
          <cell r="B616">
            <v>1</v>
          </cell>
        </row>
        <row r="617">
          <cell r="A617" t="str">
            <v>1720VH120056</v>
          </cell>
          <cell r="B617">
            <v>1</v>
          </cell>
        </row>
        <row r="618">
          <cell r="A618" t="str">
            <v>1720VH120058</v>
          </cell>
          <cell r="B618">
            <v>1</v>
          </cell>
        </row>
        <row r="619">
          <cell r="A619" t="str">
            <v>1720VH120062</v>
          </cell>
          <cell r="B619">
            <v>1</v>
          </cell>
        </row>
        <row r="620">
          <cell r="A620" t="str">
            <v>1720VH120091</v>
          </cell>
          <cell r="B620">
            <v>1</v>
          </cell>
        </row>
        <row r="621">
          <cell r="A621" t="str">
            <v>1720VH120107</v>
          </cell>
          <cell r="B621">
            <v>1</v>
          </cell>
        </row>
        <row r="622">
          <cell r="A622" t="str">
            <v>1720VH120145</v>
          </cell>
          <cell r="B622">
            <v>1</v>
          </cell>
        </row>
        <row r="623">
          <cell r="A623" t="str">
            <v>1720VH120146</v>
          </cell>
          <cell r="B623">
            <v>1</v>
          </cell>
        </row>
        <row r="624">
          <cell r="A624" t="str">
            <v>1750F3320011</v>
          </cell>
          <cell r="B624">
            <v>1</v>
          </cell>
        </row>
        <row r="625">
          <cell r="A625" t="str">
            <v>1750F3320014</v>
          </cell>
          <cell r="B625">
            <v>1</v>
          </cell>
        </row>
        <row r="626">
          <cell r="A626" t="str">
            <v>1750F3320017</v>
          </cell>
          <cell r="B626">
            <v>1</v>
          </cell>
        </row>
        <row r="627">
          <cell r="A627" t="str">
            <v>1750F3320018</v>
          </cell>
          <cell r="B627">
            <v>2</v>
          </cell>
        </row>
        <row r="628">
          <cell r="A628" t="str">
            <v>1750F3320057</v>
          </cell>
          <cell r="B628">
            <v>1</v>
          </cell>
        </row>
        <row r="629">
          <cell r="A629" t="str">
            <v>1750FGR20634</v>
          </cell>
          <cell r="B629">
            <v>1</v>
          </cell>
        </row>
        <row r="630">
          <cell r="A630" t="str">
            <v>1750FGR20980</v>
          </cell>
          <cell r="B630">
            <v>1</v>
          </cell>
        </row>
        <row r="631">
          <cell r="A631" t="str">
            <v>1760FCF00042</v>
          </cell>
          <cell r="B631">
            <v>1</v>
          </cell>
        </row>
        <row r="632">
          <cell r="A632" t="str">
            <v>1760R3302647</v>
          </cell>
          <cell r="B632">
            <v>1</v>
          </cell>
        </row>
        <row r="633">
          <cell r="A633" t="str">
            <v>1760R3303365</v>
          </cell>
          <cell r="B633">
            <v>1</v>
          </cell>
        </row>
        <row r="634">
          <cell r="A634" t="str">
            <v>1760R3306867</v>
          </cell>
          <cell r="B634">
            <v>1</v>
          </cell>
        </row>
        <row r="635">
          <cell r="A635" t="str">
            <v>1760R3310771</v>
          </cell>
          <cell r="B635">
            <v>1</v>
          </cell>
        </row>
        <row r="636">
          <cell r="A636" t="str">
            <v>1760R3310789</v>
          </cell>
          <cell r="B636">
            <v>1</v>
          </cell>
        </row>
        <row r="637">
          <cell r="A637" t="str">
            <v>1760R3320133</v>
          </cell>
          <cell r="B637">
            <v>1</v>
          </cell>
        </row>
        <row r="638">
          <cell r="A638" t="str">
            <v>1760R3320139</v>
          </cell>
          <cell r="B638">
            <v>1</v>
          </cell>
        </row>
        <row r="639">
          <cell r="A639" t="str">
            <v>1760R3320141</v>
          </cell>
          <cell r="B639">
            <v>1</v>
          </cell>
        </row>
        <row r="640">
          <cell r="A640" t="str">
            <v>1760R3320156</v>
          </cell>
          <cell r="B640">
            <v>1</v>
          </cell>
        </row>
        <row r="641">
          <cell r="A641" t="str">
            <v>1760R3320160</v>
          </cell>
          <cell r="B641">
            <v>1</v>
          </cell>
        </row>
        <row r="642">
          <cell r="A642" t="str">
            <v>1760R3320184</v>
          </cell>
          <cell r="B642">
            <v>1</v>
          </cell>
        </row>
        <row r="643">
          <cell r="A643" t="str">
            <v>1760R3320185</v>
          </cell>
          <cell r="B643">
            <v>1</v>
          </cell>
        </row>
        <row r="644">
          <cell r="A644" t="str">
            <v>1760R3320186</v>
          </cell>
          <cell r="B644">
            <v>1</v>
          </cell>
        </row>
        <row r="645">
          <cell r="A645" t="str">
            <v>1760R3320187</v>
          </cell>
          <cell r="B645">
            <v>1</v>
          </cell>
        </row>
        <row r="646">
          <cell r="A646" t="str">
            <v>1760R3320194</v>
          </cell>
          <cell r="B646">
            <v>1</v>
          </cell>
        </row>
        <row r="647">
          <cell r="A647" t="str">
            <v>1760R3320355</v>
          </cell>
          <cell r="B647">
            <v>1</v>
          </cell>
        </row>
        <row r="648">
          <cell r="A648" t="str">
            <v>1760R3320359</v>
          </cell>
          <cell r="B648">
            <v>1</v>
          </cell>
        </row>
        <row r="649">
          <cell r="A649" t="str">
            <v>1760R3320360</v>
          </cell>
          <cell r="B649">
            <v>1</v>
          </cell>
        </row>
        <row r="650">
          <cell r="A650" t="str">
            <v>1760R3320397</v>
          </cell>
          <cell r="B650">
            <v>1</v>
          </cell>
        </row>
        <row r="651">
          <cell r="A651" t="str">
            <v>1760R3320398</v>
          </cell>
          <cell r="B651">
            <v>1</v>
          </cell>
        </row>
        <row r="652">
          <cell r="A652" t="str">
            <v>1760R3320399</v>
          </cell>
          <cell r="B652">
            <v>1</v>
          </cell>
        </row>
        <row r="653">
          <cell r="A653" t="str">
            <v>1760R3320405</v>
          </cell>
          <cell r="B653">
            <v>1</v>
          </cell>
        </row>
        <row r="654">
          <cell r="A654" t="str">
            <v>1760R3320408</v>
          </cell>
          <cell r="B654">
            <v>1</v>
          </cell>
        </row>
        <row r="655">
          <cell r="A655" t="str">
            <v>1760R3320411</v>
          </cell>
          <cell r="B655">
            <v>1</v>
          </cell>
        </row>
        <row r="656">
          <cell r="A656" t="str">
            <v>1760R3320416</v>
          </cell>
          <cell r="B656">
            <v>1</v>
          </cell>
        </row>
        <row r="657">
          <cell r="A657" t="str">
            <v>1760R3320417</v>
          </cell>
          <cell r="B657">
            <v>2</v>
          </cell>
        </row>
        <row r="658">
          <cell r="A658" t="str">
            <v>1760R3320418</v>
          </cell>
          <cell r="B658">
            <v>1</v>
          </cell>
        </row>
        <row r="659">
          <cell r="A659" t="str">
            <v>1760R3320527</v>
          </cell>
          <cell r="B659">
            <v>1</v>
          </cell>
        </row>
        <row r="660">
          <cell r="A660" t="str">
            <v>1760R3320528</v>
          </cell>
          <cell r="B660">
            <v>1</v>
          </cell>
        </row>
        <row r="661">
          <cell r="A661" t="str">
            <v>1760R3320530</v>
          </cell>
          <cell r="B661">
            <v>1</v>
          </cell>
        </row>
        <row r="662">
          <cell r="A662" t="str">
            <v>1760R3320533</v>
          </cell>
          <cell r="B662">
            <v>1</v>
          </cell>
        </row>
        <row r="663">
          <cell r="A663" t="str">
            <v>1760R3320535</v>
          </cell>
          <cell r="B663">
            <v>2</v>
          </cell>
        </row>
        <row r="664">
          <cell r="A664" t="str">
            <v>1760R3320538</v>
          </cell>
          <cell r="B664">
            <v>1</v>
          </cell>
        </row>
        <row r="665">
          <cell r="A665" t="str">
            <v>1760R3320539</v>
          </cell>
          <cell r="B665">
            <v>1</v>
          </cell>
        </row>
        <row r="666">
          <cell r="A666" t="str">
            <v>1760R3320540</v>
          </cell>
          <cell r="B666">
            <v>1</v>
          </cell>
        </row>
        <row r="667">
          <cell r="A667" t="str">
            <v>1760R3320542</v>
          </cell>
          <cell r="B667">
            <v>1</v>
          </cell>
        </row>
        <row r="668">
          <cell r="A668" t="str">
            <v>1760R3320545</v>
          </cell>
          <cell r="B668">
            <v>1</v>
          </cell>
        </row>
        <row r="669">
          <cell r="A669" t="str">
            <v>1760R3320546</v>
          </cell>
          <cell r="B669">
            <v>1</v>
          </cell>
        </row>
        <row r="670">
          <cell r="A670" t="str">
            <v>1760R3320547</v>
          </cell>
          <cell r="B670">
            <v>1</v>
          </cell>
        </row>
        <row r="671">
          <cell r="A671" t="str">
            <v>1760R3320549</v>
          </cell>
          <cell r="B671">
            <v>1</v>
          </cell>
        </row>
        <row r="672">
          <cell r="A672" t="str">
            <v>1760R3320550</v>
          </cell>
          <cell r="B672">
            <v>1</v>
          </cell>
        </row>
        <row r="673">
          <cell r="A673" t="str">
            <v>1760R3320552</v>
          </cell>
          <cell r="B673">
            <v>1</v>
          </cell>
        </row>
        <row r="674">
          <cell r="A674" t="str">
            <v>1760R3320555</v>
          </cell>
          <cell r="B674">
            <v>1</v>
          </cell>
        </row>
        <row r="675">
          <cell r="A675" t="str">
            <v>1760R3320557</v>
          </cell>
          <cell r="B675">
            <v>1</v>
          </cell>
        </row>
        <row r="676">
          <cell r="A676" t="str">
            <v>1760R3320559</v>
          </cell>
          <cell r="B676">
            <v>1</v>
          </cell>
        </row>
        <row r="677">
          <cell r="A677" t="str">
            <v>1760R3320562</v>
          </cell>
          <cell r="B677">
            <v>1</v>
          </cell>
        </row>
        <row r="678">
          <cell r="A678" t="str">
            <v>1760R3320563</v>
          </cell>
          <cell r="B678">
            <v>1</v>
          </cell>
        </row>
        <row r="679">
          <cell r="A679" t="str">
            <v>1760R3320566</v>
          </cell>
          <cell r="B679">
            <v>1</v>
          </cell>
        </row>
        <row r="680">
          <cell r="A680" t="str">
            <v>1760R3320567</v>
          </cell>
          <cell r="B680">
            <v>1</v>
          </cell>
        </row>
        <row r="681">
          <cell r="A681" t="str">
            <v>1760R3320570</v>
          </cell>
          <cell r="B681">
            <v>1</v>
          </cell>
        </row>
        <row r="682">
          <cell r="A682" t="str">
            <v>1760R3320571</v>
          </cell>
          <cell r="B682">
            <v>1</v>
          </cell>
        </row>
        <row r="683">
          <cell r="A683" t="str">
            <v>1760R3320573</v>
          </cell>
          <cell r="B683">
            <v>1</v>
          </cell>
        </row>
        <row r="684">
          <cell r="A684" t="str">
            <v>1760R3320575</v>
          </cell>
          <cell r="B684">
            <v>1</v>
          </cell>
        </row>
        <row r="685">
          <cell r="A685" t="str">
            <v>1760R3320576</v>
          </cell>
          <cell r="B685">
            <v>1</v>
          </cell>
        </row>
        <row r="686">
          <cell r="A686" t="str">
            <v>1760R3320577</v>
          </cell>
          <cell r="B686">
            <v>1</v>
          </cell>
        </row>
        <row r="687">
          <cell r="A687" t="str">
            <v>1760R3320579</v>
          </cell>
          <cell r="B687">
            <v>1</v>
          </cell>
        </row>
        <row r="688">
          <cell r="A688" t="str">
            <v>1760R3320580</v>
          </cell>
          <cell r="B688">
            <v>1</v>
          </cell>
        </row>
        <row r="689">
          <cell r="A689" t="str">
            <v>1760R3320581</v>
          </cell>
          <cell r="B689">
            <v>1</v>
          </cell>
        </row>
        <row r="690">
          <cell r="A690" t="str">
            <v>1760R3320582</v>
          </cell>
          <cell r="B690">
            <v>1</v>
          </cell>
        </row>
        <row r="691">
          <cell r="A691" t="str">
            <v>1760R3320584</v>
          </cell>
          <cell r="B691">
            <v>1</v>
          </cell>
        </row>
        <row r="692">
          <cell r="A692" t="str">
            <v>1760R3320585</v>
          </cell>
          <cell r="B692">
            <v>1</v>
          </cell>
        </row>
        <row r="693">
          <cell r="A693" t="str">
            <v>1760R3320587</v>
          </cell>
          <cell r="B693">
            <v>1</v>
          </cell>
        </row>
        <row r="694">
          <cell r="A694" t="str">
            <v>1760R3320588</v>
          </cell>
          <cell r="B694">
            <v>1</v>
          </cell>
        </row>
        <row r="695">
          <cell r="A695" t="str">
            <v>1760R3320589</v>
          </cell>
          <cell r="B695">
            <v>1</v>
          </cell>
        </row>
        <row r="696">
          <cell r="A696" t="str">
            <v>1760R3320591</v>
          </cell>
          <cell r="B696">
            <v>1</v>
          </cell>
        </row>
        <row r="697">
          <cell r="A697" t="str">
            <v>1760R3320592</v>
          </cell>
          <cell r="B697">
            <v>1</v>
          </cell>
        </row>
        <row r="698">
          <cell r="A698" t="str">
            <v>1760R3320593</v>
          </cell>
          <cell r="B698">
            <v>1</v>
          </cell>
        </row>
        <row r="699">
          <cell r="A699" t="str">
            <v>1760R3320594</v>
          </cell>
          <cell r="B699">
            <v>1</v>
          </cell>
        </row>
        <row r="700">
          <cell r="A700" t="str">
            <v>1760R3320847</v>
          </cell>
          <cell r="B700">
            <v>1</v>
          </cell>
        </row>
        <row r="701">
          <cell r="A701" t="str">
            <v>1760R3320870</v>
          </cell>
          <cell r="B701">
            <v>1</v>
          </cell>
        </row>
        <row r="702">
          <cell r="A702" t="str">
            <v>1760RCF00012</v>
          </cell>
          <cell r="B702">
            <v>1</v>
          </cell>
        </row>
        <row r="703">
          <cell r="A703" t="str">
            <v>1760RCF00014</v>
          </cell>
          <cell r="B703">
            <v>1</v>
          </cell>
        </row>
        <row r="704">
          <cell r="A704" t="str">
            <v>1760RCF00045</v>
          </cell>
          <cell r="B704">
            <v>1</v>
          </cell>
        </row>
        <row r="705">
          <cell r="A705" t="str">
            <v>1760RCF00046</v>
          </cell>
          <cell r="B705">
            <v>1</v>
          </cell>
        </row>
        <row r="706">
          <cell r="A706" t="str">
            <v>1760RCF00075</v>
          </cell>
          <cell r="B706">
            <v>1</v>
          </cell>
        </row>
        <row r="707">
          <cell r="A707" t="str">
            <v>1760RCF00086</v>
          </cell>
          <cell r="B707">
            <v>1</v>
          </cell>
        </row>
        <row r="708">
          <cell r="A708" t="str">
            <v>1760RCF00107</v>
          </cell>
          <cell r="B708">
            <v>1</v>
          </cell>
        </row>
        <row r="709">
          <cell r="A709" t="str">
            <v>1760RCF00108</v>
          </cell>
          <cell r="B709">
            <v>1</v>
          </cell>
        </row>
        <row r="710">
          <cell r="A710" t="str">
            <v>1760RCF00466</v>
          </cell>
          <cell r="B710">
            <v>1</v>
          </cell>
        </row>
        <row r="711">
          <cell r="A711" t="str">
            <v>1760RCF00467</v>
          </cell>
          <cell r="B711">
            <v>1</v>
          </cell>
        </row>
        <row r="712">
          <cell r="A712" t="str">
            <v>1760RCF00468</v>
          </cell>
          <cell r="B712">
            <v>1</v>
          </cell>
        </row>
        <row r="713">
          <cell r="A713" t="str">
            <v>1760RCF00469</v>
          </cell>
          <cell r="B713">
            <v>1</v>
          </cell>
        </row>
        <row r="714">
          <cell r="A714" t="str">
            <v>1760RCF00487</v>
          </cell>
          <cell r="B714">
            <v>1</v>
          </cell>
        </row>
        <row r="715">
          <cell r="A715" t="str">
            <v>1760RCF00489</v>
          </cell>
          <cell r="B715">
            <v>1</v>
          </cell>
        </row>
        <row r="716">
          <cell r="A716" t="str">
            <v>1760RCF00490</v>
          </cell>
          <cell r="B716">
            <v>1</v>
          </cell>
        </row>
        <row r="717">
          <cell r="A717" t="str">
            <v>1760RCF00491</v>
          </cell>
          <cell r="B717">
            <v>1</v>
          </cell>
        </row>
        <row r="718">
          <cell r="A718" t="str">
            <v>1760RCF00493</v>
          </cell>
          <cell r="B718">
            <v>1</v>
          </cell>
        </row>
        <row r="719">
          <cell r="A719" t="str">
            <v>1760RCF00501</v>
          </cell>
          <cell r="B719">
            <v>1</v>
          </cell>
        </row>
        <row r="720">
          <cell r="A720" t="str">
            <v>1760RCF00641</v>
          </cell>
          <cell r="B720">
            <v>1</v>
          </cell>
        </row>
        <row r="721">
          <cell r="A721" t="str">
            <v>1760RH120528</v>
          </cell>
          <cell r="B721">
            <v>1</v>
          </cell>
        </row>
        <row r="722">
          <cell r="A722" t="str">
            <v>1760RH120529</v>
          </cell>
          <cell r="B722">
            <v>1</v>
          </cell>
        </row>
        <row r="723">
          <cell r="A723" t="str">
            <v>1760RH120531</v>
          </cell>
          <cell r="B723">
            <v>1</v>
          </cell>
        </row>
        <row r="724">
          <cell r="A724" t="str">
            <v>1760RH120532</v>
          </cell>
          <cell r="B724">
            <v>1</v>
          </cell>
        </row>
        <row r="725">
          <cell r="A725" t="str">
            <v>1760RH120536</v>
          </cell>
          <cell r="B725">
            <v>1</v>
          </cell>
        </row>
        <row r="726">
          <cell r="A726" t="str">
            <v>1760RH120537</v>
          </cell>
          <cell r="B726">
            <v>1</v>
          </cell>
        </row>
        <row r="727">
          <cell r="A727" t="str">
            <v>1760RH120539</v>
          </cell>
          <cell r="B727">
            <v>1</v>
          </cell>
        </row>
        <row r="728">
          <cell r="A728" t="str">
            <v>1760RH120542</v>
          </cell>
          <cell r="B728">
            <v>1</v>
          </cell>
        </row>
        <row r="729">
          <cell r="A729" t="str">
            <v>1760RH120543</v>
          </cell>
          <cell r="B729">
            <v>1</v>
          </cell>
        </row>
        <row r="730">
          <cell r="A730" t="str">
            <v>1760RH120544</v>
          </cell>
          <cell r="B730">
            <v>1</v>
          </cell>
        </row>
        <row r="731">
          <cell r="A731" t="str">
            <v>1760RH120551</v>
          </cell>
          <cell r="B731">
            <v>1</v>
          </cell>
        </row>
        <row r="732">
          <cell r="A732" t="str">
            <v>1760RH120552</v>
          </cell>
          <cell r="B732">
            <v>1</v>
          </cell>
        </row>
        <row r="733">
          <cell r="A733" t="str">
            <v>1760RH120555</v>
          </cell>
          <cell r="B733">
            <v>1</v>
          </cell>
        </row>
        <row r="734">
          <cell r="A734" t="str">
            <v>1760RH120556</v>
          </cell>
          <cell r="B734">
            <v>1</v>
          </cell>
        </row>
        <row r="735">
          <cell r="A735" t="str">
            <v>1760RH120563</v>
          </cell>
          <cell r="B735">
            <v>2</v>
          </cell>
        </row>
        <row r="736">
          <cell r="A736" t="str">
            <v>1760RH120564</v>
          </cell>
          <cell r="B736">
            <v>1</v>
          </cell>
        </row>
        <row r="737">
          <cell r="A737" t="str">
            <v>1760RH120568</v>
          </cell>
          <cell r="B737">
            <v>1</v>
          </cell>
        </row>
        <row r="738">
          <cell r="A738" t="str">
            <v>1760RH120569</v>
          </cell>
          <cell r="B738">
            <v>1</v>
          </cell>
        </row>
        <row r="739">
          <cell r="A739" t="str">
            <v>1760RH120570</v>
          </cell>
          <cell r="B739">
            <v>1</v>
          </cell>
        </row>
        <row r="740">
          <cell r="A740" t="str">
            <v>1760RH120573</v>
          </cell>
          <cell r="B740">
            <v>1</v>
          </cell>
        </row>
        <row r="741">
          <cell r="A741" t="str">
            <v>1760RH120574</v>
          </cell>
          <cell r="B741">
            <v>1</v>
          </cell>
        </row>
        <row r="742">
          <cell r="A742" t="str">
            <v>1760RH120575</v>
          </cell>
          <cell r="B742">
            <v>1</v>
          </cell>
        </row>
        <row r="743">
          <cell r="A743" t="str">
            <v>1760RH120577</v>
          </cell>
          <cell r="B743">
            <v>1</v>
          </cell>
        </row>
        <row r="744">
          <cell r="A744" t="str">
            <v>1760RH120604</v>
          </cell>
          <cell r="B744">
            <v>1</v>
          </cell>
        </row>
        <row r="745">
          <cell r="A745" t="str">
            <v>1760RH120605</v>
          </cell>
          <cell r="B745">
            <v>1</v>
          </cell>
        </row>
        <row r="746">
          <cell r="A746" t="str">
            <v>1760RH120606</v>
          </cell>
          <cell r="B746">
            <v>1</v>
          </cell>
        </row>
        <row r="747">
          <cell r="A747" t="str">
            <v>1760RH120608</v>
          </cell>
          <cell r="B747">
            <v>1</v>
          </cell>
        </row>
        <row r="748">
          <cell r="A748" t="str">
            <v>1760RH120609</v>
          </cell>
          <cell r="B748">
            <v>1</v>
          </cell>
        </row>
        <row r="749">
          <cell r="A749" t="str">
            <v>1760RH120610</v>
          </cell>
          <cell r="B749">
            <v>1</v>
          </cell>
        </row>
        <row r="750">
          <cell r="A750" t="str">
            <v>1760RH120611</v>
          </cell>
          <cell r="B750">
            <v>1</v>
          </cell>
        </row>
        <row r="751">
          <cell r="A751" t="str">
            <v>1760RH120612</v>
          </cell>
          <cell r="B751">
            <v>1</v>
          </cell>
        </row>
        <row r="752">
          <cell r="A752" t="str">
            <v>1760RH120613</v>
          </cell>
          <cell r="B752">
            <v>1</v>
          </cell>
        </row>
        <row r="753">
          <cell r="A753" t="str">
            <v>1760RH120617</v>
          </cell>
          <cell r="B753">
            <v>1</v>
          </cell>
        </row>
        <row r="754">
          <cell r="A754" t="str">
            <v>1760RH120700</v>
          </cell>
          <cell r="B754">
            <v>1</v>
          </cell>
        </row>
        <row r="755">
          <cell r="A755" t="str">
            <v>1760RH120708</v>
          </cell>
          <cell r="B755">
            <v>1</v>
          </cell>
        </row>
        <row r="756">
          <cell r="A756" t="str">
            <v>1760RH120719</v>
          </cell>
          <cell r="B756">
            <v>1</v>
          </cell>
        </row>
        <row r="757">
          <cell r="A757" t="str">
            <v>1760RH120720</v>
          </cell>
          <cell r="B757">
            <v>1</v>
          </cell>
        </row>
        <row r="758">
          <cell r="A758" t="str">
            <v>1760RH120840</v>
          </cell>
          <cell r="B758">
            <v>1</v>
          </cell>
        </row>
        <row r="759">
          <cell r="A759" t="str">
            <v>1760RH120842</v>
          </cell>
          <cell r="B759">
            <v>1</v>
          </cell>
        </row>
        <row r="760">
          <cell r="A760" t="str">
            <v>1760RH120874</v>
          </cell>
          <cell r="B760">
            <v>1</v>
          </cell>
        </row>
        <row r="761">
          <cell r="A761" t="str">
            <v>1760RH120878</v>
          </cell>
          <cell r="B761">
            <v>1</v>
          </cell>
        </row>
        <row r="762">
          <cell r="A762" t="str">
            <v>1760RH120885</v>
          </cell>
          <cell r="B762">
            <v>1</v>
          </cell>
        </row>
        <row r="763">
          <cell r="A763" t="str">
            <v>1760RH120933</v>
          </cell>
          <cell r="B763">
            <v>2</v>
          </cell>
        </row>
        <row r="764">
          <cell r="A764" t="str">
            <v>1760RH120934</v>
          </cell>
          <cell r="B764">
            <v>1</v>
          </cell>
        </row>
        <row r="765">
          <cell r="A765" t="str">
            <v>1760RH120935</v>
          </cell>
          <cell r="B765">
            <v>1</v>
          </cell>
        </row>
        <row r="766">
          <cell r="A766" t="str">
            <v>1760RH120936</v>
          </cell>
          <cell r="B766">
            <v>1</v>
          </cell>
        </row>
        <row r="767">
          <cell r="A767" t="str">
            <v>1760RH120937</v>
          </cell>
          <cell r="B767">
            <v>1</v>
          </cell>
        </row>
        <row r="768">
          <cell r="A768" t="str">
            <v>1760RH120938</v>
          </cell>
          <cell r="B768">
            <v>1</v>
          </cell>
        </row>
        <row r="769">
          <cell r="A769" t="str">
            <v>1760RH120939</v>
          </cell>
          <cell r="B769">
            <v>1</v>
          </cell>
        </row>
        <row r="770">
          <cell r="A770" t="str">
            <v>1760RH120942</v>
          </cell>
          <cell r="B770">
            <v>1</v>
          </cell>
        </row>
        <row r="771">
          <cell r="A771" t="str">
            <v>1760RH120945</v>
          </cell>
          <cell r="B771">
            <v>1</v>
          </cell>
        </row>
        <row r="772">
          <cell r="A772" t="str">
            <v>1760RH120946</v>
          </cell>
          <cell r="B772">
            <v>1</v>
          </cell>
        </row>
        <row r="773">
          <cell r="A773" t="str">
            <v>1760RH120948</v>
          </cell>
          <cell r="B773">
            <v>1</v>
          </cell>
        </row>
        <row r="774">
          <cell r="A774" t="str">
            <v>1760RH120949</v>
          </cell>
          <cell r="B774">
            <v>1</v>
          </cell>
        </row>
        <row r="775">
          <cell r="A775" t="str">
            <v>1760RH120950</v>
          </cell>
          <cell r="B775">
            <v>1</v>
          </cell>
        </row>
        <row r="776">
          <cell r="A776" t="str">
            <v>1760RH120965</v>
          </cell>
          <cell r="B776">
            <v>1</v>
          </cell>
        </row>
        <row r="777">
          <cell r="A777" t="str">
            <v>1760RH120966</v>
          </cell>
          <cell r="B777">
            <v>1</v>
          </cell>
        </row>
        <row r="778">
          <cell r="A778" t="str">
            <v>1760RH120967</v>
          </cell>
          <cell r="B778">
            <v>1</v>
          </cell>
        </row>
        <row r="779">
          <cell r="A779" t="str">
            <v>1760RH120970</v>
          </cell>
          <cell r="B779">
            <v>1</v>
          </cell>
        </row>
        <row r="780">
          <cell r="A780" t="str">
            <v>1760RH120971</v>
          </cell>
          <cell r="B780">
            <v>1</v>
          </cell>
        </row>
        <row r="781">
          <cell r="A781" t="str">
            <v>1760RH120972</v>
          </cell>
          <cell r="B781">
            <v>1</v>
          </cell>
        </row>
        <row r="782">
          <cell r="A782" t="str">
            <v>1760RH120973</v>
          </cell>
          <cell r="B782">
            <v>1</v>
          </cell>
        </row>
        <row r="783">
          <cell r="A783" t="str">
            <v>1760RH120974</v>
          </cell>
          <cell r="B783">
            <v>1</v>
          </cell>
        </row>
        <row r="784">
          <cell r="A784" t="str">
            <v>1760RH120976</v>
          </cell>
          <cell r="B784">
            <v>1</v>
          </cell>
        </row>
        <row r="785">
          <cell r="A785" t="str">
            <v>1760RH120977</v>
          </cell>
          <cell r="B785">
            <v>2</v>
          </cell>
        </row>
        <row r="786">
          <cell r="A786" t="str">
            <v>1760RH120979</v>
          </cell>
          <cell r="B786">
            <v>1</v>
          </cell>
        </row>
        <row r="787">
          <cell r="A787" t="str">
            <v>1760RH120980</v>
          </cell>
          <cell r="B787">
            <v>1</v>
          </cell>
        </row>
        <row r="788">
          <cell r="A788" t="str">
            <v>1760RH121017</v>
          </cell>
          <cell r="B788">
            <v>1</v>
          </cell>
        </row>
        <row r="789">
          <cell r="A789" t="str">
            <v>1760RH121470</v>
          </cell>
          <cell r="B789">
            <v>1</v>
          </cell>
        </row>
        <row r="790">
          <cell r="A790" t="str">
            <v>1760RH121546</v>
          </cell>
          <cell r="B790">
            <v>1</v>
          </cell>
        </row>
        <row r="791">
          <cell r="A791" t="str">
            <v>1760RH121548</v>
          </cell>
          <cell r="B791">
            <v>1</v>
          </cell>
        </row>
        <row r="792">
          <cell r="A792" t="str">
            <v>1760RH121756</v>
          </cell>
          <cell r="B792">
            <v>1</v>
          </cell>
        </row>
        <row r="793">
          <cell r="A793" t="str">
            <v>1760RH121758</v>
          </cell>
          <cell r="B793">
            <v>1</v>
          </cell>
        </row>
        <row r="794">
          <cell r="A794" t="str">
            <v>1760RH121766</v>
          </cell>
          <cell r="B794">
            <v>1</v>
          </cell>
        </row>
        <row r="795">
          <cell r="A795" t="str">
            <v>1760RH122048</v>
          </cell>
          <cell r="B795">
            <v>1</v>
          </cell>
        </row>
        <row r="796">
          <cell r="A796" t="str">
            <v>1760RH122049</v>
          </cell>
          <cell r="B796">
            <v>1</v>
          </cell>
        </row>
        <row r="797">
          <cell r="A797" t="str">
            <v>1760RH122172</v>
          </cell>
          <cell r="B797">
            <v>1</v>
          </cell>
        </row>
        <row r="798">
          <cell r="A798" t="str">
            <v>1760RH122173</v>
          </cell>
          <cell r="B798">
            <v>1</v>
          </cell>
        </row>
        <row r="799">
          <cell r="A799" t="str">
            <v>1760RH122523</v>
          </cell>
          <cell r="B799">
            <v>1</v>
          </cell>
        </row>
        <row r="800">
          <cell r="A800" t="str">
            <v>1760RH122689</v>
          </cell>
          <cell r="B800">
            <v>1</v>
          </cell>
        </row>
        <row r="801">
          <cell r="A801" t="str">
            <v>1760RH122690</v>
          </cell>
          <cell r="B801">
            <v>1</v>
          </cell>
        </row>
        <row r="802">
          <cell r="A802" t="str">
            <v>1760RH123016</v>
          </cell>
          <cell r="B802">
            <v>1</v>
          </cell>
        </row>
        <row r="803">
          <cell r="A803" t="str">
            <v>1760RH123017</v>
          </cell>
          <cell r="B803">
            <v>1</v>
          </cell>
        </row>
        <row r="804">
          <cell r="A804" t="str">
            <v>1760RH123018</v>
          </cell>
          <cell r="B804">
            <v>1</v>
          </cell>
        </row>
        <row r="805">
          <cell r="A805" t="str">
            <v>1760RH123020</v>
          </cell>
          <cell r="B805">
            <v>1</v>
          </cell>
        </row>
        <row r="806">
          <cell r="A806" t="str">
            <v>1760RH123395</v>
          </cell>
          <cell r="B806">
            <v>1</v>
          </cell>
        </row>
        <row r="807">
          <cell r="A807" t="str">
            <v>1760RH123396</v>
          </cell>
          <cell r="B807">
            <v>1</v>
          </cell>
        </row>
        <row r="808">
          <cell r="A808" t="str">
            <v>1760RH123651</v>
          </cell>
          <cell r="B808">
            <v>1</v>
          </cell>
        </row>
        <row r="809">
          <cell r="A809" t="str">
            <v>1760RH123652</v>
          </cell>
          <cell r="B809">
            <v>1</v>
          </cell>
        </row>
        <row r="810">
          <cell r="A810" t="str">
            <v>1760RH123964</v>
          </cell>
          <cell r="B810">
            <v>1</v>
          </cell>
        </row>
        <row r="811">
          <cell r="A811" t="str">
            <v>1760RH123965</v>
          </cell>
          <cell r="B811">
            <v>1</v>
          </cell>
        </row>
        <row r="812">
          <cell r="A812" t="str">
            <v>1760RH123967</v>
          </cell>
          <cell r="B812">
            <v>1</v>
          </cell>
        </row>
        <row r="813">
          <cell r="A813" t="str">
            <v>1760RH123969</v>
          </cell>
          <cell r="B813">
            <v>1</v>
          </cell>
        </row>
        <row r="814">
          <cell r="A814" t="str">
            <v>1760RH124784</v>
          </cell>
          <cell r="B814">
            <v>1</v>
          </cell>
        </row>
        <row r="815">
          <cell r="A815" t="str">
            <v>1760RH124785</v>
          </cell>
          <cell r="B815">
            <v>1</v>
          </cell>
        </row>
        <row r="816">
          <cell r="A816" t="str">
            <v>1760RH124786</v>
          </cell>
          <cell r="B816">
            <v>1</v>
          </cell>
        </row>
        <row r="817">
          <cell r="A817" t="str">
            <v>1760RH125090</v>
          </cell>
          <cell r="B817">
            <v>1</v>
          </cell>
        </row>
        <row r="818">
          <cell r="A818" t="str">
            <v>1760RH125092</v>
          </cell>
          <cell r="B818">
            <v>1</v>
          </cell>
        </row>
        <row r="819">
          <cell r="A819" t="str">
            <v>1760RH125340</v>
          </cell>
          <cell r="B819">
            <v>1</v>
          </cell>
        </row>
        <row r="820">
          <cell r="A820" t="str">
            <v>1760RH125341</v>
          </cell>
          <cell r="B820">
            <v>1</v>
          </cell>
        </row>
        <row r="821">
          <cell r="A821" t="str">
            <v>1760RH125342</v>
          </cell>
          <cell r="B821">
            <v>1</v>
          </cell>
        </row>
        <row r="822">
          <cell r="A822" t="str">
            <v>1760RH125343</v>
          </cell>
          <cell r="B822">
            <v>2</v>
          </cell>
        </row>
        <row r="823">
          <cell r="A823" t="str">
            <v>1760RH125410</v>
          </cell>
          <cell r="B823">
            <v>1</v>
          </cell>
        </row>
        <row r="824">
          <cell r="A824" t="str">
            <v>1760RH125411</v>
          </cell>
          <cell r="B824">
            <v>1</v>
          </cell>
        </row>
        <row r="825">
          <cell r="A825" t="str">
            <v>1760RH125413</v>
          </cell>
          <cell r="B825">
            <v>1</v>
          </cell>
        </row>
        <row r="826">
          <cell r="A826" t="str">
            <v>1760RH125414</v>
          </cell>
          <cell r="B826">
            <v>1</v>
          </cell>
        </row>
        <row r="827">
          <cell r="A827" t="str">
            <v>1760RH126432</v>
          </cell>
          <cell r="B827">
            <v>1</v>
          </cell>
        </row>
        <row r="828">
          <cell r="A828" t="str">
            <v>1760RH126435</v>
          </cell>
          <cell r="B828">
            <v>1</v>
          </cell>
        </row>
        <row r="829">
          <cell r="A829" t="str">
            <v>1760RH126532</v>
          </cell>
          <cell r="B829">
            <v>1</v>
          </cell>
        </row>
        <row r="830">
          <cell r="A830" t="str">
            <v>1760RH126601</v>
          </cell>
          <cell r="B830">
            <v>1</v>
          </cell>
        </row>
        <row r="831">
          <cell r="A831" t="str">
            <v>1760RH126602</v>
          </cell>
          <cell r="B831">
            <v>1</v>
          </cell>
        </row>
        <row r="832">
          <cell r="A832" t="str">
            <v>1760RH126770</v>
          </cell>
          <cell r="B832">
            <v>1</v>
          </cell>
        </row>
        <row r="833">
          <cell r="A833" t="str">
            <v>1760RH127658</v>
          </cell>
          <cell r="B833">
            <v>1</v>
          </cell>
        </row>
        <row r="834">
          <cell r="A834" t="str">
            <v>1760RH127659</v>
          </cell>
          <cell r="B834">
            <v>1</v>
          </cell>
        </row>
        <row r="835">
          <cell r="A835" t="str">
            <v>1760RH127727</v>
          </cell>
          <cell r="B835">
            <v>1</v>
          </cell>
        </row>
        <row r="836">
          <cell r="A836" t="str">
            <v>1760RH127728</v>
          </cell>
          <cell r="B836">
            <v>1</v>
          </cell>
        </row>
        <row r="837">
          <cell r="A837" t="str">
            <v>1760RH128044</v>
          </cell>
          <cell r="B837">
            <v>1</v>
          </cell>
        </row>
        <row r="838">
          <cell r="A838" t="str">
            <v>1760RH128260</v>
          </cell>
          <cell r="B838">
            <v>1</v>
          </cell>
        </row>
        <row r="839">
          <cell r="A839" t="str">
            <v>1760RH128261</v>
          </cell>
          <cell r="B839">
            <v>1</v>
          </cell>
        </row>
        <row r="840">
          <cell r="A840" t="str">
            <v>1760RH128420</v>
          </cell>
          <cell r="B840">
            <v>1</v>
          </cell>
        </row>
        <row r="841">
          <cell r="A841" t="str">
            <v>1760RH128482</v>
          </cell>
          <cell r="B841">
            <v>1</v>
          </cell>
        </row>
        <row r="842">
          <cell r="A842" t="str">
            <v>1760RH128697</v>
          </cell>
          <cell r="B842">
            <v>1</v>
          </cell>
        </row>
        <row r="843">
          <cell r="A843" t="str">
            <v>1760RH128978</v>
          </cell>
          <cell r="B843">
            <v>1</v>
          </cell>
        </row>
        <row r="844">
          <cell r="A844" t="str">
            <v>1760RH129104</v>
          </cell>
          <cell r="B844">
            <v>1</v>
          </cell>
        </row>
        <row r="845">
          <cell r="A845" t="str">
            <v>1760RH129214</v>
          </cell>
          <cell r="B845">
            <v>1</v>
          </cell>
        </row>
        <row r="846">
          <cell r="A846" t="str">
            <v>1760RH129403</v>
          </cell>
          <cell r="B846">
            <v>1</v>
          </cell>
        </row>
        <row r="847">
          <cell r="A847" t="str">
            <v>1760RH129405</v>
          </cell>
          <cell r="B847">
            <v>1</v>
          </cell>
        </row>
        <row r="848">
          <cell r="A848" t="str">
            <v>1760RH130332</v>
          </cell>
          <cell r="B848">
            <v>1</v>
          </cell>
        </row>
        <row r="849">
          <cell r="A849" t="str">
            <v>1760RH131253</v>
          </cell>
          <cell r="B849">
            <v>1</v>
          </cell>
        </row>
        <row r="850">
          <cell r="A850" t="str">
            <v>1760RH132286</v>
          </cell>
          <cell r="B850">
            <v>1</v>
          </cell>
        </row>
        <row r="851">
          <cell r="A851" t="str">
            <v>1760RH132287</v>
          </cell>
          <cell r="B851">
            <v>1</v>
          </cell>
        </row>
        <row r="852">
          <cell r="A852" t="str">
            <v>1760RH132288</v>
          </cell>
          <cell r="B852">
            <v>1</v>
          </cell>
        </row>
        <row r="853">
          <cell r="A853" t="str">
            <v>1760RH135390</v>
          </cell>
          <cell r="B853">
            <v>1</v>
          </cell>
        </row>
        <row r="854">
          <cell r="A854" t="str">
            <v>1828FH101652</v>
          </cell>
          <cell r="B854">
            <v>1</v>
          </cell>
        </row>
        <row r="855">
          <cell r="A855" t="str">
            <v>1828FH101653</v>
          </cell>
          <cell r="B855">
            <v>1</v>
          </cell>
        </row>
        <row r="856">
          <cell r="A856" t="str">
            <v>1828FH101654</v>
          </cell>
          <cell r="B856">
            <v>1</v>
          </cell>
        </row>
        <row r="857">
          <cell r="A857" t="str">
            <v>1828FH101655</v>
          </cell>
          <cell r="B857">
            <v>1</v>
          </cell>
        </row>
        <row r="858">
          <cell r="A858" t="str">
            <v>1828FH101656</v>
          </cell>
          <cell r="B858">
            <v>1</v>
          </cell>
        </row>
        <row r="859">
          <cell r="A859" t="str">
            <v>1828FH101657</v>
          </cell>
          <cell r="B859">
            <v>1</v>
          </cell>
        </row>
        <row r="860">
          <cell r="A860" t="str">
            <v>1828FH101692</v>
          </cell>
          <cell r="B860">
            <v>1</v>
          </cell>
        </row>
        <row r="861">
          <cell r="A861" t="str">
            <v>1828FH101693</v>
          </cell>
          <cell r="B861">
            <v>1</v>
          </cell>
        </row>
        <row r="862">
          <cell r="A862" t="str">
            <v>1828FH101694</v>
          </cell>
          <cell r="B862">
            <v>1</v>
          </cell>
        </row>
        <row r="863">
          <cell r="A863" t="str">
            <v>1828FH101695</v>
          </cell>
          <cell r="B863">
            <v>1</v>
          </cell>
        </row>
        <row r="864">
          <cell r="A864" t="str">
            <v>1828FH101696</v>
          </cell>
          <cell r="B864">
            <v>1</v>
          </cell>
        </row>
        <row r="865">
          <cell r="A865" t="str">
            <v>1828FH101697</v>
          </cell>
          <cell r="B865">
            <v>1</v>
          </cell>
        </row>
        <row r="866">
          <cell r="A866" t="str">
            <v>1828FH101699</v>
          </cell>
          <cell r="B866">
            <v>1</v>
          </cell>
        </row>
        <row r="867">
          <cell r="A867" t="str">
            <v>1828FH101700</v>
          </cell>
          <cell r="B867">
            <v>1</v>
          </cell>
        </row>
        <row r="868">
          <cell r="A868" t="str">
            <v>1828FH101701</v>
          </cell>
          <cell r="B868">
            <v>1</v>
          </cell>
        </row>
        <row r="869">
          <cell r="A869" t="str">
            <v>1828FH101702</v>
          </cell>
          <cell r="B869">
            <v>1</v>
          </cell>
        </row>
        <row r="870">
          <cell r="A870" t="str">
            <v>1828FH101703</v>
          </cell>
          <cell r="B870">
            <v>1</v>
          </cell>
        </row>
        <row r="871">
          <cell r="A871" t="str">
            <v>1828FH101712</v>
          </cell>
          <cell r="B871">
            <v>1</v>
          </cell>
        </row>
        <row r="872">
          <cell r="A872" t="str">
            <v>1828FH101713</v>
          </cell>
          <cell r="B872">
            <v>1</v>
          </cell>
        </row>
        <row r="873">
          <cell r="A873" t="str">
            <v>1828FH101714</v>
          </cell>
          <cell r="B873">
            <v>1</v>
          </cell>
        </row>
        <row r="874">
          <cell r="A874" t="str">
            <v>1828FH101715</v>
          </cell>
          <cell r="B874">
            <v>1</v>
          </cell>
        </row>
        <row r="875">
          <cell r="A875" t="str">
            <v>1828FH101717</v>
          </cell>
          <cell r="B875">
            <v>1</v>
          </cell>
        </row>
        <row r="876">
          <cell r="A876" t="str">
            <v>1828FH101718</v>
          </cell>
          <cell r="B876">
            <v>1</v>
          </cell>
        </row>
        <row r="877">
          <cell r="A877" t="str">
            <v>1828FH101720</v>
          </cell>
          <cell r="B877">
            <v>1</v>
          </cell>
        </row>
        <row r="878">
          <cell r="A878" t="str">
            <v>1828FH101721</v>
          </cell>
          <cell r="B878">
            <v>1</v>
          </cell>
        </row>
        <row r="879">
          <cell r="A879" t="str">
            <v>1828FH101722</v>
          </cell>
          <cell r="B879">
            <v>1</v>
          </cell>
        </row>
        <row r="880">
          <cell r="A880" t="str">
            <v>1828FH101723</v>
          </cell>
          <cell r="B880">
            <v>1</v>
          </cell>
        </row>
        <row r="881">
          <cell r="A881" t="str">
            <v>1828FH101725</v>
          </cell>
          <cell r="B881">
            <v>1</v>
          </cell>
        </row>
        <row r="882">
          <cell r="A882" t="str">
            <v>1828FH101728</v>
          </cell>
          <cell r="B882">
            <v>1</v>
          </cell>
        </row>
        <row r="883">
          <cell r="A883" t="str">
            <v>1828FH101732</v>
          </cell>
          <cell r="B883">
            <v>1</v>
          </cell>
        </row>
        <row r="884">
          <cell r="A884" t="str">
            <v>1828FH101736</v>
          </cell>
          <cell r="B884">
            <v>1</v>
          </cell>
        </row>
        <row r="885">
          <cell r="A885" t="str">
            <v>1828FH101738</v>
          </cell>
          <cell r="B885">
            <v>1</v>
          </cell>
        </row>
        <row r="886">
          <cell r="A886" t="str">
            <v>1828FH101739</v>
          </cell>
          <cell r="B886">
            <v>1</v>
          </cell>
        </row>
        <row r="887">
          <cell r="A887" t="str">
            <v>1828FH101741</v>
          </cell>
          <cell r="B887">
            <v>1</v>
          </cell>
        </row>
        <row r="888">
          <cell r="A888" t="str">
            <v>1828FH101742</v>
          </cell>
          <cell r="B888">
            <v>1</v>
          </cell>
        </row>
        <row r="889">
          <cell r="A889" t="str">
            <v>1828FH101743</v>
          </cell>
          <cell r="B889">
            <v>1</v>
          </cell>
        </row>
        <row r="890">
          <cell r="A890" t="str">
            <v>1828FH101744</v>
          </cell>
          <cell r="B890">
            <v>1</v>
          </cell>
        </row>
        <row r="891">
          <cell r="A891" t="str">
            <v>1828FH101746</v>
          </cell>
          <cell r="B891">
            <v>1</v>
          </cell>
        </row>
        <row r="892">
          <cell r="A892" t="str">
            <v>1828FH101747</v>
          </cell>
          <cell r="B892">
            <v>1</v>
          </cell>
        </row>
        <row r="893">
          <cell r="A893" t="str">
            <v>1828FH101749</v>
          </cell>
          <cell r="B893">
            <v>1</v>
          </cell>
        </row>
        <row r="894">
          <cell r="A894" t="str">
            <v>1828FH101750</v>
          </cell>
          <cell r="B894">
            <v>1</v>
          </cell>
        </row>
        <row r="895">
          <cell r="A895" t="str">
            <v>1828FH101752</v>
          </cell>
          <cell r="B895">
            <v>1</v>
          </cell>
        </row>
        <row r="896">
          <cell r="A896" t="str">
            <v>1828FH101754</v>
          </cell>
          <cell r="B896">
            <v>1</v>
          </cell>
        </row>
        <row r="897">
          <cell r="A897" t="str">
            <v>1828FH101755</v>
          </cell>
          <cell r="B897">
            <v>1</v>
          </cell>
        </row>
        <row r="898">
          <cell r="A898" t="str">
            <v>1828FH101756</v>
          </cell>
          <cell r="B898">
            <v>1</v>
          </cell>
        </row>
        <row r="899">
          <cell r="A899" t="str">
            <v>1828FH101758</v>
          </cell>
          <cell r="B899">
            <v>1</v>
          </cell>
        </row>
        <row r="900">
          <cell r="A900" t="str">
            <v>1828FH101759</v>
          </cell>
          <cell r="B900">
            <v>2</v>
          </cell>
        </row>
        <row r="901">
          <cell r="A901" t="str">
            <v>1828FH101760</v>
          </cell>
          <cell r="B901">
            <v>1</v>
          </cell>
        </row>
        <row r="902">
          <cell r="A902" t="str">
            <v>1828FH101761</v>
          </cell>
          <cell r="B902">
            <v>1</v>
          </cell>
        </row>
        <row r="903">
          <cell r="A903" t="str">
            <v>1828FH101762</v>
          </cell>
          <cell r="B903">
            <v>1</v>
          </cell>
        </row>
        <row r="904">
          <cell r="A904" t="str">
            <v>1828FH101763</v>
          </cell>
          <cell r="B904">
            <v>1</v>
          </cell>
        </row>
        <row r="905">
          <cell r="A905" t="str">
            <v>1828FH101764</v>
          </cell>
          <cell r="B905">
            <v>1</v>
          </cell>
        </row>
        <row r="906">
          <cell r="A906" t="str">
            <v>1828FH101765</v>
          </cell>
          <cell r="B906">
            <v>1</v>
          </cell>
        </row>
        <row r="907">
          <cell r="A907" t="str">
            <v>1828FH101766</v>
          </cell>
          <cell r="B907">
            <v>1</v>
          </cell>
        </row>
        <row r="908">
          <cell r="A908" t="str">
            <v>1828FH101767</v>
          </cell>
          <cell r="B908">
            <v>1</v>
          </cell>
        </row>
        <row r="909">
          <cell r="A909" t="str">
            <v>1828FH101769</v>
          </cell>
          <cell r="B909">
            <v>1</v>
          </cell>
        </row>
        <row r="910">
          <cell r="A910" t="str">
            <v>1828FH101770</v>
          </cell>
          <cell r="B910">
            <v>1</v>
          </cell>
        </row>
        <row r="911">
          <cell r="A911" t="str">
            <v>1828FH101771</v>
          </cell>
          <cell r="B911">
            <v>1</v>
          </cell>
        </row>
        <row r="912">
          <cell r="A912" t="str">
            <v>1828FH101772</v>
          </cell>
          <cell r="B912">
            <v>1</v>
          </cell>
        </row>
        <row r="913">
          <cell r="A913" t="str">
            <v>1828FH101774</v>
          </cell>
          <cell r="B913">
            <v>1</v>
          </cell>
        </row>
        <row r="914">
          <cell r="A914" t="str">
            <v>1828FH101802</v>
          </cell>
          <cell r="B914">
            <v>1</v>
          </cell>
        </row>
        <row r="915">
          <cell r="A915" t="str">
            <v>1828FH101804</v>
          </cell>
          <cell r="B915">
            <v>1</v>
          </cell>
        </row>
        <row r="916">
          <cell r="A916" t="str">
            <v>1828FH101805</v>
          </cell>
          <cell r="B916">
            <v>1</v>
          </cell>
        </row>
        <row r="917">
          <cell r="A917" t="str">
            <v>1828FH101806</v>
          </cell>
          <cell r="B917">
            <v>1</v>
          </cell>
        </row>
        <row r="918">
          <cell r="A918" t="str">
            <v>1828FH101807</v>
          </cell>
          <cell r="B918">
            <v>1</v>
          </cell>
        </row>
        <row r="919">
          <cell r="A919" t="str">
            <v>1828FH101808</v>
          </cell>
          <cell r="B919">
            <v>1</v>
          </cell>
        </row>
        <row r="920">
          <cell r="A920" t="str">
            <v>1828FH101809</v>
          </cell>
          <cell r="B920">
            <v>1</v>
          </cell>
        </row>
        <row r="921">
          <cell r="A921" t="str">
            <v>1828FH101810</v>
          </cell>
          <cell r="B921">
            <v>1</v>
          </cell>
        </row>
        <row r="922">
          <cell r="A922" t="str">
            <v>1828FH101811</v>
          </cell>
          <cell r="B922">
            <v>1</v>
          </cell>
        </row>
        <row r="923">
          <cell r="A923" t="str">
            <v>1828FH101813</v>
          </cell>
          <cell r="B923">
            <v>1</v>
          </cell>
        </row>
        <row r="924">
          <cell r="A924" t="str">
            <v>1828FH101815</v>
          </cell>
          <cell r="B924">
            <v>1</v>
          </cell>
        </row>
        <row r="925">
          <cell r="A925" t="str">
            <v>1828FH101816</v>
          </cell>
          <cell r="B925">
            <v>1</v>
          </cell>
        </row>
        <row r="926">
          <cell r="A926" t="str">
            <v>1828FH101817</v>
          </cell>
          <cell r="B926">
            <v>1</v>
          </cell>
        </row>
        <row r="927">
          <cell r="A927" t="str">
            <v>1828FH101818</v>
          </cell>
          <cell r="B927">
            <v>1</v>
          </cell>
        </row>
        <row r="928">
          <cell r="A928" t="str">
            <v>1828FH101819</v>
          </cell>
          <cell r="B928">
            <v>1</v>
          </cell>
        </row>
        <row r="929">
          <cell r="A929" t="str">
            <v>1828FH101820</v>
          </cell>
          <cell r="B929">
            <v>1</v>
          </cell>
        </row>
        <row r="930">
          <cell r="A930" t="str">
            <v>1828FH101821</v>
          </cell>
          <cell r="B930">
            <v>1</v>
          </cell>
        </row>
        <row r="931">
          <cell r="A931" t="str">
            <v>1828FH101958</v>
          </cell>
          <cell r="B931">
            <v>1</v>
          </cell>
        </row>
        <row r="932">
          <cell r="A932" t="str">
            <v>1828FH101961</v>
          </cell>
          <cell r="B932">
            <v>1</v>
          </cell>
        </row>
        <row r="933">
          <cell r="A933" t="str">
            <v>1828FH101967</v>
          </cell>
          <cell r="B933">
            <v>1</v>
          </cell>
        </row>
        <row r="934">
          <cell r="A934" t="str">
            <v>1828FH101968</v>
          </cell>
          <cell r="B934">
            <v>1</v>
          </cell>
        </row>
        <row r="935">
          <cell r="A935" t="str">
            <v>1828FH101969</v>
          </cell>
          <cell r="B935">
            <v>1</v>
          </cell>
        </row>
        <row r="936">
          <cell r="A936" t="str">
            <v>1828FH101971</v>
          </cell>
          <cell r="B936">
            <v>1</v>
          </cell>
        </row>
        <row r="937">
          <cell r="A937" t="str">
            <v>1828FH101972</v>
          </cell>
          <cell r="B937">
            <v>1</v>
          </cell>
        </row>
        <row r="938">
          <cell r="A938" t="str">
            <v>1828FH102001</v>
          </cell>
          <cell r="B938">
            <v>1</v>
          </cell>
        </row>
        <row r="939">
          <cell r="A939" t="str">
            <v>1828FH102003</v>
          </cell>
          <cell r="B939">
            <v>1</v>
          </cell>
        </row>
        <row r="940">
          <cell r="A940" t="str">
            <v>1828FH102004</v>
          </cell>
          <cell r="B940">
            <v>1</v>
          </cell>
        </row>
        <row r="941">
          <cell r="A941" t="str">
            <v>1828FH102005</v>
          </cell>
          <cell r="B941">
            <v>1</v>
          </cell>
        </row>
        <row r="942">
          <cell r="A942" t="str">
            <v>1828FH102006</v>
          </cell>
          <cell r="B942">
            <v>1</v>
          </cell>
        </row>
        <row r="943">
          <cell r="A943" t="str">
            <v>1828FH102007</v>
          </cell>
          <cell r="B943">
            <v>1</v>
          </cell>
        </row>
        <row r="944">
          <cell r="A944" t="str">
            <v>1828FH102009</v>
          </cell>
          <cell r="B944">
            <v>1</v>
          </cell>
        </row>
        <row r="945">
          <cell r="A945" t="str">
            <v>1828FH102010</v>
          </cell>
          <cell r="B945">
            <v>1</v>
          </cell>
        </row>
        <row r="946">
          <cell r="A946" t="str">
            <v>1828FH102011</v>
          </cell>
          <cell r="B946">
            <v>1</v>
          </cell>
        </row>
        <row r="947">
          <cell r="A947" t="str">
            <v>1828FH102012</v>
          </cell>
          <cell r="B947">
            <v>1</v>
          </cell>
        </row>
        <row r="948">
          <cell r="A948" t="str">
            <v>1828FH102013</v>
          </cell>
          <cell r="B948">
            <v>1</v>
          </cell>
        </row>
        <row r="949">
          <cell r="A949" t="str">
            <v>1828FH102014</v>
          </cell>
          <cell r="B949">
            <v>1</v>
          </cell>
        </row>
        <row r="950">
          <cell r="A950" t="str">
            <v>1828FH102015</v>
          </cell>
          <cell r="B950">
            <v>1</v>
          </cell>
        </row>
        <row r="951">
          <cell r="A951" t="str">
            <v>1828FH102018</v>
          </cell>
          <cell r="B951">
            <v>1</v>
          </cell>
        </row>
        <row r="952">
          <cell r="A952" t="str">
            <v>1828FH102020</v>
          </cell>
          <cell r="B952">
            <v>1</v>
          </cell>
        </row>
        <row r="953">
          <cell r="A953" t="str">
            <v>1828FH102022</v>
          </cell>
          <cell r="B953">
            <v>1</v>
          </cell>
        </row>
        <row r="954">
          <cell r="A954" t="str">
            <v>1828FH102023</v>
          </cell>
          <cell r="B954">
            <v>1</v>
          </cell>
        </row>
        <row r="955">
          <cell r="A955" t="str">
            <v>1828FH102024</v>
          </cell>
          <cell r="B955">
            <v>1</v>
          </cell>
        </row>
        <row r="956">
          <cell r="A956" t="str">
            <v>1828FH102025</v>
          </cell>
          <cell r="B956">
            <v>1</v>
          </cell>
        </row>
        <row r="957">
          <cell r="A957" t="str">
            <v>1828FH102026</v>
          </cell>
          <cell r="B957">
            <v>1</v>
          </cell>
        </row>
        <row r="958">
          <cell r="A958" t="str">
            <v>1828FH102027</v>
          </cell>
          <cell r="B958">
            <v>1</v>
          </cell>
        </row>
        <row r="959">
          <cell r="A959" t="str">
            <v>1828FH102028</v>
          </cell>
          <cell r="B959">
            <v>1</v>
          </cell>
        </row>
        <row r="960">
          <cell r="A960" t="str">
            <v>1828FH102030</v>
          </cell>
          <cell r="B960">
            <v>1</v>
          </cell>
        </row>
        <row r="961">
          <cell r="A961" t="str">
            <v>1828FH102182</v>
          </cell>
          <cell r="B961">
            <v>1</v>
          </cell>
        </row>
        <row r="962">
          <cell r="A962" t="str">
            <v>1828FH102183</v>
          </cell>
          <cell r="B962">
            <v>1</v>
          </cell>
        </row>
        <row r="963">
          <cell r="A963" t="str">
            <v>1828FH102185</v>
          </cell>
          <cell r="B963">
            <v>1</v>
          </cell>
        </row>
        <row r="964">
          <cell r="A964" t="str">
            <v>1828FH102188</v>
          </cell>
          <cell r="B964">
            <v>1</v>
          </cell>
        </row>
        <row r="965">
          <cell r="A965" t="str">
            <v>1828FH102189</v>
          </cell>
          <cell r="B965">
            <v>1</v>
          </cell>
        </row>
        <row r="966">
          <cell r="A966" t="str">
            <v>1828FH102190</v>
          </cell>
          <cell r="B966">
            <v>1</v>
          </cell>
        </row>
        <row r="967">
          <cell r="A967" t="str">
            <v>1828FH102191</v>
          </cell>
          <cell r="B967">
            <v>1</v>
          </cell>
        </row>
        <row r="968">
          <cell r="A968" t="str">
            <v>1828FH102192</v>
          </cell>
          <cell r="B968">
            <v>1</v>
          </cell>
        </row>
        <row r="969">
          <cell r="A969" t="str">
            <v>1828FH102193</v>
          </cell>
          <cell r="B969">
            <v>1</v>
          </cell>
        </row>
        <row r="970">
          <cell r="A970" t="str">
            <v>1828FH102194</v>
          </cell>
          <cell r="B970">
            <v>1</v>
          </cell>
        </row>
        <row r="971">
          <cell r="A971" t="str">
            <v>1828FH102196</v>
          </cell>
          <cell r="B971">
            <v>1</v>
          </cell>
        </row>
        <row r="972">
          <cell r="A972" t="str">
            <v>1828FH102197</v>
          </cell>
          <cell r="B972">
            <v>1</v>
          </cell>
        </row>
        <row r="973">
          <cell r="A973" t="str">
            <v>1828FH102201</v>
          </cell>
          <cell r="B973">
            <v>1</v>
          </cell>
        </row>
        <row r="974">
          <cell r="A974" t="str">
            <v>1828FH102203</v>
          </cell>
          <cell r="B974">
            <v>1</v>
          </cell>
        </row>
        <row r="975">
          <cell r="A975" t="str">
            <v>1828FH102204</v>
          </cell>
          <cell r="B975">
            <v>1</v>
          </cell>
        </row>
        <row r="976">
          <cell r="A976" t="str">
            <v>1828FH102205</v>
          </cell>
          <cell r="B976">
            <v>1</v>
          </cell>
        </row>
        <row r="977">
          <cell r="A977" t="str">
            <v>1828FH102207</v>
          </cell>
          <cell r="B977">
            <v>1</v>
          </cell>
        </row>
        <row r="978">
          <cell r="A978" t="str">
            <v>1828FH102209</v>
          </cell>
          <cell r="B978">
            <v>1</v>
          </cell>
        </row>
        <row r="979">
          <cell r="A979" t="str">
            <v>1828FH102210</v>
          </cell>
          <cell r="B979">
            <v>1</v>
          </cell>
        </row>
        <row r="980">
          <cell r="A980" t="str">
            <v>1828FH102212</v>
          </cell>
          <cell r="B980">
            <v>1</v>
          </cell>
        </row>
        <row r="981">
          <cell r="A981" t="str">
            <v>1828FH102213</v>
          </cell>
          <cell r="B981">
            <v>1</v>
          </cell>
        </row>
        <row r="982">
          <cell r="A982" t="str">
            <v>1828FH102215</v>
          </cell>
          <cell r="B982">
            <v>2</v>
          </cell>
        </row>
        <row r="983">
          <cell r="A983" t="str">
            <v>1828FH102216</v>
          </cell>
          <cell r="B983">
            <v>1</v>
          </cell>
        </row>
        <row r="984">
          <cell r="A984" t="str">
            <v>1828FH102217</v>
          </cell>
          <cell r="B984">
            <v>1</v>
          </cell>
        </row>
        <row r="985">
          <cell r="A985" t="str">
            <v>1828FH102219</v>
          </cell>
          <cell r="B985">
            <v>1</v>
          </cell>
        </row>
        <row r="986">
          <cell r="A986" t="str">
            <v>1828FH102220</v>
          </cell>
          <cell r="B986">
            <v>1</v>
          </cell>
        </row>
        <row r="987">
          <cell r="A987" t="str">
            <v>1828FH102221</v>
          </cell>
          <cell r="B987">
            <v>1</v>
          </cell>
        </row>
        <row r="988">
          <cell r="A988" t="str">
            <v>1828FH102222</v>
          </cell>
          <cell r="B988">
            <v>1</v>
          </cell>
        </row>
        <row r="989">
          <cell r="A989" t="str">
            <v>1828FH102224</v>
          </cell>
          <cell r="B989">
            <v>1</v>
          </cell>
        </row>
        <row r="990">
          <cell r="A990" t="str">
            <v>1828FH102225</v>
          </cell>
          <cell r="B990">
            <v>1</v>
          </cell>
        </row>
        <row r="991">
          <cell r="A991" t="str">
            <v>1828FH102229</v>
          </cell>
          <cell r="B991">
            <v>1</v>
          </cell>
        </row>
        <row r="992">
          <cell r="A992" t="str">
            <v>1828FH102230</v>
          </cell>
          <cell r="B992">
            <v>1</v>
          </cell>
        </row>
        <row r="993">
          <cell r="A993" t="str">
            <v>1828FH102231</v>
          </cell>
          <cell r="B993">
            <v>1</v>
          </cell>
        </row>
        <row r="994">
          <cell r="A994" t="str">
            <v>1828FH102237</v>
          </cell>
          <cell r="B994">
            <v>1</v>
          </cell>
        </row>
        <row r="995">
          <cell r="A995" t="str">
            <v>1828FH102238</v>
          </cell>
          <cell r="B995">
            <v>1</v>
          </cell>
        </row>
        <row r="996">
          <cell r="A996" t="str">
            <v>1828FH102239</v>
          </cell>
          <cell r="B996">
            <v>1</v>
          </cell>
        </row>
        <row r="997">
          <cell r="A997" t="str">
            <v>1828FH102240</v>
          </cell>
          <cell r="B997">
            <v>1</v>
          </cell>
        </row>
        <row r="998">
          <cell r="A998" t="str">
            <v>1828FH102241</v>
          </cell>
          <cell r="B998">
            <v>1</v>
          </cell>
        </row>
        <row r="999">
          <cell r="A999" t="str">
            <v>1828FH102242</v>
          </cell>
          <cell r="B999">
            <v>1</v>
          </cell>
        </row>
        <row r="1000">
          <cell r="A1000" t="str">
            <v>1828FH102243</v>
          </cell>
          <cell r="B1000">
            <v>1</v>
          </cell>
        </row>
        <row r="1001">
          <cell r="A1001" t="str">
            <v>1828FH102244</v>
          </cell>
          <cell r="B1001">
            <v>1</v>
          </cell>
        </row>
        <row r="1002">
          <cell r="A1002" t="str">
            <v>1828FH102245</v>
          </cell>
          <cell r="B1002">
            <v>1</v>
          </cell>
        </row>
        <row r="1003">
          <cell r="A1003" t="str">
            <v>1828FH102246</v>
          </cell>
          <cell r="B1003">
            <v>1</v>
          </cell>
        </row>
        <row r="1004">
          <cell r="A1004" t="str">
            <v>1828FH102249</v>
          </cell>
          <cell r="B1004">
            <v>1</v>
          </cell>
        </row>
        <row r="1005">
          <cell r="A1005" t="str">
            <v>1828FH102252</v>
          </cell>
          <cell r="B1005">
            <v>1</v>
          </cell>
        </row>
        <row r="1006">
          <cell r="A1006" t="str">
            <v>1828FH102253</v>
          </cell>
          <cell r="B1006">
            <v>1</v>
          </cell>
        </row>
        <row r="1007">
          <cell r="A1007" t="str">
            <v>1828FH102255</v>
          </cell>
          <cell r="B1007">
            <v>1</v>
          </cell>
        </row>
        <row r="1008">
          <cell r="A1008" t="str">
            <v>1828FH102258</v>
          </cell>
          <cell r="B1008">
            <v>1</v>
          </cell>
        </row>
        <row r="1009">
          <cell r="A1009" t="str">
            <v>1828FH102259</v>
          </cell>
          <cell r="B1009">
            <v>1</v>
          </cell>
        </row>
        <row r="1010">
          <cell r="A1010" t="str">
            <v>1828FH102260</v>
          </cell>
          <cell r="B1010">
            <v>1</v>
          </cell>
        </row>
        <row r="1011">
          <cell r="A1011" t="str">
            <v>1828FH102262</v>
          </cell>
          <cell r="B1011">
            <v>1</v>
          </cell>
        </row>
        <row r="1012">
          <cell r="A1012" t="str">
            <v>1828FH102263</v>
          </cell>
          <cell r="B1012">
            <v>1</v>
          </cell>
        </row>
        <row r="1013">
          <cell r="A1013" t="str">
            <v>1828FH102264</v>
          </cell>
          <cell r="B1013">
            <v>1</v>
          </cell>
        </row>
        <row r="1014">
          <cell r="A1014" t="str">
            <v>1828FH102265</v>
          </cell>
          <cell r="B1014">
            <v>1</v>
          </cell>
        </row>
        <row r="1015">
          <cell r="A1015" t="str">
            <v>1828FH102266</v>
          </cell>
          <cell r="B1015">
            <v>1</v>
          </cell>
        </row>
        <row r="1016">
          <cell r="A1016" t="str">
            <v>1828FH102267</v>
          </cell>
          <cell r="B1016">
            <v>1</v>
          </cell>
        </row>
        <row r="1017">
          <cell r="A1017" t="str">
            <v>1828FH102268</v>
          </cell>
          <cell r="B1017">
            <v>2</v>
          </cell>
        </row>
        <row r="1018">
          <cell r="A1018" t="str">
            <v>1828FIP00110</v>
          </cell>
          <cell r="B1018">
            <v>1</v>
          </cell>
        </row>
        <row r="1019">
          <cell r="A1019" t="str">
            <v>1828FIP00111</v>
          </cell>
          <cell r="B1019">
            <v>1</v>
          </cell>
        </row>
        <row r="1020">
          <cell r="A1020" t="str">
            <v>1828FIP00112</v>
          </cell>
          <cell r="B1020">
            <v>1</v>
          </cell>
        </row>
        <row r="1021">
          <cell r="A1021" t="str">
            <v>1828FIP00116</v>
          </cell>
          <cell r="B1021">
            <v>1</v>
          </cell>
        </row>
        <row r="1022">
          <cell r="A1022" t="str">
            <v>1828FIP00117</v>
          </cell>
          <cell r="B1022">
            <v>1</v>
          </cell>
        </row>
        <row r="1023">
          <cell r="A1023" t="str">
            <v>1828FIP00118</v>
          </cell>
          <cell r="B1023">
            <v>1</v>
          </cell>
        </row>
        <row r="1024">
          <cell r="A1024" t="str">
            <v>1828FIP00119</v>
          </cell>
          <cell r="B1024">
            <v>1</v>
          </cell>
        </row>
        <row r="1025">
          <cell r="A1025" t="str">
            <v>1828FIP00120</v>
          </cell>
          <cell r="B1025">
            <v>1</v>
          </cell>
        </row>
        <row r="1026">
          <cell r="A1026" t="str">
            <v>1828FIP00122</v>
          </cell>
          <cell r="B1026">
            <v>1</v>
          </cell>
        </row>
        <row r="1027">
          <cell r="A1027" t="str">
            <v>1828FIP00123</v>
          </cell>
          <cell r="B1027">
            <v>1</v>
          </cell>
        </row>
        <row r="1028">
          <cell r="A1028" t="str">
            <v>1828FIP00125</v>
          </cell>
          <cell r="B1028">
            <v>1</v>
          </cell>
        </row>
        <row r="1029">
          <cell r="A1029" t="str">
            <v>1828FIP00126</v>
          </cell>
          <cell r="B1029">
            <v>1</v>
          </cell>
        </row>
        <row r="1030">
          <cell r="A1030" t="str">
            <v>1828FIP00127</v>
          </cell>
          <cell r="B1030">
            <v>1</v>
          </cell>
        </row>
        <row r="1031">
          <cell r="A1031" t="str">
            <v>1828FIP00128</v>
          </cell>
          <cell r="B1031">
            <v>1</v>
          </cell>
        </row>
        <row r="1032">
          <cell r="A1032" t="str">
            <v>1828FIP00129</v>
          </cell>
          <cell r="B1032">
            <v>1</v>
          </cell>
        </row>
        <row r="1033">
          <cell r="A1033" t="str">
            <v>1828FIP00130</v>
          </cell>
          <cell r="B1033">
            <v>1</v>
          </cell>
        </row>
        <row r="1034">
          <cell r="A1034" t="str">
            <v>1828FIP00131</v>
          </cell>
          <cell r="B1034">
            <v>1</v>
          </cell>
        </row>
        <row r="1035">
          <cell r="A1035" t="str">
            <v>1828FIP00132</v>
          </cell>
          <cell r="B1035">
            <v>1</v>
          </cell>
        </row>
        <row r="1036">
          <cell r="A1036" t="str">
            <v>1828FIP00133</v>
          </cell>
          <cell r="B1036">
            <v>1</v>
          </cell>
        </row>
        <row r="1037">
          <cell r="A1037" t="str">
            <v>1828FIP00134</v>
          </cell>
          <cell r="B1037">
            <v>1</v>
          </cell>
        </row>
        <row r="1038">
          <cell r="A1038" t="str">
            <v>1828FIP00135</v>
          </cell>
          <cell r="B1038">
            <v>1</v>
          </cell>
        </row>
        <row r="1039">
          <cell r="A1039" t="str">
            <v>1828FIP00136</v>
          </cell>
          <cell r="B1039">
            <v>1</v>
          </cell>
        </row>
        <row r="1040">
          <cell r="A1040" t="str">
            <v>1828FIP00650</v>
          </cell>
          <cell r="B1040">
            <v>1</v>
          </cell>
        </row>
        <row r="1041">
          <cell r="A1041" t="str">
            <v>1828FIP00651</v>
          </cell>
          <cell r="B1041">
            <v>1</v>
          </cell>
        </row>
        <row r="1042">
          <cell r="A1042" t="str">
            <v>1828FIP00652</v>
          </cell>
          <cell r="B1042">
            <v>1</v>
          </cell>
        </row>
        <row r="1043">
          <cell r="A1043" t="str">
            <v>1828FIP00653</v>
          </cell>
          <cell r="B1043">
            <v>1</v>
          </cell>
        </row>
        <row r="1044">
          <cell r="A1044" t="str">
            <v>1828FIP00654</v>
          </cell>
          <cell r="B1044">
            <v>1</v>
          </cell>
        </row>
        <row r="1045">
          <cell r="A1045" t="str">
            <v>1828FIP00656</v>
          </cell>
          <cell r="B1045">
            <v>1</v>
          </cell>
        </row>
        <row r="1046">
          <cell r="A1046" t="str">
            <v>1828FIP00659</v>
          </cell>
          <cell r="B1046">
            <v>1</v>
          </cell>
        </row>
        <row r="1047">
          <cell r="A1047" t="str">
            <v>1828FIP00661</v>
          </cell>
          <cell r="B1047">
            <v>1</v>
          </cell>
        </row>
        <row r="1048">
          <cell r="A1048" t="str">
            <v>1828FIP00670</v>
          </cell>
          <cell r="B1048">
            <v>1</v>
          </cell>
        </row>
        <row r="1049">
          <cell r="A1049" t="str">
            <v>1828FIP00671</v>
          </cell>
          <cell r="B1049">
            <v>1</v>
          </cell>
        </row>
        <row r="1050">
          <cell r="A1050" t="str">
            <v>1828FIP00895</v>
          </cell>
          <cell r="B1050">
            <v>1</v>
          </cell>
        </row>
        <row r="1051">
          <cell r="A1051" t="str">
            <v>1828FIP00896</v>
          </cell>
          <cell r="B1051">
            <v>1</v>
          </cell>
        </row>
        <row r="1052">
          <cell r="A1052" t="str">
            <v>1828FIP00931</v>
          </cell>
          <cell r="B1052">
            <v>1</v>
          </cell>
        </row>
        <row r="1053">
          <cell r="A1053" t="str">
            <v>1868RH101148</v>
          </cell>
          <cell r="B1053">
            <v>1</v>
          </cell>
        </row>
        <row r="1054">
          <cell r="A1054" t="str">
            <v>1868RH101214</v>
          </cell>
          <cell r="B1054">
            <v>1</v>
          </cell>
        </row>
        <row r="1055">
          <cell r="A1055" t="str">
            <v>1868RH101215</v>
          </cell>
          <cell r="B1055">
            <v>1</v>
          </cell>
        </row>
        <row r="1056">
          <cell r="A1056" t="str">
            <v>1868RH101216</v>
          </cell>
          <cell r="B1056">
            <v>1</v>
          </cell>
        </row>
        <row r="1057">
          <cell r="A1057" t="str">
            <v>1868RH101217</v>
          </cell>
          <cell r="B1057">
            <v>1</v>
          </cell>
        </row>
        <row r="1058">
          <cell r="A1058" t="str">
            <v>1868RH101218</v>
          </cell>
          <cell r="B1058">
            <v>1</v>
          </cell>
        </row>
        <row r="1059">
          <cell r="A1059" t="str">
            <v>1868RH101219</v>
          </cell>
          <cell r="B1059">
            <v>1</v>
          </cell>
        </row>
        <row r="1060">
          <cell r="A1060" t="str">
            <v>1868RH101220</v>
          </cell>
          <cell r="B1060">
            <v>1</v>
          </cell>
        </row>
        <row r="1061">
          <cell r="A1061" t="str">
            <v>1868RH102952</v>
          </cell>
          <cell r="B1061">
            <v>1</v>
          </cell>
        </row>
        <row r="1062">
          <cell r="A1062" t="str">
            <v>1868RH102953</v>
          </cell>
          <cell r="B1062">
            <v>1</v>
          </cell>
        </row>
        <row r="1063">
          <cell r="A1063" t="str">
            <v>1868RH102954</v>
          </cell>
          <cell r="B1063">
            <v>1</v>
          </cell>
        </row>
        <row r="1064">
          <cell r="A1064" t="str">
            <v>1868RH102955</v>
          </cell>
          <cell r="B1064">
            <v>1</v>
          </cell>
        </row>
        <row r="1065">
          <cell r="A1065" t="str">
            <v>1868RH102956</v>
          </cell>
          <cell r="B1065">
            <v>1</v>
          </cell>
        </row>
        <row r="1066">
          <cell r="A1066" t="str">
            <v>1868RH102957</v>
          </cell>
          <cell r="B1066">
            <v>1</v>
          </cell>
        </row>
        <row r="1067">
          <cell r="A1067" t="str">
            <v>1868RH102958</v>
          </cell>
          <cell r="B1067">
            <v>1</v>
          </cell>
        </row>
        <row r="1068">
          <cell r="A1068" t="str">
            <v>1868RH102959</v>
          </cell>
          <cell r="B1068">
            <v>1</v>
          </cell>
        </row>
        <row r="1069">
          <cell r="A1069" t="str">
            <v>1868RH102960</v>
          </cell>
          <cell r="B1069">
            <v>1</v>
          </cell>
        </row>
        <row r="1070">
          <cell r="A1070" t="str">
            <v>1868RH102961</v>
          </cell>
          <cell r="B1070">
            <v>1</v>
          </cell>
        </row>
        <row r="1071">
          <cell r="A1071" t="str">
            <v>1868RH102962</v>
          </cell>
          <cell r="B1071">
            <v>1</v>
          </cell>
        </row>
        <row r="1072">
          <cell r="A1072" t="str">
            <v>1868RH102963</v>
          </cell>
          <cell r="B1072">
            <v>1</v>
          </cell>
        </row>
        <row r="1073">
          <cell r="A1073" t="str">
            <v>1868RH102964</v>
          </cell>
          <cell r="B1073">
            <v>1</v>
          </cell>
        </row>
        <row r="1074">
          <cell r="A1074" t="str">
            <v>1868RH102965</v>
          </cell>
          <cell r="B1074">
            <v>1</v>
          </cell>
        </row>
        <row r="1075">
          <cell r="A1075" t="str">
            <v>1868RH103302</v>
          </cell>
          <cell r="B1075">
            <v>1</v>
          </cell>
        </row>
        <row r="1076">
          <cell r="A1076" t="str">
            <v>1868RH103303</v>
          </cell>
          <cell r="B1076">
            <v>1</v>
          </cell>
        </row>
        <row r="1077">
          <cell r="A1077" t="str">
            <v>1868RH103304</v>
          </cell>
          <cell r="B1077">
            <v>1</v>
          </cell>
        </row>
        <row r="1078">
          <cell r="A1078" t="str">
            <v>1868RH103305</v>
          </cell>
          <cell r="B1078">
            <v>1</v>
          </cell>
        </row>
        <row r="1079">
          <cell r="A1079" t="str">
            <v>1868RH103306</v>
          </cell>
          <cell r="B1079">
            <v>1</v>
          </cell>
        </row>
        <row r="1080">
          <cell r="A1080" t="str">
            <v>1868RH103307</v>
          </cell>
          <cell r="B1080">
            <v>1</v>
          </cell>
        </row>
        <row r="1081">
          <cell r="A1081" t="str">
            <v>1868RH103308</v>
          </cell>
          <cell r="B1081">
            <v>1</v>
          </cell>
        </row>
        <row r="1082">
          <cell r="A1082" t="str">
            <v>1868RH103309</v>
          </cell>
          <cell r="B1082">
            <v>1</v>
          </cell>
        </row>
        <row r="1083">
          <cell r="A1083" t="str">
            <v>1868RH103310</v>
          </cell>
          <cell r="B1083">
            <v>1</v>
          </cell>
        </row>
        <row r="1084">
          <cell r="A1084" t="str">
            <v>1868RH103311</v>
          </cell>
          <cell r="B1084">
            <v>1</v>
          </cell>
        </row>
        <row r="1085">
          <cell r="A1085" t="str">
            <v>1868RH104502</v>
          </cell>
          <cell r="B1085">
            <v>1</v>
          </cell>
        </row>
        <row r="1086">
          <cell r="A1086" t="str">
            <v>1868RH104504</v>
          </cell>
          <cell r="B1086">
            <v>1</v>
          </cell>
        </row>
        <row r="1087">
          <cell r="A1087" t="str">
            <v>1868RH104510</v>
          </cell>
          <cell r="B1087">
            <v>1</v>
          </cell>
        </row>
        <row r="1088">
          <cell r="A1088" t="str">
            <v>1868RH104511</v>
          </cell>
          <cell r="B1088">
            <v>1</v>
          </cell>
        </row>
        <row r="1089">
          <cell r="A1089" t="str">
            <v>1868RH104512</v>
          </cell>
          <cell r="B1089">
            <v>1</v>
          </cell>
        </row>
        <row r="1090">
          <cell r="A1090" t="str">
            <v>1868RH104513</v>
          </cell>
          <cell r="B1090">
            <v>1</v>
          </cell>
        </row>
        <row r="1091">
          <cell r="A1091" t="str">
            <v>1868RH104514</v>
          </cell>
          <cell r="B1091">
            <v>1</v>
          </cell>
        </row>
        <row r="1092">
          <cell r="A1092" t="str">
            <v>1868RH104515</v>
          </cell>
          <cell r="B1092">
            <v>1</v>
          </cell>
        </row>
        <row r="1093">
          <cell r="A1093" t="str">
            <v>1868RH104516</v>
          </cell>
          <cell r="B1093">
            <v>1</v>
          </cell>
        </row>
        <row r="1094">
          <cell r="A1094" t="str">
            <v>1868RH105286</v>
          </cell>
          <cell r="B1094">
            <v>1</v>
          </cell>
        </row>
        <row r="1095">
          <cell r="A1095" t="str">
            <v>1868RH105287</v>
          </cell>
          <cell r="B1095">
            <v>1</v>
          </cell>
        </row>
        <row r="1096">
          <cell r="A1096" t="str">
            <v>1868RH105288</v>
          </cell>
          <cell r="B1096">
            <v>1</v>
          </cell>
        </row>
        <row r="1097">
          <cell r="A1097" t="str">
            <v>1868RH105289</v>
          </cell>
          <cell r="B1097">
            <v>1</v>
          </cell>
        </row>
        <row r="1098">
          <cell r="A1098" t="str">
            <v>1868RH105290</v>
          </cell>
          <cell r="B1098">
            <v>1</v>
          </cell>
        </row>
        <row r="1099">
          <cell r="A1099" t="str">
            <v>1868RH105304</v>
          </cell>
          <cell r="B1099">
            <v>3</v>
          </cell>
        </row>
        <row r="1100">
          <cell r="A1100" t="str">
            <v>1868RH105305</v>
          </cell>
          <cell r="B1100">
            <v>1</v>
          </cell>
        </row>
        <row r="1101">
          <cell r="A1101" t="str">
            <v>1868RH105306</v>
          </cell>
          <cell r="B1101">
            <v>1</v>
          </cell>
        </row>
        <row r="1102">
          <cell r="A1102" t="str">
            <v>1868RH105307</v>
          </cell>
          <cell r="B1102">
            <v>1</v>
          </cell>
        </row>
        <row r="1103">
          <cell r="A1103" t="str">
            <v>1868RH105308</v>
          </cell>
          <cell r="B1103">
            <v>1</v>
          </cell>
        </row>
        <row r="1104">
          <cell r="A1104" t="str">
            <v>1868RH106048</v>
          </cell>
          <cell r="B1104">
            <v>1</v>
          </cell>
        </row>
        <row r="1105">
          <cell r="A1105" t="str">
            <v>1868RH106049</v>
          </cell>
          <cell r="B1105">
            <v>1</v>
          </cell>
        </row>
        <row r="1106">
          <cell r="A1106" t="str">
            <v>1868RH106109</v>
          </cell>
          <cell r="B1106">
            <v>1</v>
          </cell>
        </row>
        <row r="1107">
          <cell r="A1107" t="str">
            <v>1868RH106110</v>
          </cell>
          <cell r="B1107">
            <v>1</v>
          </cell>
        </row>
        <row r="1108">
          <cell r="A1108" t="str">
            <v>1868RH106112</v>
          </cell>
          <cell r="B1108">
            <v>1</v>
          </cell>
        </row>
        <row r="1109">
          <cell r="A1109" t="str">
            <v>1868RH106113</v>
          </cell>
          <cell r="B1109">
            <v>1</v>
          </cell>
        </row>
        <row r="1110">
          <cell r="A1110" t="str">
            <v>1868RH106114</v>
          </cell>
          <cell r="B1110">
            <v>1</v>
          </cell>
        </row>
        <row r="1111">
          <cell r="A1111" t="str">
            <v>1868RH106115</v>
          </cell>
          <cell r="B1111">
            <v>1</v>
          </cell>
        </row>
        <row r="1112">
          <cell r="A1112" t="str">
            <v>1868RH106116</v>
          </cell>
          <cell r="B1112">
            <v>1</v>
          </cell>
        </row>
        <row r="1113">
          <cell r="A1113" t="str">
            <v>1868RH106117</v>
          </cell>
          <cell r="B1113">
            <v>1</v>
          </cell>
        </row>
        <row r="1114">
          <cell r="A1114" t="str">
            <v>1868RH106119</v>
          </cell>
          <cell r="B1114">
            <v>1</v>
          </cell>
        </row>
        <row r="1115">
          <cell r="A1115" t="str">
            <v>1868RH106120</v>
          </cell>
          <cell r="B1115">
            <v>1</v>
          </cell>
        </row>
        <row r="1116">
          <cell r="A1116" t="str">
            <v>1868RH106121</v>
          </cell>
          <cell r="B1116">
            <v>1</v>
          </cell>
        </row>
        <row r="1117">
          <cell r="A1117" t="str">
            <v>1868RH106379</v>
          </cell>
          <cell r="B1117">
            <v>1</v>
          </cell>
        </row>
        <row r="1118">
          <cell r="A1118" t="str">
            <v>1868RH106380</v>
          </cell>
          <cell r="B1118">
            <v>1</v>
          </cell>
        </row>
        <row r="1119">
          <cell r="A1119" t="str">
            <v>1868RH106381</v>
          </cell>
          <cell r="B1119">
            <v>1</v>
          </cell>
        </row>
        <row r="1120">
          <cell r="A1120" t="str">
            <v>1868RH106382</v>
          </cell>
          <cell r="B1120">
            <v>1</v>
          </cell>
        </row>
        <row r="1121">
          <cell r="A1121" t="str">
            <v>1868RH106383</v>
          </cell>
          <cell r="B1121">
            <v>1</v>
          </cell>
        </row>
        <row r="1122">
          <cell r="A1122" t="str">
            <v>1868RH106385</v>
          </cell>
          <cell r="B1122">
            <v>1</v>
          </cell>
        </row>
        <row r="1123">
          <cell r="A1123" t="str">
            <v>1868RH106386</v>
          </cell>
          <cell r="B1123">
            <v>1</v>
          </cell>
        </row>
        <row r="1124">
          <cell r="A1124" t="str">
            <v>1868RH106388</v>
          </cell>
          <cell r="B1124">
            <v>1</v>
          </cell>
        </row>
        <row r="1125">
          <cell r="A1125" t="str">
            <v>1868RH106389</v>
          </cell>
          <cell r="B1125">
            <v>1</v>
          </cell>
        </row>
        <row r="1126">
          <cell r="A1126" t="str">
            <v>1868RH106390</v>
          </cell>
          <cell r="B1126">
            <v>1</v>
          </cell>
        </row>
        <row r="1127">
          <cell r="A1127" t="str">
            <v>1868RH106391</v>
          </cell>
          <cell r="B1127">
            <v>1</v>
          </cell>
        </row>
        <row r="1128">
          <cell r="A1128" t="str">
            <v>1868RH106392</v>
          </cell>
          <cell r="B1128">
            <v>1</v>
          </cell>
        </row>
        <row r="1129">
          <cell r="A1129" t="str">
            <v>1868RH106393</v>
          </cell>
          <cell r="B1129">
            <v>1</v>
          </cell>
        </row>
        <row r="1130">
          <cell r="A1130" t="str">
            <v>1868RH107232</v>
          </cell>
          <cell r="B1130">
            <v>1</v>
          </cell>
        </row>
        <row r="1131">
          <cell r="A1131" t="str">
            <v>1868RH107233</v>
          </cell>
          <cell r="B1131">
            <v>1</v>
          </cell>
        </row>
        <row r="1132">
          <cell r="A1132" t="str">
            <v>1868RH107234</v>
          </cell>
          <cell r="B1132">
            <v>1</v>
          </cell>
        </row>
        <row r="1133">
          <cell r="A1133" t="str">
            <v>1868RH107235</v>
          </cell>
          <cell r="B1133">
            <v>1</v>
          </cell>
        </row>
        <row r="1134">
          <cell r="A1134" t="str">
            <v>1868RH107236</v>
          </cell>
          <cell r="B1134">
            <v>1</v>
          </cell>
        </row>
        <row r="1135">
          <cell r="A1135" t="str">
            <v>1868RH107237</v>
          </cell>
          <cell r="B1135">
            <v>1</v>
          </cell>
        </row>
        <row r="1136">
          <cell r="A1136" t="str">
            <v>1868RH107238</v>
          </cell>
          <cell r="B1136">
            <v>1</v>
          </cell>
        </row>
        <row r="1137">
          <cell r="A1137" t="str">
            <v>1868RH107239</v>
          </cell>
          <cell r="B1137">
            <v>1</v>
          </cell>
        </row>
        <row r="1138">
          <cell r="A1138" t="str">
            <v>1868RH107240</v>
          </cell>
          <cell r="B1138">
            <v>1</v>
          </cell>
        </row>
        <row r="1139">
          <cell r="A1139" t="str">
            <v>1868RH107241</v>
          </cell>
          <cell r="B1139">
            <v>1</v>
          </cell>
        </row>
        <row r="1140">
          <cell r="A1140" t="str">
            <v>1868RH107242</v>
          </cell>
          <cell r="B1140">
            <v>1</v>
          </cell>
        </row>
        <row r="1141">
          <cell r="A1141" t="str">
            <v>1868RH107243</v>
          </cell>
          <cell r="B1141">
            <v>1</v>
          </cell>
        </row>
        <row r="1142">
          <cell r="A1142" t="str">
            <v>1868RH107244</v>
          </cell>
          <cell r="B1142">
            <v>1</v>
          </cell>
        </row>
        <row r="1143">
          <cell r="A1143" t="str">
            <v>1868RH107245</v>
          </cell>
          <cell r="B1143">
            <v>1</v>
          </cell>
        </row>
        <row r="1144">
          <cell r="A1144" t="str">
            <v>1868RH107246</v>
          </cell>
          <cell r="B1144">
            <v>1</v>
          </cell>
        </row>
        <row r="1145">
          <cell r="A1145" t="str">
            <v>1868RH107247</v>
          </cell>
          <cell r="B1145">
            <v>1</v>
          </cell>
        </row>
        <row r="1146">
          <cell r="A1146" t="str">
            <v>1868RH107248</v>
          </cell>
          <cell r="B1146">
            <v>1</v>
          </cell>
        </row>
        <row r="1147">
          <cell r="A1147" t="str">
            <v>1868RH107249</v>
          </cell>
          <cell r="B1147">
            <v>1</v>
          </cell>
        </row>
        <row r="1148">
          <cell r="A1148" t="str">
            <v>1868RH107250</v>
          </cell>
          <cell r="B1148">
            <v>1</v>
          </cell>
        </row>
        <row r="1149">
          <cell r="A1149" t="str">
            <v>1868RH107251</v>
          </cell>
          <cell r="B1149">
            <v>1</v>
          </cell>
        </row>
        <row r="1150">
          <cell r="A1150" t="str">
            <v>1868RH107548</v>
          </cell>
          <cell r="B1150">
            <v>1</v>
          </cell>
        </row>
        <row r="1151">
          <cell r="A1151" t="str">
            <v>1868RH107549</v>
          </cell>
          <cell r="B1151">
            <v>1</v>
          </cell>
        </row>
        <row r="1152">
          <cell r="A1152" t="str">
            <v>1868RH107550</v>
          </cell>
          <cell r="B1152">
            <v>1</v>
          </cell>
        </row>
        <row r="1153">
          <cell r="A1153" t="str">
            <v>1868RH107551</v>
          </cell>
          <cell r="B1153">
            <v>1</v>
          </cell>
        </row>
        <row r="1154">
          <cell r="A1154" t="str">
            <v>1868RH107552</v>
          </cell>
          <cell r="B1154">
            <v>1</v>
          </cell>
        </row>
        <row r="1155">
          <cell r="A1155" t="str">
            <v>1868RH107553</v>
          </cell>
          <cell r="B1155">
            <v>1</v>
          </cell>
        </row>
        <row r="1156">
          <cell r="A1156" t="str">
            <v>1868RH107554</v>
          </cell>
          <cell r="B1156">
            <v>1</v>
          </cell>
        </row>
        <row r="1157">
          <cell r="A1157" t="str">
            <v>1868RH107556</v>
          </cell>
          <cell r="B1157">
            <v>1</v>
          </cell>
        </row>
        <row r="1158">
          <cell r="A1158" t="str">
            <v>1868RH107572</v>
          </cell>
          <cell r="B1158">
            <v>1</v>
          </cell>
        </row>
        <row r="1159">
          <cell r="A1159" t="str">
            <v>1868RH107573</v>
          </cell>
          <cell r="B1159">
            <v>1</v>
          </cell>
        </row>
        <row r="1160">
          <cell r="A1160" t="str">
            <v>1868RH107574</v>
          </cell>
          <cell r="B1160">
            <v>1</v>
          </cell>
        </row>
        <row r="1161">
          <cell r="A1161" t="str">
            <v>1868RH107575</v>
          </cell>
          <cell r="B1161">
            <v>1</v>
          </cell>
        </row>
        <row r="1162">
          <cell r="A1162" t="str">
            <v>1868RH107576</v>
          </cell>
          <cell r="B1162">
            <v>1</v>
          </cell>
        </row>
        <row r="1163">
          <cell r="A1163" t="str">
            <v>1868RH107577</v>
          </cell>
          <cell r="B1163">
            <v>1</v>
          </cell>
        </row>
        <row r="1164">
          <cell r="A1164" t="str">
            <v>1868RH107578</v>
          </cell>
          <cell r="B1164">
            <v>1</v>
          </cell>
        </row>
        <row r="1165">
          <cell r="A1165" t="str">
            <v>1868RH107579</v>
          </cell>
          <cell r="B1165">
            <v>1</v>
          </cell>
        </row>
        <row r="1166">
          <cell r="A1166" t="str">
            <v>1868RH107580</v>
          </cell>
          <cell r="B1166">
            <v>1</v>
          </cell>
        </row>
        <row r="1167">
          <cell r="A1167" t="str">
            <v>1868RH107581</v>
          </cell>
          <cell r="B1167">
            <v>1</v>
          </cell>
        </row>
        <row r="1168">
          <cell r="A1168" t="str">
            <v>1868RH107749</v>
          </cell>
          <cell r="B1168">
            <v>2</v>
          </cell>
        </row>
        <row r="1169">
          <cell r="A1169" t="str">
            <v>1868RH107750</v>
          </cell>
          <cell r="B1169">
            <v>1</v>
          </cell>
        </row>
        <row r="1170">
          <cell r="A1170" t="str">
            <v>1868RH107751</v>
          </cell>
          <cell r="B1170">
            <v>1</v>
          </cell>
        </row>
        <row r="1171">
          <cell r="A1171" t="str">
            <v>1868RH107752</v>
          </cell>
          <cell r="B1171">
            <v>1</v>
          </cell>
        </row>
        <row r="1172">
          <cell r="A1172" t="str">
            <v>1868RH107753</v>
          </cell>
          <cell r="B1172">
            <v>1</v>
          </cell>
        </row>
        <row r="1173">
          <cell r="A1173" t="str">
            <v>1868RH107754</v>
          </cell>
          <cell r="B1173">
            <v>1</v>
          </cell>
        </row>
        <row r="1174">
          <cell r="A1174" t="str">
            <v>1868RH107755</v>
          </cell>
          <cell r="B1174">
            <v>1</v>
          </cell>
        </row>
        <row r="1175">
          <cell r="A1175" t="str">
            <v>1868RH107756</v>
          </cell>
          <cell r="B1175">
            <v>1</v>
          </cell>
        </row>
        <row r="1176">
          <cell r="A1176" t="str">
            <v>1868RH107757</v>
          </cell>
          <cell r="B1176">
            <v>1</v>
          </cell>
        </row>
        <row r="1177">
          <cell r="A1177" t="str">
            <v>1868RH107758</v>
          </cell>
          <cell r="B1177">
            <v>1</v>
          </cell>
        </row>
        <row r="1178">
          <cell r="A1178" t="str">
            <v>1868RH107811</v>
          </cell>
          <cell r="B1178">
            <v>1</v>
          </cell>
        </row>
        <row r="1179">
          <cell r="A1179" t="str">
            <v>1868RH107812</v>
          </cell>
          <cell r="B1179">
            <v>1</v>
          </cell>
        </row>
        <row r="1180">
          <cell r="A1180" t="str">
            <v>1868RH107813</v>
          </cell>
          <cell r="B1180">
            <v>1</v>
          </cell>
        </row>
        <row r="1181">
          <cell r="A1181" t="str">
            <v>1868RH107814</v>
          </cell>
          <cell r="B1181">
            <v>1</v>
          </cell>
        </row>
        <row r="1182">
          <cell r="A1182" t="str">
            <v>1868RH107815</v>
          </cell>
          <cell r="B1182">
            <v>1</v>
          </cell>
        </row>
        <row r="1183">
          <cell r="A1183" t="str">
            <v>1868RH107816</v>
          </cell>
          <cell r="B1183">
            <v>1</v>
          </cell>
        </row>
        <row r="1184">
          <cell r="A1184" t="str">
            <v>1868RH107817</v>
          </cell>
          <cell r="B1184">
            <v>1</v>
          </cell>
        </row>
        <row r="1185">
          <cell r="A1185" t="str">
            <v>1868RH107818</v>
          </cell>
          <cell r="B1185">
            <v>1</v>
          </cell>
        </row>
        <row r="1186">
          <cell r="A1186" t="str">
            <v>1868RH107819</v>
          </cell>
          <cell r="B1186">
            <v>1</v>
          </cell>
        </row>
        <row r="1187">
          <cell r="A1187" t="str">
            <v>1868RH108034</v>
          </cell>
          <cell r="B1187">
            <v>1</v>
          </cell>
        </row>
        <row r="1188">
          <cell r="A1188" t="str">
            <v>1868RH108035</v>
          </cell>
          <cell r="B1188">
            <v>1</v>
          </cell>
        </row>
        <row r="1189">
          <cell r="A1189" t="str">
            <v>1868RH108036</v>
          </cell>
          <cell r="B1189">
            <v>1</v>
          </cell>
        </row>
        <row r="1190">
          <cell r="A1190" t="str">
            <v>1868RH108037</v>
          </cell>
          <cell r="B1190">
            <v>1</v>
          </cell>
        </row>
        <row r="1191">
          <cell r="A1191" t="str">
            <v>1868RH108038</v>
          </cell>
          <cell r="B1191">
            <v>1</v>
          </cell>
        </row>
        <row r="1192">
          <cell r="A1192" t="str">
            <v>1868RIP00249</v>
          </cell>
          <cell r="B1192">
            <v>1</v>
          </cell>
        </row>
        <row r="1193">
          <cell r="A1193" t="str">
            <v>1868RIP00250</v>
          </cell>
          <cell r="B1193">
            <v>1</v>
          </cell>
        </row>
        <row r="1194">
          <cell r="A1194" t="str">
            <v>1868RIP00251</v>
          </cell>
          <cell r="B1194">
            <v>1</v>
          </cell>
        </row>
        <row r="1195">
          <cell r="A1195" t="str">
            <v>1868RIP00253</v>
          </cell>
          <cell r="B1195">
            <v>1</v>
          </cell>
        </row>
        <row r="1196">
          <cell r="A1196" t="str">
            <v>1868RIP00254</v>
          </cell>
          <cell r="B1196">
            <v>1</v>
          </cell>
        </row>
        <row r="1197">
          <cell r="A1197" t="str">
            <v>1868RIP00255</v>
          </cell>
          <cell r="B1197">
            <v>1</v>
          </cell>
        </row>
        <row r="1198">
          <cell r="A1198" t="str">
            <v>1868RIP00256</v>
          </cell>
          <cell r="B1198">
            <v>1</v>
          </cell>
        </row>
        <row r="1199">
          <cell r="A1199" t="str">
            <v>1868RIP00257</v>
          </cell>
          <cell r="B1199">
            <v>1</v>
          </cell>
        </row>
        <row r="1200">
          <cell r="A1200" t="str">
            <v>1868RIP00258</v>
          </cell>
          <cell r="B1200">
            <v>1</v>
          </cell>
        </row>
        <row r="1201">
          <cell r="A1201" t="str">
            <v>1868RIP00260</v>
          </cell>
          <cell r="B1201">
            <v>1</v>
          </cell>
        </row>
        <row r="1202">
          <cell r="A1202" t="str">
            <v>1868RIP00261</v>
          </cell>
          <cell r="B1202">
            <v>1</v>
          </cell>
        </row>
        <row r="1203">
          <cell r="A1203" t="str">
            <v>33271062</v>
          </cell>
          <cell r="B1203">
            <v>1</v>
          </cell>
        </row>
        <row r="1204">
          <cell r="A1204" t="str">
            <v>5300002841</v>
          </cell>
          <cell r="B1204">
            <v>1</v>
          </cell>
        </row>
        <row r="1205">
          <cell r="A1205" t="str">
            <v>5300005109</v>
          </cell>
          <cell r="B1205">
            <v>1</v>
          </cell>
        </row>
        <row r="1206">
          <cell r="A1206" t="str">
            <v>5300006240</v>
          </cell>
          <cell r="B1206">
            <v>1</v>
          </cell>
        </row>
        <row r="1207">
          <cell r="A1207" t="str">
            <v>5300027191</v>
          </cell>
          <cell r="B1207">
            <v>1</v>
          </cell>
        </row>
        <row r="1208">
          <cell r="A1208" t="str">
            <v>5300057613</v>
          </cell>
          <cell r="B1208">
            <v>1</v>
          </cell>
        </row>
        <row r="1209">
          <cell r="A1209" t="str">
            <v>5300065267</v>
          </cell>
          <cell r="B1209">
            <v>1</v>
          </cell>
        </row>
        <row r="1210">
          <cell r="A1210" t="str">
            <v>5300071595</v>
          </cell>
          <cell r="B1210">
            <v>1</v>
          </cell>
        </row>
        <row r="1211">
          <cell r="A1211" t="str">
            <v>5300076627</v>
          </cell>
          <cell r="B1211">
            <v>1</v>
          </cell>
        </row>
        <row r="1212">
          <cell r="A1212" t="str">
            <v>5300095395</v>
          </cell>
          <cell r="B1212">
            <v>1</v>
          </cell>
        </row>
        <row r="1213">
          <cell r="A1213" t="str">
            <v>5300095396</v>
          </cell>
          <cell r="B1213">
            <v>1</v>
          </cell>
        </row>
        <row r="1214">
          <cell r="A1214" t="str">
            <v>5300095579</v>
          </cell>
          <cell r="B1214">
            <v>1</v>
          </cell>
        </row>
        <row r="1215">
          <cell r="A1215" t="str">
            <v>5300095581</v>
          </cell>
          <cell r="B1215">
            <v>1</v>
          </cell>
        </row>
        <row r="1216">
          <cell r="A1216" t="str">
            <v>5300104822</v>
          </cell>
          <cell r="B1216">
            <v>1</v>
          </cell>
        </row>
        <row r="1217">
          <cell r="A1217" t="str">
            <v>5300107804</v>
          </cell>
          <cell r="B1217">
            <v>1</v>
          </cell>
        </row>
        <row r="1218">
          <cell r="A1218" t="str">
            <v>5300121125</v>
          </cell>
          <cell r="B1218">
            <v>1</v>
          </cell>
        </row>
        <row r="1219">
          <cell r="A1219" t="str">
            <v>5300122093</v>
          </cell>
          <cell r="B1219">
            <v>1</v>
          </cell>
        </row>
        <row r="1220">
          <cell r="A1220" t="str">
            <v>5300127262</v>
          </cell>
          <cell r="B1220">
            <v>1</v>
          </cell>
        </row>
        <row r="1221">
          <cell r="A1221" t="str">
            <v>5300128281</v>
          </cell>
          <cell r="B1221">
            <v>1</v>
          </cell>
        </row>
        <row r="1222">
          <cell r="A1222" t="str">
            <v>5300129573</v>
          </cell>
          <cell r="B1222">
            <v>1</v>
          </cell>
        </row>
        <row r="1223">
          <cell r="A1223" t="str">
            <v>5300130781</v>
          </cell>
          <cell r="B1223">
            <v>1</v>
          </cell>
        </row>
        <row r="1224">
          <cell r="A1224" t="str">
            <v>5300131399</v>
          </cell>
          <cell r="B1224">
            <v>1</v>
          </cell>
        </row>
        <row r="1225">
          <cell r="A1225" t="str">
            <v>5300136431</v>
          </cell>
          <cell r="B1225">
            <v>1</v>
          </cell>
        </row>
        <row r="1226">
          <cell r="A1226" t="str">
            <v>5300141566</v>
          </cell>
          <cell r="B1226">
            <v>1</v>
          </cell>
        </row>
        <row r="1227">
          <cell r="A1227" t="str">
            <v>5300150776</v>
          </cell>
          <cell r="B1227">
            <v>1</v>
          </cell>
        </row>
        <row r="1228">
          <cell r="A1228" t="str">
            <v>5300153989</v>
          </cell>
          <cell r="B1228">
            <v>1</v>
          </cell>
        </row>
        <row r="1229">
          <cell r="A1229" t="str">
            <v>5300154223</v>
          </cell>
          <cell r="B1229">
            <v>1</v>
          </cell>
        </row>
        <row r="1230">
          <cell r="A1230" t="str">
            <v>5300154317</v>
          </cell>
          <cell r="B1230">
            <v>1</v>
          </cell>
        </row>
        <row r="1231">
          <cell r="A1231" t="str">
            <v>5300187254</v>
          </cell>
          <cell r="B1231">
            <v>1</v>
          </cell>
        </row>
        <row r="1232">
          <cell r="A1232" t="str">
            <v>5300195198</v>
          </cell>
          <cell r="B1232">
            <v>1</v>
          </cell>
        </row>
        <row r="1233">
          <cell r="A1233" t="str">
            <v>5300198800</v>
          </cell>
          <cell r="B1233">
            <v>1</v>
          </cell>
        </row>
        <row r="1234">
          <cell r="A1234" t="str">
            <v>5300208706</v>
          </cell>
          <cell r="B1234">
            <v>1</v>
          </cell>
        </row>
        <row r="1235">
          <cell r="A1235" t="str">
            <v>5300208709</v>
          </cell>
          <cell r="B1235">
            <v>1</v>
          </cell>
        </row>
        <row r="1236">
          <cell r="A1236" t="str">
            <v>5300209265</v>
          </cell>
          <cell r="B1236">
            <v>1</v>
          </cell>
        </row>
        <row r="1237">
          <cell r="A1237" t="str">
            <v>5300216494</v>
          </cell>
          <cell r="B1237">
            <v>1</v>
          </cell>
        </row>
        <row r="1238">
          <cell r="A1238" t="str">
            <v>5300216516</v>
          </cell>
          <cell r="B1238">
            <v>1</v>
          </cell>
        </row>
        <row r="1239">
          <cell r="A1239" t="str">
            <v>5300221432</v>
          </cell>
          <cell r="B1239">
            <v>1</v>
          </cell>
        </row>
        <row r="1240">
          <cell r="A1240" t="str">
            <v>5300221495</v>
          </cell>
          <cell r="B1240">
            <v>1</v>
          </cell>
        </row>
        <row r="1241">
          <cell r="A1241" t="str">
            <v>5300225660</v>
          </cell>
          <cell r="B1241">
            <v>1</v>
          </cell>
        </row>
        <row r="1242">
          <cell r="A1242" t="str">
            <v>5300225667</v>
          </cell>
          <cell r="B1242">
            <v>1</v>
          </cell>
        </row>
        <row r="1243">
          <cell r="A1243" t="str">
            <v>5300225669</v>
          </cell>
          <cell r="B1243">
            <v>1</v>
          </cell>
        </row>
        <row r="1244">
          <cell r="A1244" t="str">
            <v>5300228572</v>
          </cell>
          <cell r="B1244">
            <v>1</v>
          </cell>
        </row>
        <row r="1245">
          <cell r="A1245" t="str">
            <v>5300236327</v>
          </cell>
          <cell r="B1245">
            <v>1</v>
          </cell>
        </row>
        <row r="1246">
          <cell r="A1246" t="str">
            <v>5300236589</v>
          </cell>
          <cell r="B1246">
            <v>1</v>
          </cell>
        </row>
        <row r="1247">
          <cell r="A1247" t="str">
            <v>5300242740</v>
          </cell>
          <cell r="B1247">
            <v>1</v>
          </cell>
        </row>
        <row r="1248">
          <cell r="A1248" t="str">
            <v>5300247896</v>
          </cell>
          <cell r="B1248">
            <v>1</v>
          </cell>
        </row>
        <row r="1249">
          <cell r="A1249" t="str">
            <v>5300249957</v>
          </cell>
          <cell r="B1249">
            <v>1</v>
          </cell>
        </row>
        <row r="1250">
          <cell r="A1250" t="str">
            <v>5300249958</v>
          </cell>
          <cell r="B1250">
            <v>1</v>
          </cell>
        </row>
        <row r="1251">
          <cell r="A1251" t="str">
            <v>5300249969</v>
          </cell>
          <cell r="B1251">
            <v>1</v>
          </cell>
        </row>
        <row r="1252">
          <cell r="A1252" t="str">
            <v>5300270887</v>
          </cell>
          <cell r="B1252">
            <v>1</v>
          </cell>
        </row>
        <row r="1253">
          <cell r="A1253" t="str">
            <v>5300270891</v>
          </cell>
          <cell r="B1253">
            <v>1</v>
          </cell>
        </row>
        <row r="1254">
          <cell r="A1254" t="str">
            <v>5300272280</v>
          </cell>
          <cell r="B1254">
            <v>1</v>
          </cell>
        </row>
        <row r="1255">
          <cell r="A1255" t="str">
            <v>5300274951</v>
          </cell>
          <cell r="B1255">
            <v>1</v>
          </cell>
        </row>
        <row r="1256">
          <cell r="A1256" t="str">
            <v>5300274970</v>
          </cell>
          <cell r="B1256">
            <v>1</v>
          </cell>
        </row>
        <row r="1257">
          <cell r="A1257" t="str">
            <v>5300279083</v>
          </cell>
          <cell r="B1257">
            <v>1</v>
          </cell>
        </row>
        <row r="1258">
          <cell r="A1258" t="str">
            <v>5300279234</v>
          </cell>
          <cell r="B1258">
            <v>1</v>
          </cell>
        </row>
        <row r="1259">
          <cell r="A1259" t="str">
            <v>5300280078</v>
          </cell>
          <cell r="B1259">
            <v>1</v>
          </cell>
        </row>
        <row r="1260">
          <cell r="A1260" t="str">
            <v>5300280434</v>
          </cell>
          <cell r="B1260">
            <v>1</v>
          </cell>
        </row>
        <row r="1261">
          <cell r="A1261" t="str">
            <v>5300280569</v>
          </cell>
          <cell r="B1261">
            <v>1</v>
          </cell>
        </row>
        <row r="1262">
          <cell r="A1262" t="str">
            <v>5300294126</v>
          </cell>
          <cell r="B1262">
            <v>1</v>
          </cell>
        </row>
        <row r="1263">
          <cell r="A1263" t="str">
            <v>5300328653</v>
          </cell>
          <cell r="B1263">
            <v>1</v>
          </cell>
        </row>
        <row r="1264">
          <cell r="A1264" t="str">
            <v>5300336129</v>
          </cell>
          <cell r="B1264">
            <v>1</v>
          </cell>
        </row>
        <row r="1265">
          <cell r="A1265" t="str">
            <v>5300336151</v>
          </cell>
          <cell r="B1265">
            <v>1</v>
          </cell>
        </row>
        <row r="1266">
          <cell r="A1266" t="str">
            <v>5300342402</v>
          </cell>
          <cell r="B1266">
            <v>1</v>
          </cell>
        </row>
        <row r="1267">
          <cell r="A1267" t="str">
            <v>5300354899</v>
          </cell>
          <cell r="B1267">
            <v>1</v>
          </cell>
        </row>
        <row r="1268">
          <cell r="A1268" t="str">
            <v>5300355516X</v>
          </cell>
          <cell r="B1268">
            <v>1</v>
          </cell>
        </row>
        <row r="1269">
          <cell r="A1269" t="str">
            <v>5300377755</v>
          </cell>
          <cell r="B1269">
            <v>1</v>
          </cell>
        </row>
        <row r="1270">
          <cell r="A1270" t="str">
            <v>5300378708</v>
          </cell>
          <cell r="B1270">
            <v>1</v>
          </cell>
        </row>
        <row r="1271">
          <cell r="A1271" t="str">
            <v>5300379746</v>
          </cell>
          <cell r="B1271">
            <v>1</v>
          </cell>
        </row>
        <row r="1272">
          <cell r="A1272" t="str">
            <v>5300403652</v>
          </cell>
          <cell r="B1272">
            <v>1</v>
          </cell>
        </row>
        <row r="1273">
          <cell r="A1273" t="str">
            <v>5300415927</v>
          </cell>
          <cell r="B1273">
            <v>1</v>
          </cell>
        </row>
        <row r="1274">
          <cell r="A1274" t="str">
            <v>5300450974</v>
          </cell>
          <cell r="B1274">
            <v>1</v>
          </cell>
        </row>
        <row r="1275">
          <cell r="A1275" t="str">
            <v>5300476859</v>
          </cell>
          <cell r="B1275">
            <v>1</v>
          </cell>
        </row>
        <row r="1276">
          <cell r="A1276" t="str">
            <v>5300476863</v>
          </cell>
          <cell r="B1276">
            <v>1</v>
          </cell>
        </row>
        <row r="1277">
          <cell r="A1277" t="str">
            <v>5300478309</v>
          </cell>
          <cell r="B1277">
            <v>1</v>
          </cell>
        </row>
        <row r="1278">
          <cell r="A1278" t="str">
            <v>5300486146</v>
          </cell>
          <cell r="B1278">
            <v>1</v>
          </cell>
        </row>
        <row r="1279">
          <cell r="A1279" t="str">
            <v>5300486156</v>
          </cell>
          <cell r="B1279">
            <v>1</v>
          </cell>
        </row>
        <row r="1280">
          <cell r="A1280" t="str">
            <v>5300497326</v>
          </cell>
          <cell r="B1280">
            <v>1</v>
          </cell>
        </row>
        <row r="1281">
          <cell r="A1281" t="str">
            <v>5300497445</v>
          </cell>
          <cell r="B1281">
            <v>1</v>
          </cell>
        </row>
        <row r="1282">
          <cell r="A1282" t="str">
            <v>5300517465</v>
          </cell>
          <cell r="B1282">
            <v>1</v>
          </cell>
        </row>
        <row r="1283">
          <cell r="A1283" t="str">
            <v>5300536252</v>
          </cell>
          <cell r="B1283">
            <v>1</v>
          </cell>
        </row>
        <row r="1284">
          <cell r="A1284" t="str">
            <v>5300536272</v>
          </cell>
          <cell r="B1284">
            <v>1</v>
          </cell>
        </row>
        <row r="1285">
          <cell r="A1285" t="str">
            <v>5300558414</v>
          </cell>
          <cell r="B1285">
            <v>1</v>
          </cell>
        </row>
        <row r="1286">
          <cell r="A1286" t="str">
            <v>5300558416</v>
          </cell>
          <cell r="B1286">
            <v>1</v>
          </cell>
        </row>
        <row r="1287">
          <cell r="A1287" t="str">
            <v>5300558444</v>
          </cell>
          <cell r="B1287">
            <v>1</v>
          </cell>
        </row>
        <row r="1288">
          <cell r="A1288" t="str">
            <v>5300584491</v>
          </cell>
          <cell r="B1288">
            <v>1</v>
          </cell>
        </row>
        <row r="1289">
          <cell r="A1289" t="str">
            <v>5300584737</v>
          </cell>
          <cell r="B1289">
            <v>1</v>
          </cell>
        </row>
        <row r="1290">
          <cell r="A1290" t="str">
            <v>5300624978</v>
          </cell>
          <cell r="B1290">
            <v>1</v>
          </cell>
        </row>
        <row r="1291">
          <cell r="A1291" t="str">
            <v>5300648551</v>
          </cell>
          <cell r="B1291">
            <v>1</v>
          </cell>
        </row>
        <row r="1292">
          <cell r="A1292" t="str">
            <v>5300651212X</v>
          </cell>
          <cell r="B1292">
            <v>1</v>
          </cell>
        </row>
        <row r="1293">
          <cell r="A1293" t="str">
            <v>5300735222</v>
          </cell>
          <cell r="B1293">
            <v>1</v>
          </cell>
        </row>
        <row r="1294">
          <cell r="A1294" t="str">
            <v>5300769341</v>
          </cell>
          <cell r="B1294">
            <v>1</v>
          </cell>
        </row>
        <row r="1295">
          <cell r="A1295" t="str">
            <v>5300776003X</v>
          </cell>
          <cell r="B1295">
            <v>1</v>
          </cell>
        </row>
        <row r="1296">
          <cell r="A1296" t="str">
            <v>5300818926</v>
          </cell>
          <cell r="B1296">
            <v>1</v>
          </cell>
        </row>
        <row r="1297">
          <cell r="A1297" t="str">
            <v>5300819008</v>
          </cell>
          <cell r="B1297">
            <v>1</v>
          </cell>
        </row>
        <row r="1298">
          <cell r="A1298" t="str">
            <v>5300824368</v>
          </cell>
          <cell r="B1298">
            <v>1</v>
          </cell>
        </row>
        <row r="1299">
          <cell r="A1299" t="str">
            <v>5300827414</v>
          </cell>
          <cell r="B1299">
            <v>1</v>
          </cell>
        </row>
        <row r="1300">
          <cell r="A1300" t="str">
            <v>5300827421</v>
          </cell>
          <cell r="B1300">
            <v>1</v>
          </cell>
        </row>
        <row r="1301">
          <cell r="A1301" t="str">
            <v>5300829078</v>
          </cell>
          <cell r="B1301">
            <v>1</v>
          </cell>
        </row>
        <row r="1302">
          <cell r="A1302" t="str">
            <v>5300829091</v>
          </cell>
          <cell r="B1302">
            <v>1</v>
          </cell>
        </row>
        <row r="1303">
          <cell r="A1303" t="str">
            <v>5300829094</v>
          </cell>
          <cell r="B1303">
            <v>1</v>
          </cell>
        </row>
        <row r="1304">
          <cell r="A1304" t="str">
            <v>5300829101</v>
          </cell>
          <cell r="B1304">
            <v>1</v>
          </cell>
        </row>
        <row r="1305">
          <cell r="A1305" t="str">
            <v>5300829111</v>
          </cell>
          <cell r="B1305">
            <v>1</v>
          </cell>
        </row>
        <row r="1306">
          <cell r="A1306" t="str">
            <v>5300829130</v>
          </cell>
          <cell r="B1306">
            <v>1</v>
          </cell>
        </row>
        <row r="1307">
          <cell r="A1307" t="str">
            <v>5300829152</v>
          </cell>
          <cell r="B1307">
            <v>1</v>
          </cell>
        </row>
        <row r="1308">
          <cell r="A1308" t="str">
            <v>5300829159</v>
          </cell>
          <cell r="B1308">
            <v>1</v>
          </cell>
        </row>
        <row r="1309">
          <cell r="A1309" t="str">
            <v>5300829231</v>
          </cell>
          <cell r="B1309">
            <v>1</v>
          </cell>
        </row>
        <row r="1310">
          <cell r="A1310" t="str">
            <v>5300829263</v>
          </cell>
          <cell r="B1310">
            <v>1</v>
          </cell>
        </row>
        <row r="1311">
          <cell r="A1311" t="str">
            <v>5300829286</v>
          </cell>
          <cell r="B1311">
            <v>1</v>
          </cell>
        </row>
        <row r="1312">
          <cell r="A1312" t="str">
            <v>5300829391</v>
          </cell>
          <cell r="B1312">
            <v>1</v>
          </cell>
        </row>
        <row r="1313">
          <cell r="A1313" t="str">
            <v>5300829415</v>
          </cell>
          <cell r="B1313">
            <v>1</v>
          </cell>
        </row>
        <row r="1314">
          <cell r="A1314" t="str">
            <v>5300829422</v>
          </cell>
          <cell r="B1314">
            <v>1</v>
          </cell>
        </row>
        <row r="1315">
          <cell r="A1315" t="str">
            <v>5300829434</v>
          </cell>
          <cell r="B1315">
            <v>1</v>
          </cell>
        </row>
        <row r="1316">
          <cell r="A1316" t="str">
            <v>5300829446</v>
          </cell>
          <cell r="B1316">
            <v>2</v>
          </cell>
        </row>
        <row r="1317">
          <cell r="A1317" t="str">
            <v>5300829451</v>
          </cell>
          <cell r="B1317">
            <v>1</v>
          </cell>
        </row>
        <row r="1318">
          <cell r="A1318" t="str">
            <v>5300829580</v>
          </cell>
          <cell r="B1318">
            <v>1</v>
          </cell>
        </row>
        <row r="1319">
          <cell r="A1319" t="str">
            <v>562RRH100043</v>
          </cell>
          <cell r="B1319">
            <v>1</v>
          </cell>
        </row>
        <row r="1320">
          <cell r="A1320" t="str">
            <v>562RRH100044</v>
          </cell>
          <cell r="B1320">
            <v>1</v>
          </cell>
        </row>
        <row r="1321">
          <cell r="A1321" t="str">
            <v>562RRH100045</v>
          </cell>
          <cell r="B1321">
            <v>1</v>
          </cell>
        </row>
        <row r="1322">
          <cell r="A1322" t="str">
            <v>562RRH100046</v>
          </cell>
          <cell r="B1322">
            <v>1</v>
          </cell>
        </row>
        <row r="1323">
          <cell r="A1323" t="str">
            <v>562RRH100213</v>
          </cell>
          <cell r="B1323">
            <v>1</v>
          </cell>
        </row>
        <row r="1324">
          <cell r="A1324" t="str">
            <v>562RRH100419</v>
          </cell>
          <cell r="B1324">
            <v>1</v>
          </cell>
        </row>
        <row r="1325">
          <cell r="A1325" t="str">
            <v>562RRH100422</v>
          </cell>
          <cell r="B1325">
            <v>1</v>
          </cell>
        </row>
        <row r="1326">
          <cell r="A1326" t="str">
            <v>562RRH100580</v>
          </cell>
          <cell r="B1326">
            <v>1</v>
          </cell>
        </row>
        <row r="1327">
          <cell r="A1327" t="str">
            <v>562RRH100904</v>
          </cell>
          <cell r="B1327">
            <v>1</v>
          </cell>
        </row>
        <row r="1328">
          <cell r="A1328" t="str">
            <v>562RRH101579</v>
          </cell>
          <cell r="B1328">
            <v>1</v>
          </cell>
        </row>
        <row r="1329">
          <cell r="A1329" t="str">
            <v>562RRH101580</v>
          </cell>
          <cell r="B1329">
            <v>1</v>
          </cell>
        </row>
        <row r="1330">
          <cell r="A1330" t="str">
            <v>562RRH101582</v>
          </cell>
          <cell r="B1330">
            <v>1</v>
          </cell>
        </row>
        <row r="1331">
          <cell r="A1331" t="str">
            <v>562RRH105881</v>
          </cell>
          <cell r="B1331">
            <v>1</v>
          </cell>
        </row>
        <row r="1332">
          <cell r="A1332" t="str">
            <v>562RRH105883</v>
          </cell>
          <cell r="B1332">
            <v>1</v>
          </cell>
        </row>
        <row r="1333">
          <cell r="A1333" t="str">
            <v>56DW3000055</v>
          </cell>
          <cell r="B1333">
            <v>1</v>
          </cell>
        </row>
        <row r="1334">
          <cell r="A1334" t="str">
            <v>56DW3000057</v>
          </cell>
          <cell r="B1334">
            <v>1</v>
          </cell>
        </row>
        <row r="1335">
          <cell r="A1335" t="str">
            <v>6100692461</v>
          </cell>
          <cell r="B1335">
            <v>1</v>
          </cell>
        </row>
        <row r="1336">
          <cell r="A1336" t="str">
            <v>6100783713</v>
          </cell>
          <cell r="B1336">
            <v>1</v>
          </cell>
        </row>
        <row r="1337">
          <cell r="A1337" t="str">
            <v>6101079234</v>
          </cell>
          <cell r="B1337">
            <v>1</v>
          </cell>
        </row>
        <row r="1338">
          <cell r="A1338" t="str">
            <v>6101299708</v>
          </cell>
          <cell r="B1338">
            <v>1</v>
          </cell>
        </row>
        <row r="1339">
          <cell r="A1339" t="str">
            <v>NR6101299709</v>
          </cell>
          <cell r="B1339">
            <v>1</v>
          </cell>
        </row>
        <row r="1340">
          <cell r="A1340" t="str">
            <v>SSB3211080</v>
          </cell>
          <cell r="B1340">
            <v>1</v>
          </cell>
        </row>
        <row r="1341">
          <cell r="A1341" t="str">
            <v>SSB3212996</v>
          </cell>
          <cell r="B1341">
            <v>1</v>
          </cell>
        </row>
        <row r="1342">
          <cell r="A1342" t="str">
            <v>SSB3213011</v>
          </cell>
          <cell r="B1342">
            <v>1</v>
          </cell>
        </row>
        <row r="1343">
          <cell r="A1343" t="str">
            <v>XXAS6T56802</v>
          </cell>
          <cell r="B1343">
            <v>1</v>
          </cell>
        </row>
        <row r="1344">
          <cell r="A1344" t="str">
            <v>XXAS6T57604</v>
          </cell>
          <cell r="B1344">
            <v>1</v>
          </cell>
        </row>
        <row r="1345">
          <cell r="A1345" t="str">
            <v>XXAS6T57608</v>
          </cell>
          <cell r="B1345">
            <v>1</v>
          </cell>
        </row>
        <row r="1346">
          <cell r="A1346" t="str">
            <v>XXAS6T57609</v>
          </cell>
          <cell r="B1346">
            <v>1</v>
          </cell>
        </row>
        <row r="1347">
          <cell r="A1347" t="str">
            <v>XXAS6T69503</v>
          </cell>
          <cell r="B1347">
            <v>1</v>
          </cell>
        </row>
        <row r="1348">
          <cell r="A1348" t="str">
            <v>XXAS6T69504</v>
          </cell>
          <cell r="B1348">
            <v>1</v>
          </cell>
        </row>
        <row r="1349">
          <cell r="A1349" t="str">
            <v>XXAS6T69508</v>
          </cell>
          <cell r="B1349">
            <v>1</v>
          </cell>
        </row>
        <row r="1350">
          <cell r="A1350" t="str">
            <v>XXAS6T70104</v>
          </cell>
          <cell r="B1350">
            <v>1</v>
          </cell>
        </row>
        <row r="1351">
          <cell r="A1351" t="str">
            <v>XXAS6T70106</v>
          </cell>
          <cell r="B1351">
            <v>1</v>
          </cell>
        </row>
        <row r="1352">
          <cell r="A1352" t="str">
            <v>XXAS6T70107</v>
          </cell>
          <cell r="B1352">
            <v>1</v>
          </cell>
        </row>
        <row r="1353">
          <cell r="A1353" t="str">
            <v>XXAS6T70108</v>
          </cell>
          <cell r="B1353">
            <v>1</v>
          </cell>
        </row>
        <row r="1354">
          <cell r="A1354" t="str">
            <v>XXAS6T70110</v>
          </cell>
          <cell r="B1354">
            <v>1</v>
          </cell>
        </row>
        <row r="1355">
          <cell r="A1355" t="str">
            <v>XXS6T50102</v>
          </cell>
          <cell r="B1355">
            <v>1</v>
          </cell>
        </row>
        <row r="1356">
          <cell r="A1356" t="str">
            <v>XXS6T50106</v>
          </cell>
          <cell r="B1356">
            <v>1</v>
          </cell>
        </row>
        <row r="1357">
          <cell r="A1357" t="str">
            <v>XXS6T50310</v>
          </cell>
          <cell r="B1357">
            <v>1</v>
          </cell>
        </row>
        <row r="1358">
          <cell r="A1358" t="str">
            <v>XXS6T50312_BZ</v>
          </cell>
          <cell r="B1358">
            <v>1</v>
          </cell>
        </row>
        <row r="1359">
          <cell r="A1359" t="str">
            <v>XXS6T50316</v>
          </cell>
          <cell r="B1359">
            <v>1</v>
          </cell>
        </row>
        <row r="1360">
          <cell r="A1360" t="str">
            <v>XXS6T50815</v>
          </cell>
          <cell r="B1360">
            <v>1</v>
          </cell>
        </row>
        <row r="1361">
          <cell r="A1361" t="str">
            <v>XXS6T50822</v>
          </cell>
          <cell r="B1361">
            <v>1</v>
          </cell>
        </row>
        <row r="1362">
          <cell r="A1362" t="str">
            <v>XXS6T51732</v>
          </cell>
          <cell r="B1362">
            <v>1</v>
          </cell>
        </row>
        <row r="1363">
          <cell r="A1363" t="str">
            <v>XXS6T54614</v>
          </cell>
          <cell r="B1363">
            <v>1</v>
          </cell>
        </row>
        <row r="1364">
          <cell r="A1364" t="str">
            <v>XXS6T55104</v>
          </cell>
          <cell r="B1364">
            <v>1</v>
          </cell>
        </row>
        <row r="1365">
          <cell r="A1365" t="str">
            <v>XXS6T55106</v>
          </cell>
          <cell r="B1365">
            <v>1</v>
          </cell>
        </row>
        <row r="1366">
          <cell r="A1366" t="str">
            <v>XXS6T56801</v>
          </cell>
          <cell r="B1366">
            <v>1</v>
          </cell>
        </row>
        <row r="1367">
          <cell r="A1367" t="str">
            <v>XXS6T56902</v>
          </cell>
          <cell r="B1367">
            <v>1</v>
          </cell>
        </row>
        <row r="1368">
          <cell r="A1368" t="str">
            <v>XXS6T56903</v>
          </cell>
          <cell r="B1368">
            <v>1</v>
          </cell>
        </row>
        <row r="1369">
          <cell r="A1369" t="str">
            <v>XXS6T56904</v>
          </cell>
          <cell r="B1369">
            <v>1</v>
          </cell>
        </row>
        <row r="1370">
          <cell r="A1370" t="str">
            <v>XXS6T56905</v>
          </cell>
          <cell r="B1370">
            <v>1</v>
          </cell>
        </row>
        <row r="1371">
          <cell r="A1371" t="str">
            <v>XXS6T56906</v>
          </cell>
          <cell r="B1371">
            <v>1</v>
          </cell>
        </row>
        <row r="1372">
          <cell r="A1372" t="str">
            <v>XXS6T57101</v>
          </cell>
          <cell r="B1372">
            <v>1</v>
          </cell>
        </row>
        <row r="1373">
          <cell r="A1373" t="str">
            <v>XXS6T57102</v>
          </cell>
          <cell r="B1373">
            <v>1</v>
          </cell>
        </row>
        <row r="1374">
          <cell r="A1374" t="str">
            <v>XXS6T57103</v>
          </cell>
          <cell r="B1374">
            <v>1</v>
          </cell>
        </row>
        <row r="1375">
          <cell r="A1375" t="str">
            <v>XXS6T57402</v>
          </cell>
          <cell r="B1375">
            <v>1</v>
          </cell>
        </row>
        <row r="1376">
          <cell r="A1376" t="str">
            <v>XXS6T57405</v>
          </cell>
          <cell r="B1376">
            <v>1</v>
          </cell>
        </row>
        <row r="1377">
          <cell r="A1377" t="str">
            <v>XXS6T57602</v>
          </cell>
          <cell r="B1377">
            <v>1</v>
          </cell>
        </row>
        <row r="1378">
          <cell r="A1378" t="str">
            <v>XXS6T57607</v>
          </cell>
          <cell r="B1378">
            <v>1</v>
          </cell>
        </row>
        <row r="1379">
          <cell r="A1379" t="str">
            <v>XXS6T57701</v>
          </cell>
          <cell r="B1379">
            <v>1</v>
          </cell>
        </row>
        <row r="1380">
          <cell r="A1380" t="str">
            <v>XXS6T57702</v>
          </cell>
          <cell r="B1380">
            <v>1</v>
          </cell>
        </row>
        <row r="1381">
          <cell r="A1381" t="str">
            <v>XXS6T57703</v>
          </cell>
          <cell r="B1381">
            <v>1</v>
          </cell>
        </row>
        <row r="1382">
          <cell r="A1382" t="str">
            <v>XXS6T59207</v>
          </cell>
          <cell r="B1382">
            <v>1</v>
          </cell>
        </row>
        <row r="1383">
          <cell r="A1383" t="str">
            <v>XXS6T59903</v>
          </cell>
          <cell r="B1383">
            <v>1</v>
          </cell>
        </row>
        <row r="1384">
          <cell r="A1384" t="str">
            <v>XXS6T59904</v>
          </cell>
          <cell r="B1384">
            <v>1</v>
          </cell>
        </row>
        <row r="1385">
          <cell r="A1385" t="str">
            <v>XXS6T59906</v>
          </cell>
          <cell r="B1385">
            <v>1</v>
          </cell>
        </row>
        <row r="1386">
          <cell r="A1386" t="str">
            <v>XXS6T60612</v>
          </cell>
          <cell r="B1386">
            <v>1</v>
          </cell>
        </row>
        <row r="1387">
          <cell r="A1387" t="str">
            <v>XXS6T61405</v>
          </cell>
          <cell r="B1387">
            <v>1</v>
          </cell>
        </row>
        <row r="1388">
          <cell r="A1388" t="str">
            <v>XXS6T64801</v>
          </cell>
          <cell r="B1388">
            <v>1</v>
          </cell>
        </row>
        <row r="1389">
          <cell r="A1389" t="str">
            <v>XXS6T64804</v>
          </cell>
          <cell r="B1389">
            <v>1</v>
          </cell>
        </row>
        <row r="1390">
          <cell r="A1390" t="str">
            <v>XXS6T64805</v>
          </cell>
          <cell r="B1390">
            <v>1</v>
          </cell>
        </row>
        <row r="1391">
          <cell r="A1391" t="str">
            <v>XXS6T64807</v>
          </cell>
          <cell r="B1391">
            <v>1</v>
          </cell>
        </row>
        <row r="1392">
          <cell r="A1392" t="str">
            <v>XXS6T64809</v>
          </cell>
          <cell r="B1392">
            <v>1</v>
          </cell>
        </row>
        <row r="1393">
          <cell r="A1393" t="str">
            <v>XXS6T64812</v>
          </cell>
          <cell r="B1393">
            <v>1</v>
          </cell>
        </row>
        <row r="1394">
          <cell r="A1394" t="str">
            <v>XXS6T65123</v>
          </cell>
          <cell r="B1394">
            <v>1</v>
          </cell>
        </row>
        <row r="1395">
          <cell r="A1395" t="str">
            <v>XXS6T65124</v>
          </cell>
          <cell r="B1395">
            <v>1</v>
          </cell>
        </row>
        <row r="1396">
          <cell r="A1396" t="str">
            <v>XXS6T65125</v>
          </cell>
          <cell r="B1396">
            <v>1</v>
          </cell>
        </row>
        <row r="1397">
          <cell r="A1397" t="str">
            <v>XXS6T65128</v>
          </cell>
          <cell r="B1397">
            <v>1</v>
          </cell>
        </row>
        <row r="1398">
          <cell r="A1398" t="str">
            <v>XXS6T65130</v>
          </cell>
          <cell r="B1398">
            <v>1</v>
          </cell>
        </row>
        <row r="1399">
          <cell r="A1399" t="str">
            <v>XXS6T65131</v>
          </cell>
          <cell r="B1399">
            <v>1</v>
          </cell>
        </row>
        <row r="1400">
          <cell r="A1400" t="str">
            <v>XXS6T65132</v>
          </cell>
          <cell r="B1400">
            <v>1</v>
          </cell>
        </row>
        <row r="1401">
          <cell r="A1401" t="str">
            <v>XXS6T65133</v>
          </cell>
          <cell r="B1401">
            <v>1</v>
          </cell>
        </row>
        <row r="1402">
          <cell r="A1402" t="str">
            <v>XXS6T67003</v>
          </cell>
          <cell r="B1402">
            <v>1</v>
          </cell>
        </row>
        <row r="1403">
          <cell r="A1403" t="str">
            <v>XXS6T67004</v>
          </cell>
          <cell r="B1403">
            <v>1</v>
          </cell>
        </row>
        <row r="1404">
          <cell r="A1404" t="str">
            <v>XXS6T67007</v>
          </cell>
          <cell r="B1404">
            <v>1</v>
          </cell>
        </row>
        <row r="1405">
          <cell r="A1405" t="str">
            <v>XXS6T67008</v>
          </cell>
          <cell r="B1405">
            <v>1</v>
          </cell>
        </row>
        <row r="1406">
          <cell r="A1406" t="str">
            <v>XXS6T74509</v>
          </cell>
          <cell r="B1406">
            <v>1</v>
          </cell>
        </row>
        <row r="1407">
          <cell r="A1407" t="str">
            <v>XXS6T75003</v>
          </cell>
          <cell r="B1407">
            <v>1</v>
          </cell>
        </row>
        <row r="1408">
          <cell r="A1408" t="str">
            <v>1828FH101965</v>
          </cell>
          <cell r="B1408">
            <v>1</v>
          </cell>
        </row>
        <row r="1409">
          <cell r="A1409" t="str">
            <v>1828FH101962</v>
          </cell>
          <cell r="B1409">
            <v>1</v>
          </cell>
        </row>
        <row r="1410">
          <cell r="A1410" t="str">
            <v>1828FH101846</v>
          </cell>
          <cell r="B1410">
            <v>1</v>
          </cell>
        </row>
        <row r="1411">
          <cell r="A1411" t="str">
            <v>1828FH101959</v>
          </cell>
          <cell r="B1411">
            <v>1</v>
          </cell>
        </row>
        <row r="1412">
          <cell r="A1412" t="str">
            <v>1828FH101960</v>
          </cell>
          <cell r="B1412">
            <v>1</v>
          </cell>
        </row>
        <row r="1413">
          <cell r="A1413" t="str">
            <v>1828FH101970</v>
          </cell>
          <cell r="B1413">
            <v>1</v>
          </cell>
        </row>
        <row r="1414">
          <cell r="A1414" t="str">
            <v>1828FH101963</v>
          </cell>
          <cell r="B1414">
            <v>1</v>
          </cell>
        </row>
        <row r="1415">
          <cell r="A1415" t="str">
            <v>1828FH101966</v>
          </cell>
          <cell r="B1415">
            <v>1</v>
          </cell>
        </row>
        <row r="1416">
          <cell r="A1416" t="str">
            <v>1522FH105489</v>
          </cell>
          <cell r="B1416">
            <v>1</v>
          </cell>
        </row>
        <row r="1417">
          <cell r="A1417" t="str">
            <v>1562RH143045</v>
          </cell>
          <cell r="B1417">
            <v>1</v>
          </cell>
        </row>
        <row r="1418">
          <cell r="A1418" t="str">
            <v>1562RH143041</v>
          </cell>
          <cell r="B1418">
            <v>1</v>
          </cell>
        </row>
        <row r="1419">
          <cell r="A1419" t="str">
            <v>1828FIP00121</v>
          </cell>
          <cell r="B1419">
            <v>1</v>
          </cell>
        </row>
        <row r="1420">
          <cell r="A1420" t="str">
            <v>1562RH127317</v>
          </cell>
          <cell r="B1420">
            <v>1</v>
          </cell>
        </row>
        <row r="1421">
          <cell r="A1421" t="str">
            <v>1828FIP00113</v>
          </cell>
          <cell r="B1421">
            <v>1</v>
          </cell>
        </row>
        <row r="1422">
          <cell r="A1422" t="str">
            <v>1520FCF00245</v>
          </cell>
          <cell r="B1422">
            <v>1</v>
          </cell>
        </row>
        <row r="1423">
          <cell r="A1423" t="str">
            <v>1720F3320049</v>
          </cell>
          <cell r="B1423">
            <v>1</v>
          </cell>
        </row>
        <row r="1424">
          <cell r="A1424" t="str">
            <v>1828FIP00668</v>
          </cell>
          <cell r="B1424">
            <v>1</v>
          </cell>
        </row>
        <row r="1425">
          <cell r="A1425" t="str">
            <v>1750F3320015</v>
          </cell>
          <cell r="B1425">
            <v>1</v>
          </cell>
        </row>
        <row r="1426">
          <cell r="A1426" t="str">
            <v>1562RH142719</v>
          </cell>
          <cell r="B1426">
            <v>1</v>
          </cell>
        </row>
        <row r="1427">
          <cell r="A1427" t="str">
            <v>1562RCF01019</v>
          </cell>
          <cell r="B1427">
            <v>1</v>
          </cell>
        </row>
        <row r="1428">
          <cell r="A1428" t="str">
            <v>1560RCF00828</v>
          </cell>
          <cell r="B1428">
            <v>1</v>
          </cell>
        </row>
        <row r="1429">
          <cell r="A1429" t="str">
            <v>1720FH121356</v>
          </cell>
          <cell r="B1429">
            <v>1</v>
          </cell>
        </row>
        <row r="1430">
          <cell r="A1430" t="str">
            <v>1760R3320553</v>
          </cell>
          <cell r="B1430">
            <v>1</v>
          </cell>
        </row>
        <row r="1431">
          <cell r="A1431" t="str">
            <v>1828FH101745</v>
          </cell>
          <cell r="B1431">
            <v>1</v>
          </cell>
        </row>
        <row r="1432">
          <cell r="A1432" t="str">
            <v>1520FCF00561</v>
          </cell>
          <cell r="B1432">
            <v>1</v>
          </cell>
        </row>
        <row r="1433">
          <cell r="A1433" t="str">
            <v>1522FH113839</v>
          </cell>
          <cell r="B1433">
            <v>1</v>
          </cell>
        </row>
        <row r="1434">
          <cell r="A1434" t="str">
            <v>1562RH153183</v>
          </cell>
          <cell r="B1434">
            <v>1</v>
          </cell>
        </row>
        <row r="1435">
          <cell r="A1435" t="str">
            <v>5300280265</v>
          </cell>
          <cell r="B1435">
            <v>1</v>
          </cell>
        </row>
        <row r="1436">
          <cell r="A1436" t="str">
            <v>1828FIP00655</v>
          </cell>
          <cell r="B1436">
            <v>1</v>
          </cell>
        </row>
        <row r="1437">
          <cell r="A1437" t="str">
            <v>1522FH105488</v>
          </cell>
          <cell r="B1437">
            <v>1</v>
          </cell>
        </row>
        <row r="1438">
          <cell r="A1438" t="str">
            <v>1562R3301390</v>
          </cell>
          <cell r="B1438">
            <v>1</v>
          </cell>
        </row>
        <row r="1439">
          <cell r="A1439" t="str">
            <v>1760R3320148</v>
          </cell>
          <cell r="B1439">
            <v>1</v>
          </cell>
        </row>
        <row r="1440">
          <cell r="A1440" t="str">
            <v>1522FH106944</v>
          </cell>
          <cell r="B1440">
            <v>1</v>
          </cell>
        </row>
        <row r="1441">
          <cell r="A1441" t="str">
            <v>1720FH121719</v>
          </cell>
          <cell r="B1441">
            <v>1</v>
          </cell>
        </row>
        <row r="1442">
          <cell r="A1442" t="str">
            <v>1562RH157107</v>
          </cell>
          <cell r="B1442">
            <v>1</v>
          </cell>
        </row>
        <row r="1443">
          <cell r="A1443" t="str">
            <v>1562RH122114</v>
          </cell>
          <cell r="B1443">
            <v>1</v>
          </cell>
        </row>
        <row r="1444">
          <cell r="A1444" t="str">
            <v>5300709365</v>
          </cell>
          <cell r="B1444">
            <v>1</v>
          </cell>
        </row>
        <row r="1445">
          <cell r="A1445" t="str">
            <v>1828FH101964</v>
          </cell>
          <cell r="B1445">
            <v>1</v>
          </cell>
        </row>
        <row r="1446">
          <cell r="A1446" t="str">
            <v>1760RH131254</v>
          </cell>
          <cell r="B1446">
            <v>1</v>
          </cell>
        </row>
        <row r="1447">
          <cell r="A1447" t="str">
            <v>1760RH120615</v>
          </cell>
          <cell r="B1447">
            <v>1</v>
          </cell>
        </row>
        <row r="1448">
          <cell r="A1448" t="str">
            <v>1868RH107555</v>
          </cell>
          <cell r="B1448">
            <v>1</v>
          </cell>
        </row>
        <row r="1449">
          <cell r="A1449" t="str">
            <v>XXS6T57704</v>
          </cell>
          <cell r="B1449">
            <v>1</v>
          </cell>
        </row>
        <row r="1450">
          <cell r="A1450" t="str">
            <v>1760RH120558</v>
          </cell>
          <cell r="B1450">
            <v>1</v>
          </cell>
        </row>
        <row r="1451">
          <cell r="A1451" t="str">
            <v>1522FH118611</v>
          </cell>
          <cell r="B1451">
            <v>1</v>
          </cell>
        </row>
        <row r="1452">
          <cell r="A1452" t="str">
            <v>1522FH118612</v>
          </cell>
          <cell r="B1452">
            <v>1</v>
          </cell>
        </row>
        <row r="1453">
          <cell r="A1453" t="str">
            <v>1760RH120940</v>
          </cell>
          <cell r="B1453">
            <v>1</v>
          </cell>
        </row>
        <row r="1454">
          <cell r="A1454" t="str">
            <v>1760RH120932</v>
          </cell>
          <cell r="B1454">
            <v>1</v>
          </cell>
        </row>
        <row r="1455">
          <cell r="A1455" t="str">
            <v>1828FIP00675</v>
          </cell>
          <cell r="B1455">
            <v>1</v>
          </cell>
        </row>
        <row r="1456">
          <cell r="A1456" t="str">
            <v>1868RH106384</v>
          </cell>
          <cell r="B1456">
            <v>1</v>
          </cell>
        </row>
        <row r="1457">
          <cell r="A1457" t="str">
            <v>5300136432</v>
          </cell>
          <cell r="B1457">
            <v>1</v>
          </cell>
        </row>
        <row r="1458">
          <cell r="A1458" t="str">
            <v>1562RH141910</v>
          </cell>
          <cell r="B1458">
            <v>1</v>
          </cell>
        </row>
        <row r="1459">
          <cell r="A1459" t="str">
            <v>1720FH123162</v>
          </cell>
          <cell r="B1459">
            <v>1</v>
          </cell>
        </row>
        <row r="1460">
          <cell r="A1460" t="str">
            <v>1760R3320554</v>
          </cell>
          <cell r="B1460">
            <v>1</v>
          </cell>
        </row>
        <row r="1461">
          <cell r="A1461" t="str">
            <v>1520FCF00289</v>
          </cell>
          <cell r="B1461">
            <v>1</v>
          </cell>
        </row>
        <row r="1462">
          <cell r="A1462" t="str">
            <v>1760RH120572</v>
          </cell>
          <cell r="B1462">
            <v>1</v>
          </cell>
        </row>
        <row r="1463">
          <cell r="A1463" t="str">
            <v>1760RH125344</v>
          </cell>
          <cell r="B1463">
            <v>1</v>
          </cell>
        </row>
        <row r="1464">
          <cell r="A1464" t="str">
            <v>1522FH113851</v>
          </cell>
          <cell r="B1464">
            <v>1</v>
          </cell>
        </row>
        <row r="1465">
          <cell r="A1465" t="str">
            <v>1522FH100289</v>
          </cell>
          <cell r="B1465">
            <v>1</v>
          </cell>
        </row>
        <row r="1466">
          <cell r="A1466" t="str">
            <v>1760RH120527</v>
          </cell>
          <cell r="B1466">
            <v>1</v>
          </cell>
        </row>
        <row r="1467">
          <cell r="A1467" t="str">
            <v>1562RH135485</v>
          </cell>
          <cell r="B1467">
            <v>1</v>
          </cell>
        </row>
        <row r="1468">
          <cell r="A1468" t="str">
            <v>1560R3302881</v>
          </cell>
          <cell r="B1468">
            <v>1</v>
          </cell>
        </row>
        <row r="1469">
          <cell r="A1469" t="str">
            <v>1562RH132404</v>
          </cell>
          <cell r="B1469">
            <v>1</v>
          </cell>
        </row>
        <row r="1470">
          <cell r="A1470" t="str">
            <v>1828FIP00669</v>
          </cell>
          <cell r="B1470">
            <v>1</v>
          </cell>
        </row>
        <row r="1471">
          <cell r="A1471" t="str">
            <v>1520FCF00088</v>
          </cell>
          <cell r="B1471">
            <v>1</v>
          </cell>
        </row>
        <row r="1472">
          <cell r="A1472" t="str">
            <v>1520FH124926</v>
          </cell>
          <cell r="B1472">
            <v>1</v>
          </cell>
        </row>
        <row r="1473">
          <cell r="A1473" t="str">
            <v>1720FH120182</v>
          </cell>
          <cell r="B1473">
            <v>1</v>
          </cell>
        </row>
        <row r="1474">
          <cell r="A1474" t="str">
            <v>5300280365</v>
          </cell>
          <cell r="B1474">
            <v>1</v>
          </cell>
        </row>
        <row r="1475">
          <cell r="A1475" t="str">
            <v>1520FCF00085</v>
          </cell>
          <cell r="B1475">
            <v>1</v>
          </cell>
        </row>
        <row r="1476">
          <cell r="A1476" t="str">
            <v>1720FH122342</v>
          </cell>
          <cell r="B1476">
            <v>1</v>
          </cell>
        </row>
        <row r="1477">
          <cell r="A1477" t="str">
            <v>1828FH101753</v>
          </cell>
          <cell r="B1477">
            <v>1</v>
          </cell>
        </row>
        <row r="1478">
          <cell r="A1478" t="str">
            <v>1720FH122067</v>
          </cell>
          <cell r="B1478">
            <v>1</v>
          </cell>
        </row>
        <row r="1479">
          <cell r="A1479" t="str">
            <v>1520FH122419</v>
          </cell>
          <cell r="B1479">
            <v>1</v>
          </cell>
        </row>
        <row r="1480">
          <cell r="A1480" t="str">
            <v>1828FH102199</v>
          </cell>
          <cell r="B1480">
            <v>1</v>
          </cell>
        </row>
        <row r="1481">
          <cell r="A1481" t="str">
            <v>1828FIP00664</v>
          </cell>
          <cell r="B1481">
            <v>1</v>
          </cell>
        </row>
        <row r="1482">
          <cell r="A1482" t="str">
            <v>1520FCF00889</v>
          </cell>
          <cell r="B1482">
            <v>1</v>
          </cell>
        </row>
        <row r="1483">
          <cell r="A1483" t="str">
            <v>1522FH105485</v>
          </cell>
          <cell r="B1483">
            <v>1</v>
          </cell>
        </row>
        <row r="1484">
          <cell r="A1484" t="str">
            <v>5300521200</v>
          </cell>
          <cell r="B1484">
            <v>1</v>
          </cell>
        </row>
        <row r="1485">
          <cell r="A1485" t="str">
            <v>1760R3304549</v>
          </cell>
          <cell r="B1485">
            <v>1</v>
          </cell>
        </row>
        <row r="1486">
          <cell r="A1486" t="str">
            <v>1760R3320558</v>
          </cell>
          <cell r="B1486">
            <v>1</v>
          </cell>
        </row>
        <row r="1487">
          <cell r="A1487" t="str">
            <v>1760R3320574</v>
          </cell>
          <cell r="B1487">
            <v>1</v>
          </cell>
        </row>
        <row r="1488">
          <cell r="A1488" t="str">
            <v>1522FH113846</v>
          </cell>
          <cell r="B1488">
            <v>1</v>
          </cell>
        </row>
        <row r="1489">
          <cell r="A1489" t="str">
            <v>1720FH123709</v>
          </cell>
          <cell r="B1489">
            <v>1</v>
          </cell>
        </row>
        <row r="1490">
          <cell r="A1490" t="str">
            <v>1520FH120056</v>
          </cell>
          <cell r="B1490">
            <v>1</v>
          </cell>
        </row>
        <row r="1491">
          <cell r="A1491" t="str">
            <v>1522FH113833</v>
          </cell>
          <cell r="B1491">
            <v>1</v>
          </cell>
        </row>
        <row r="1492">
          <cell r="A1492" t="str">
            <v>1522FH113842</v>
          </cell>
          <cell r="B1492">
            <v>1</v>
          </cell>
        </row>
        <row r="1493">
          <cell r="A1493" t="str">
            <v>1720F3320063</v>
          </cell>
          <cell r="B1493">
            <v>1</v>
          </cell>
        </row>
        <row r="1494">
          <cell r="A1494" t="str">
            <v>1522FH119155</v>
          </cell>
          <cell r="B1494">
            <v>1</v>
          </cell>
        </row>
        <row r="1495">
          <cell r="A1495" t="str">
            <v>562RRH100420</v>
          </cell>
          <cell r="B1495">
            <v>1</v>
          </cell>
        </row>
        <row r="1496">
          <cell r="A1496" t="str">
            <v>1720F3320068</v>
          </cell>
          <cell r="B1496">
            <v>1</v>
          </cell>
        </row>
        <row r="1497">
          <cell r="A1497" t="str">
            <v>1760RH120579</v>
          </cell>
          <cell r="B1497">
            <v>1</v>
          </cell>
        </row>
        <row r="1498">
          <cell r="A1498" t="str">
            <v>1760RH121547</v>
          </cell>
          <cell r="B1498">
            <v>1</v>
          </cell>
        </row>
        <row r="1499">
          <cell r="A1499" t="str">
            <v>1828FH102016</v>
          </cell>
          <cell r="B1499">
            <v>1</v>
          </cell>
        </row>
        <row r="1500">
          <cell r="A1500" t="str">
            <v>1562RH153180</v>
          </cell>
          <cell r="B1500">
            <v>1</v>
          </cell>
        </row>
        <row r="1501">
          <cell r="A1501" t="str">
            <v>1520FH121682</v>
          </cell>
          <cell r="B1501">
            <v>1</v>
          </cell>
        </row>
        <row r="1502">
          <cell r="A1502" t="str">
            <v>1828FIP00663</v>
          </cell>
          <cell r="B1502">
            <v>1</v>
          </cell>
        </row>
        <row r="1503">
          <cell r="A1503" t="str">
            <v>1828FH101726</v>
          </cell>
          <cell r="B1503">
            <v>2</v>
          </cell>
        </row>
        <row r="1504">
          <cell r="A1504" t="str">
            <v>1760RH126771</v>
          </cell>
          <cell r="B1504">
            <v>1</v>
          </cell>
        </row>
        <row r="1505">
          <cell r="A1505" t="str">
            <v>1522FH100282</v>
          </cell>
          <cell r="B1505">
            <v>1</v>
          </cell>
        </row>
        <row r="1506">
          <cell r="A1506" t="str">
            <v>1560R3302910</v>
          </cell>
          <cell r="B1506">
            <v>1</v>
          </cell>
        </row>
        <row r="1507">
          <cell r="A1507" t="str">
            <v>1760RCF00110</v>
          </cell>
          <cell r="B1507">
            <v>1</v>
          </cell>
        </row>
        <row r="1508">
          <cell r="A1508" t="str">
            <v>1522FH100280</v>
          </cell>
          <cell r="B1508">
            <v>1</v>
          </cell>
        </row>
        <row r="1509">
          <cell r="A1509" t="str">
            <v>1720FH120195</v>
          </cell>
          <cell r="B1509">
            <v>1</v>
          </cell>
        </row>
        <row r="1510">
          <cell r="A1510" t="str">
            <v>1760RH120943</v>
          </cell>
          <cell r="B1510">
            <v>1</v>
          </cell>
        </row>
        <row r="1511">
          <cell r="A1511" t="str">
            <v>1828FH102256</v>
          </cell>
          <cell r="B1511">
            <v>1</v>
          </cell>
        </row>
        <row r="1512">
          <cell r="A1512" t="str">
            <v>1760R3320572</v>
          </cell>
          <cell r="B1512">
            <v>1</v>
          </cell>
        </row>
        <row r="1513">
          <cell r="A1513" t="str">
            <v>1828FH101727</v>
          </cell>
          <cell r="B1513">
            <v>1</v>
          </cell>
        </row>
        <row r="1514">
          <cell r="A1514" t="str">
            <v>5300829569</v>
          </cell>
          <cell r="B1514">
            <v>1</v>
          </cell>
        </row>
        <row r="1515">
          <cell r="A1515" t="str">
            <v>1720F3320040</v>
          </cell>
          <cell r="B1515">
            <v>2</v>
          </cell>
        </row>
        <row r="1516">
          <cell r="A1516" t="str">
            <v>1720FH120245</v>
          </cell>
          <cell r="B1516">
            <v>1</v>
          </cell>
        </row>
        <row r="1517">
          <cell r="A1517" t="str">
            <v>1562RH145968</v>
          </cell>
          <cell r="B1517">
            <v>1</v>
          </cell>
        </row>
        <row r="1518">
          <cell r="A1518" t="str">
            <v>1760RH126604</v>
          </cell>
          <cell r="B1518">
            <v>1</v>
          </cell>
        </row>
        <row r="1519">
          <cell r="A1519" t="str">
            <v>1828FIP00667</v>
          </cell>
          <cell r="B1519">
            <v>1</v>
          </cell>
        </row>
        <row r="1520">
          <cell r="A1520" t="str">
            <v>1828FH101751</v>
          </cell>
          <cell r="B1520">
            <v>1</v>
          </cell>
        </row>
        <row r="1521">
          <cell r="A1521" t="str">
            <v>1828FH102228</v>
          </cell>
          <cell r="B1521">
            <v>1</v>
          </cell>
        </row>
        <row r="1522">
          <cell r="A1522" t="str">
            <v>1760R3320532</v>
          </cell>
          <cell r="B1522">
            <v>1</v>
          </cell>
        </row>
        <row r="1523">
          <cell r="A1523" t="str">
            <v>1720F3320056</v>
          </cell>
          <cell r="B1523">
            <v>1</v>
          </cell>
        </row>
        <row r="1524">
          <cell r="A1524" t="str">
            <v>1828FIP00660</v>
          </cell>
          <cell r="B1524">
            <v>1</v>
          </cell>
        </row>
        <row r="1525">
          <cell r="A1525" t="str">
            <v>5300829395</v>
          </cell>
          <cell r="B1525">
            <v>1</v>
          </cell>
        </row>
        <row r="1526">
          <cell r="A1526" t="str">
            <v>1562RH135623</v>
          </cell>
          <cell r="B1526">
            <v>1</v>
          </cell>
        </row>
        <row r="1527">
          <cell r="A1527" t="str">
            <v>1720FH121723</v>
          </cell>
          <cell r="B1527">
            <v>1</v>
          </cell>
        </row>
        <row r="1528">
          <cell r="A1528" t="str">
            <v>XXS6T52001</v>
          </cell>
          <cell r="B1528">
            <v>1</v>
          </cell>
        </row>
        <row r="1529">
          <cell r="A1529" t="str">
            <v>1520FCF00288</v>
          </cell>
          <cell r="B1529">
            <v>1</v>
          </cell>
        </row>
        <row r="1530">
          <cell r="A1530" t="str">
            <v>1760RCF00640</v>
          </cell>
          <cell r="B1530">
            <v>1</v>
          </cell>
        </row>
        <row r="1531">
          <cell r="A1531" t="str">
            <v>1562RH154082</v>
          </cell>
          <cell r="B1531">
            <v>1</v>
          </cell>
        </row>
        <row r="1532">
          <cell r="A1532" t="str">
            <v>1562RH138599</v>
          </cell>
          <cell r="B1532">
            <v>1</v>
          </cell>
        </row>
        <row r="1533">
          <cell r="A1533" t="str">
            <v>1562RH132702</v>
          </cell>
          <cell r="B1533">
            <v>1</v>
          </cell>
        </row>
        <row r="1534">
          <cell r="A1534" t="str">
            <v>1562RH144917</v>
          </cell>
          <cell r="B1534">
            <v>1</v>
          </cell>
        </row>
        <row r="1535">
          <cell r="A1535" t="str">
            <v>1562RH135484</v>
          </cell>
          <cell r="B1535">
            <v>1</v>
          </cell>
        </row>
        <row r="1536">
          <cell r="A1536" t="str">
            <v>1720FH121725</v>
          </cell>
          <cell r="B1536">
            <v>1</v>
          </cell>
        </row>
        <row r="1537">
          <cell r="A1537" t="str">
            <v>1562RH124543</v>
          </cell>
          <cell r="B1537">
            <v>1</v>
          </cell>
        </row>
        <row r="1538">
          <cell r="A1538" t="str">
            <v>1828FIP00662</v>
          </cell>
          <cell r="B1538">
            <v>2</v>
          </cell>
        </row>
        <row r="1539">
          <cell r="A1539" t="str">
            <v>5300249865</v>
          </cell>
          <cell r="B1539">
            <v>1</v>
          </cell>
        </row>
        <row r="1540">
          <cell r="A1540" t="str">
            <v>1522FH113838</v>
          </cell>
          <cell r="B1540">
            <v>1</v>
          </cell>
        </row>
        <row r="1541">
          <cell r="A1541" t="str">
            <v>1760R3320586</v>
          </cell>
          <cell r="B1541">
            <v>1</v>
          </cell>
        </row>
        <row r="1542">
          <cell r="A1542" t="str">
            <v>5300071667</v>
          </cell>
          <cell r="B1542">
            <v>1</v>
          </cell>
        </row>
        <row r="1543">
          <cell r="A1543" t="str">
            <v>1522FH113856</v>
          </cell>
          <cell r="B1543">
            <v>1</v>
          </cell>
        </row>
        <row r="1544">
          <cell r="A1544" t="str">
            <v>1720FH121858</v>
          </cell>
          <cell r="B1544">
            <v>1</v>
          </cell>
        </row>
        <row r="1545">
          <cell r="A1545" t="str">
            <v>1520FH122729</v>
          </cell>
          <cell r="B1545">
            <v>1</v>
          </cell>
        </row>
        <row r="1546">
          <cell r="A1546" t="str">
            <v>XXS6T51702</v>
          </cell>
          <cell r="B1546">
            <v>1</v>
          </cell>
        </row>
        <row r="1547">
          <cell r="A1547" t="str">
            <v>1828FH102200</v>
          </cell>
          <cell r="B1547">
            <v>1</v>
          </cell>
        </row>
        <row r="1548">
          <cell r="A1548" t="str">
            <v>1828FH101740</v>
          </cell>
          <cell r="B1548">
            <v>1</v>
          </cell>
        </row>
        <row r="1549">
          <cell r="A1549" t="str">
            <v>5300204188</v>
          </cell>
          <cell r="B1549">
            <v>1</v>
          </cell>
        </row>
        <row r="1550">
          <cell r="A1550" t="str">
            <v>1562RH128385</v>
          </cell>
          <cell r="B1550">
            <v>1</v>
          </cell>
        </row>
        <row r="1551">
          <cell r="A1551" t="str">
            <v>1828FIP00894</v>
          </cell>
          <cell r="B1551">
            <v>1</v>
          </cell>
        </row>
        <row r="1552">
          <cell r="A1552" t="str">
            <v>1828FH102195</v>
          </cell>
          <cell r="B1552">
            <v>1</v>
          </cell>
        </row>
        <row r="1553">
          <cell r="A1553" t="str">
            <v>5300278478</v>
          </cell>
          <cell r="B1553">
            <v>1</v>
          </cell>
        </row>
        <row r="1554">
          <cell r="A1554" t="str">
            <v>XXAS6T69510</v>
          </cell>
          <cell r="B1554">
            <v>1</v>
          </cell>
        </row>
        <row r="1555">
          <cell r="A1555" t="str">
            <v>1562RH153214</v>
          </cell>
          <cell r="B1555">
            <v>1</v>
          </cell>
        </row>
        <row r="1556">
          <cell r="A1556" t="str">
            <v>5300006433</v>
          </cell>
          <cell r="B1556">
            <v>1</v>
          </cell>
        </row>
        <row r="1557">
          <cell r="A1557" t="str">
            <v>XXS6T54304</v>
          </cell>
          <cell r="B1557">
            <v>1</v>
          </cell>
        </row>
        <row r="1558">
          <cell r="A1558" t="str">
            <v>5300118332</v>
          </cell>
          <cell r="B1558">
            <v>1</v>
          </cell>
        </row>
        <row r="1559">
          <cell r="A1559" t="str">
            <v>1522FH105400</v>
          </cell>
          <cell r="B1559">
            <v>1</v>
          </cell>
        </row>
        <row r="1560">
          <cell r="A1560" t="str">
            <v>5300611846</v>
          </cell>
          <cell r="B1560">
            <v>1</v>
          </cell>
        </row>
        <row r="1561">
          <cell r="A1561" t="str">
            <v>5300611904</v>
          </cell>
          <cell r="B1561">
            <v>1</v>
          </cell>
        </row>
        <row r="1562">
          <cell r="A1562" t="str">
            <v>1760RCF00498</v>
          </cell>
          <cell r="B1562">
            <v>1</v>
          </cell>
        </row>
        <row r="1563">
          <cell r="A1563" t="str">
            <v>1522FH113834</v>
          </cell>
          <cell r="B1563">
            <v>1</v>
          </cell>
        </row>
        <row r="1564">
          <cell r="A1564" t="str">
            <v>1522FH113860</v>
          </cell>
          <cell r="B1564">
            <v>1</v>
          </cell>
        </row>
        <row r="1565">
          <cell r="A1565" t="str">
            <v>1828FIP00906</v>
          </cell>
          <cell r="B1565">
            <v>1</v>
          </cell>
        </row>
        <row r="1566">
          <cell r="A1566" t="str">
            <v>1562RH159082</v>
          </cell>
          <cell r="B1566">
            <v>1</v>
          </cell>
        </row>
        <row r="1567">
          <cell r="A1567" t="str">
            <v>1522FH119148</v>
          </cell>
          <cell r="B1567">
            <v>1</v>
          </cell>
        </row>
        <row r="1568">
          <cell r="A1568" t="str">
            <v>1562RH153226</v>
          </cell>
          <cell r="B1568">
            <v>1</v>
          </cell>
        </row>
        <row r="1569">
          <cell r="A1569" t="str">
            <v>1522FH113848</v>
          </cell>
          <cell r="B1569">
            <v>1</v>
          </cell>
        </row>
        <row r="1570">
          <cell r="A1570" t="str">
            <v>1828FIP00905</v>
          </cell>
          <cell r="B1570">
            <v>1</v>
          </cell>
        </row>
        <row r="1571">
          <cell r="A1571" t="str">
            <v>1828FIP00898</v>
          </cell>
          <cell r="B1571">
            <v>1</v>
          </cell>
        </row>
        <row r="1572">
          <cell r="A1572" t="str">
            <v>1562RH154452</v>
          </cell>
          <cell r="B1572">
            <v>1</v>
          </cell>
        </row>
        <row r="1573">
          <cell r="A1573" t="str">
            <v>5300214619</v>
          </cell>
          <cell r="B1573">
            <v>1</v>
          </cell>
        </row>
        <row r="1574">
          <cell r="A1574" t="str">
            <v>1828FIP00986</v>
          </cell>
          <cell r="B1574">
            <v>1</v>
          </cell>
        </row>
        <row r="1575">
          <cell r="A1575" t="str">
            <v>1520FH120094</v>
          </cell>
          <cell r="B1575">
            <v>1</v>
          </cell>
        </row>
        <row r="1576">
          <cell r="A1576" t="str">
            <v>1720F3320051</v>
          </cell>
          <cell r="B1576">
            <v>1</v>
          </cell>
        </row>
        <row r="1577">
          <cell r="A1577" t="str">
            <v>5300204194</v>
          </cell>
          <cell r="B1577">
            <v>1</v>
          </cell>
        </row>
        <row r="1578">
          <cell r="A1578" t="str">
            <v>1522FH105403</v>
          </cell>
          <cell r="B1578">
            <v>1</v>
          </cell>
        </row>
        <row r="1579">
          <cell r="A1579" t="str">
            <v>1522FH105401</v>
          </cell>
          <cell r="B1579">
            <v>1</v>
          </cell>
        </row>
        <row r="1580">
          <cell r="A1580" t="str">
            <v>1562RH138183</v>
          </cell>
          <cell r="B1580">
            <v>1</v>
          </cell>
        </row>
        <row r="1581">
          <cell r="A1581" t="str">
            <v>1520FCF00921</v>
          </cell>
          <cell r="B1581">
            <v>1</v>
          </cell>
        </row>
        <row r="1582">
          <cell r="A1582" t="str">
            <v>1720FH121348</v>
          </cell>
          <cell r="B1582">
            <v>1</v>
          </cell>
        </row>
        <row r="1583">
          <cell r="A1583" t="str">
            <v>1520FCF00232</v>
          </cell>
          <cell r="B1583">
            <v>1</v>
          </cell>
        </row>
        <row r="1584">
          <cell r="A1584" t="str">
            <v>5300116667</v>
          </cell>
          <cell r="B1584">
            <v>1</v>
          </cell>
        </row>
        <row r="1585">
          <cell r="A1585" t="str">
            <v>1560R3303609</v>
          </cell>
          <cell r="B1585">
            <v>1</v>
          </cell>
        </row>
        <row r="1586">
          <cell r="A1586" t="str">
            <v>1828FIP00987</v>
          </cell>
          <cell r="B1586">
            <v>1</v>
          </cell>
        </row>
        <row r="1587">
          <cell r="A1587" t="str">
            <v>1828FIP00115</v>
          </cell>
          <cell r="B1587">
            <v>1</v>
          </cell>
        </row>
        <row r="1588">
          <cell r="A1588" t="str">
            <v>1760R3320541</v>
          </cell>
          <cell r="B1588">
            <v>1</v>
          </cell>
        </row>
        <row r="1589">
          <cell r="A1589" t="str">
            <v>1828FIP00893</v>
          </cell>
          <cell r="B1589">
            <v>1</v>
          </cell>
        </row>
        <row r="1590">
          <cell r="A1590" t="str">
            <v>SSB3211077</v>
          </cell>
          <cell r="B1590">
            <v>1</v>
          </cell>
        </row>
        <row r="1591">
          <cell r="A1591" t="str">
            <v>5300027282</v>
          </cell>
          <cell r="B1591">
            <v>1</v>
          </cell>
        </row>
        <row r="1592">
          <cell r="A1592" t="str">
            <v>1562RH125336</v>
          </cell>
          <cell r="B1592">
            <v>1</v>
          </cell>
        </row>
        <row r="1593">
          <cell r="A1593" t="str">
            <v>5310152343</v>
          </cell>
          <cell r="B1593">
            <v>1</v>
          </cell>
        </row>
        <row r="1594">
          <cell r="A1594" t="str">
            <v>5300145145</v>
          </cell>
          <cell r="B1594">
            <v>1</v>
          </cell>
        </row>
        <row r="1595">
          <cell r="A1595" t="str">
            <v>5300162360</v>
          </cell>
          <cell r="B1595">
            <v>1</v>
          </cell>
        </row>
        <row r="1596">
          <cell r="A1596" t="str">
            <v>5300222546</v>
          </cell>
          <cell r="B1596">
            <v>1</v>
          </cell>
        </row>
        <row r="1597">
          <cell r="A1597" t="str">
            <v>XXS6T53302</v>
          </cell>
          <cell r="B1597">
            <v>1</v>
          </cell>
        </row>
        <row r="1598">
          <cell r="A1598" t="str">
            <v>5300466341</v>
          </cell>
          <cell r="B1598">
            <v>1</v>
          </cell>
        </row>
        <row r="1599">
          <cell r="A1599" t="str">
            <v>1828FIP00114</v>
          </cell>
          <cell r="B1599">
            <v>1</v>
          </cell>
        </row>
        <row r="1600">
          <cell r="A1600" t="str">
            <v>562RRH100621</v>
          </cell>
          <cell r="B1600">
            <v>1</v>
          </cell>
        </row>
        <row r="1601">
          <cell r="A1601" t="str">
            <v>1520FCF00163</v>
          </cell>
          <cell r="B1601">
            <v>1</v>
          </cell>
        </row>
        <row r="1602">
          <cell r="A1602" t="str">
            <v>5300214620</v>
          </cell>
          <cell r="B1602">
            <v>1</v>
          </cell>
        </row>
        <row r="1603">
          <cell r="A1603" t="str">
            <v>1828FIP00124</v>
          </cell>
          <cell r="B1603">
            <v>1</v>
          </cell>
        </row>
        <row r="1604">
          <cell r="A1604" t="str">
            <v>1828FIP00910</v>
          </cell>
          <cell r="B1604">
            <v>1</v>
          </cell>
        </row>
        <row r="1605">
          <cell r="A1605" t="str">
            <v>5300249974</v>
          </cell>
          <cell r="B1605">
            <v>1</v>
          </cell>
        </row>
        <row r="1606">
          <cell r="A1606" t="str">
            <v>5300829081</v>
          </cell>
          <cell r="B1606">
            <v>1</v>
          </cell>
        </row>
        <row r="1607">
          <cell r="A1607" t="str">
            <v>1562RH131302</v>
          </cell>
          <cell r="B1607">
            <v>1</v>
          </cell>
        </row>
        <row r="1608">
          <cell r="A1608" t="str">
            <v>1562RH127792</v>
          </cell>
          <cell r="B1608">
            <v>1</v>
          </cell>
        </row>
        <row r="1609">
          <cell r="A1609" t="str">
            <v>1868RIP00259</v>
          </cell>
          <cell r="B1609">
            <v>1</v>
          </cell>
        </row>
        <row r="1610">
          <cell r="A1610" t="str">
            <v>1828FH102208</v>
          </cell>
          <cell r="B1610">
            <v>1</v>
          </cell>
        </row>
        <row r="1611">
          <cell r="A1611" t="str">
            <v>1760RH120580</v>
          </cell>
          <cell r="B1611">
            <v>1</v>
          </cell>
        </row>
        <row r="1612">
          <cell r="A1612" t="str">
            <v>1520FH123080</v>
          </cell>
          <cell r="B1612">
            <v>1</v>
          </cell>
        </row>
        <row r="1613">
          <cell r="A1613" t="str">
            <v>5300162412</v>
          </cell>
          <cell r="B1613">
            <v>1</v>
          </cell>
        </row>
        <row r="1614">
          <cell r="A1614" t="str">
            <v>1828FIP00909</v>
          </cell>
          <cell r="B1614">
            <v>1</v>
          </cell>
        </row>
        <row r="1615">
          <cell r="A1615" t="str">
            <v>1828FIP00673</v>
          </cell>
          <cell r="B1615">
            <v>1</v>
          </cell>
        </row>
        <row r="1616">
          <cell r="A1616" t="str">
            <v>1560RCF00831</v>
          </cell>
          <cell r="B1616">
            <v>1</v>
          </cell>
        </row>
        <row r="1617">
          <cell r="A1617" t="str">
            <v>1828FH101812</v>
          </cell>
          <cell r="B1617">
            <v>1</v>
          </cell>
        </row>
        <row r="1618">
          <cell r="A1618" t="str">
            <v>5300221510</v>
          </cell>
          <cell r="B1618">
            <v>1</v>
          </cell>
        </row>
        <row r="1619">
          <cell r="A1619" t="str">
            <v>1522FH113853</v>
          </cell>
          <cell r="B1619">
            <v>1</v>
          </cell>
        </row>
        <row r="1620">
          <cell r="A1620" t="str">
            <v>1562RH153190</v>
          </cell>
          <cell r="B1620">
            <v>1</v>
          </cell>
        </row>
        <row r="1621">
          <cell r="A1621" t="str">
            <v>1828FH101748</v>
          </cell>
          <cell r="B1621">
            <v>1</v>
          </cell>
        </row>
        <row r="1622">
          <cell r="A1622" t="str">
            <v>1828FH102261</v>
          </cell>
          <cell r="B1622">
            <v>1</v>
          </cell>
        </row>
        <row r="1623">
          <cell r="A1623" t="str">
            <v>1828FIP00897</v>
          </cell>
          <cell r="B1623">
            <v>1</v>
          </cell>
        </row>
        <row r="1624">
          <cell r="A1624" t="str">
            <v>1562RH153227</v>
          </cell>
          <cell r="B1624">
            <v>1</v>
          </cell>
        </row>
        <row r="1625">
          <cell r="A1625" t="str">
            <v>1828FH102211</v>
          </cell>
          <cell r="B1625">
            <v>1</v>
          </cell>
        </row>
        <row r="1626">
          <cell r="A1626" t="str">
            <v>1828FIP00903</v>
          </cell>
          <cell r="B1626">
            <v>1</v>
          </cell>
        </row>
        <row r="1627">
          <cell r="A1627" t="str">
            <v>1562RCF00950</v>
          </cell>
          <cell r="B1627">
            <v>1</v>
          </cell>
        </row>
        <row r="1628">
          <cell r="A1628" t="str">
            <v>5300166949</v>
          </cell>
          <cell r="B1628">
            <v>1</v>
          </cell>
        </row>
        <row r="1629">
          <cell r="A1629" t="str">
            <v>5300248392</v>
          </cell>
          <cell r="B1629">
            <v>1</v>
          </cell>
        </row>
        <row r="1630">
          <cell r="A1630" t="str">
            <v>1828FIP00665</v>
          </cell>
          <cell r="B1630">
            <v>1</v>
          </cell>
        </row>
        <row r="1631">
          <cell r="A1631" t="str">
            <v>1720F3301939</v>
          </cell>
          <cell r="B1631">
            <v>1</v>
          </cell>
        </row>
        <row r="1632">
          <cell r="A1632" t="str">
            <v>5300620561</v>
          </cell>
          <cell r="B1632">
            <v>1</v>
          </cell>
        </row>
        <row r="1633">
          <cell r="A1633" t="str">
            <v>1562R3320030</v>
          </cell>
          <cell r="B1633">
            <v>1</v>
          </cell>
        </row>
        <row r="1634">
          <cell r="A1634" t="str">
            <v>1522FH113837</v>
          </cell>
          <cell r="B1634">
            <v>1</v>
          </cell>
        </row>
        <row r="1635">
          <cell r="A1635" t="str">
            <v>5300316432</v>
          </cell>
          <cell r="B1635">
            <v>1</v>
          </cell>
        </row>
        <row r="1636">
          <cell r="A1636" t="str">
            <v>1828FIP00900</v>
          </cell>
          <cell r="B1636">
            <v>1</v>
          </cell>
        </row>
        <row r="1637">
          <cell r="A1637" t="str">
            <v>5300113770</v>
          </cell>
          <cell r="B1637">
            <v>1</v>
          </cell>
        </row>
        <row r="1638">
          <cell r="A1638" t="str">
            <v>1522FH113854</v>
          </cell>
          <cell r="B1638">
            <v>1</v>
          </cell>
        </row>
        <row r="1639">
          <cell r="A1639" t="str">
            <v>1562RH153191</v>
          </cell>
          <cell r="B1639">
            <v>1</v>
          </cell>
        </row>
        <row r="1640">
          <cell r="A1640" t="str">
            <v>1720FH122165</v>
          </cell>
          <cell r="B1640">
            <v>2</v>
          </cell>
        </row>
        <row r="1641">
          <cell r="A1641" t="str">
            <v>5300071668</v>
          </cell>
          <cell r="B1641">
            <v>1</v>
          </cell>
        </row>
        <row r="1642">
          <cell r="A1642" t="str">
            <v>1828FH101757</v>
          </cell>
          <cell r="B1642">
            <v>1</v>
          </cell>
        </row>
        <row r="1643">
          <cell r="A1643" t="str">
            <v>1828FIP00930</v>
          </cell>
          <cell r="B1643">
            <v>1</v>
          </cell>
        </row>
        <row r="1644">
          <cell r="A1644" t="str">
            <v>1828FH101768</v>
          </cell>
          <cell r="B1644">
            <v>1</v>
          </cell>
        </row>
        <row r="1645">
          <cell r="A1645" t="str">
            <v>1720F3320042</v>
          </cell>
          <cell r="B1645">
            <v>1</v>
          </cell>
        </row>
        <row r="1646">
          <cell r="A1646" t="str">
            <v>5300242737</v>
          </cell>
          <cell r="B1646">
            <v>1</v>
          </cell>
        </row>
        <row r="1647">
          <cell r="A1647" t="str">
            <v>1520FCF00228</v>
          </cell>
          <cell r="B1647">
            <v>1</v>
          </cell>
        </row>
        <row r="1648">
          <cell r="A1648" t="str">
            <v>5300242753</v>
          </cell>
          <cell r="B1648">
            <v>1</v>
          </cell>
        </row>
        <row r="1649">
          <cell r="A1649" t="str">
            <v>5300129569</v>
          </cell>
          <cell r="B1649">
            <v>1</v>
          </cell>
        </row>
        <row r="1650">
          <cell r="A1650" t="str">
            <v>1720F3320057</v>
          </cell>
          <cell r="B1650">
            <v>1</v>
          </cell>
        </row>
        <row r="1651">
          <cell r="A1651" t="str">
            <v>1562R3300028</v>
          </cell>
          <cell r="B1651">
            <v>1</v>
          </cell>
        </row>
        <row r="1652">
          <cell r="A1652" t="str">
            <v>5300517450</v>
          </cell>
          <cell r="B1652">
            <v>1</v>
          </cell>
        </row>
        <row r="1653">
          <cell r="A1653" t="str">
            <v>5300307078</v>
          </cell>
          <cell r="B1653">
            <v>1</v>
          </cell>
        </row>
        <row r="1654">
          <cell r="A1654" t="str">
            <v>1562RH127302</v>
          </cell>
          <cell r="B1654">
            <v>1</v>
          </cell>
        </row>
        <row r="1655">
          <cell r="A1655" t="str">
            <v>1562RH127310</v>
          </cell>
          <cell r="B1655">
            <v>1</v>
          </cell>
        </row>
        <row r="1656">
          <cell r="A1656" t="str">
            <v>1562RH159125</v>
          </cell>
          <cell r="B1656">
            <v>1</v>
          </cell>
        </row>
        <row r="1657">
          <cell r="A1657" t="str">
            <v>1562RH139153</v>
          </cell>
          <cell r="B1657">
            <v>1</v>
          </cell>
        </row>
        <row r="1658">
          <cell r="A1658" t="str">
            <v>1828FIP00902</v>
          </cell>
          <cell r="B1658">
            <v>1</v>
          </cell>
        </row>
        <row r="1659">
          <cell r="A1659" t="str">
            <v>5300454316</v>
          </cell>
          <cell r="B1659">
            <v>1</v>
          </cell>
        </row>
        <row r="1660">
          <cell r="A1660" t="str">
            <v>1562RH136373</v>
          </cell>
          <cell r="B1660">
            <v>1</v>
          </cell>
        </row>
        <row r="1661">
          <cell r="A1661" t="str">
            <v>1520FCF00925</v>
          </cell>
          <cell r="B1661">
            <v>1</v>
          </cell>
        </row>
        <row r="1662">
          <cell r="A1662" t="str">
            <v>1760R3320531</v>
          </cell>
          <cell r="B1662">
            <v>1</v>
          </cell>
        </row>
        <row r="1663">
          <cell r="A1663" t="str">
            <v>1520FCF00224</v>
          </cell>
          <cell r="B1663">
            <v>1</v>
          </cell>
        </row>
        <row r="1664">
          <cell r="A1664" t="str">
            <v>1720FH122109</v>
          </cell>
          <cell r="B1664">
            <v>1</v>
          </cell>
        </row>
        <row r="1665">
          <cell r="A1665" t="str">
            <v>1520FCF00567</v>
          </cell>
          <cell r="B1665">
            <v>1</v>
          </cell>
        </row>
        <row r="1666">
          <cell r="A1666" t="str">
            <v>1522FH113844</v>
          </cell>
          <cell r="B1666">
            <v>1</v>
          </cell>
        </row>
        <row r="1667">
          <cell r="A1667" t="str">
            <v>1760R3320534</v>
          </cell>
          <cell r="B1667">
            <v>1</v>
          </cell>
        </row>
        <row r="1668">
          <cell r="A1668" t="str">
            <v>1562RH153253</v>
          </cell>
          <cell r="B1668">
            <v>1</v>
          </cell>
        </row>
        <row r="1669">
          <cell r="A1669" t="str">
            <v>1760RH120944</v>
          </cell>
          <cell r="B1669">
            <v>1</v>
          </cell>
        </row>
        <row r="1670">
          <cell r="A1670" t="str">
            <v>1378FDC03839</v>
          </cell>
          <cell r="B1670">
            <v>1</v>
          </cell>
        </row>
        <row r="1671">
          <cell r="A1671" t="str">
            <v>1720F3320048</v>
          </cell>
          <cell r="B1671">
            <v>2</v>
          </cell>
        </row>
        <row r="1672">
          <cell r="A1672" t="str">
            <v>1562RH131285</v>
          </cell>
          <cell r="B1672">
            <v>1</v>
          </cell>
        </row>
        <row r="1673">
          <cell r="A1673" t="str">
            <v>1562RH143047</v>
          </cell>
          <cell r="B1673">
            <v>1</v>
          </cell>
        </row>
        <row r="1674">
          <cell r="A1674" t="str">
            <v>1760RH132285</v>
          </cell>
          <cell r="B1674">
            <v>1</v>
          </cell>
        </row>
        <row r="1675">
          <cell r="A1675" t="str">
            <v>XXS6T51741</v>
          </cell>
          <cell r="B1675">
            <v>1</v>
          </cell>
        </row>
        <row r="1676">
          <cell r="A1676" t="str">
            <v>1828FIP00908</v>
          </cell>
          <cell r="B1676">
            <v>1</v>
          </cell>
        </row>
        <row r="1677">
          <cell r="A1677" t="str">
            <v>1562RH153215</v>
          </cell>
          <cell r="B1677">
            <v>1</v>
          </cell>
        </row>
        <row r="1678">
          <cell r="A1678" t="str">
            <v>1378FDC03857</v>
          </cell>
          <cell r="B1678">
            <v>1</v>
          </cell>
        </row>
        <row r="1679">
          <cell r="A1679" t="str">
            <v>1520F3305873</v>
          </cell>
          <cell r="B1679">
            <v>1</v>
          </cell>
        </row>
        <row r="1680">
          <cell r="A1680" t="str">
            <v>1868RIP00252</v>
          </cell>
          <cell r="B1680">
            <v>1</v>
          </cell>
        </row>
        <row r="1681">
          <cell r="A1681" t="str">
            <v>5300141081</v>
          </cell>
          <cell r="B1681">
            <v>1</v>
          </cell>
        </row>
        <row r="1682">
          <cell r="A1682" t="str">
            <v>1720FH120187</v>
          </cell>
          <cell r="B1682">
            <v>1</v>
          </cell>
        </row>
        <row r="1683">
          <cell r="A1683" t="str">
            <v>1720FH121359</v>
          </cell>
          <cell r="B1683">
            <v>1</v>
          </cell>
        </row>
        <row r="1684">
          <cell r="A1684" t="str">
            <v>1562RH145753</v>
          </cell>
          <cell r="B1684">
            <v>1</v>
          </cell>
        </row>
        <row r="1685">
          <cell r="A1685" t="str">
            <v>1520FH124919</v>
          </cell>
          <cell r="B1685">
            <v>1</v>
          </cell>
        </row>
        <row r="1686">
          <cell r="A1686" t="str">
            <v>1828FH102214</v>
          </cell>
          <cell r="B1686">
            <v>1</v>
          </cell>
        </row>
        <row r="1687">
          <cell r="A1687" t="str">
            <v>1760RCF00041</v>
          </cell>
          <cell r="B1687">
            <v>1</v>
          </cell>
        </row>
        <row r="1688">
          <cell r="A1688" t="str">
            <v>1828FIP00904</v>
          </cell>
          <cell r="B1688">
            <v>1</v>
          </cell>
        </row>
        <row r="1689">
          <cell r="A1689" t="str">
            <v>1828FIP00899</v>
          </cell>
          <cell r="B1689">
            <v>1</v>
          </cell>
        </row>
        <row r="1690">
          <cell r="A1690" t="str">
            <v>1562RCF01068</v>
          </cell>
          <cell r="B1690">
            <v>1</v>
          </cell>
        </row>
        <row r="1691">
          <cell r="A1691" t="str">
            <v>1562RH125314</v>
          </cell>
          <cell r="B1691">
            <v>1</v>
          </cell>
        </row>
        <row r="1692">
          <cell r="A1692" t="str">
            <v>1378FDC03862</v>
          </cell>
          <cell r="B1692">
            <v>1</v>
          </cell>
        </row>
        <row r="1693">
          <cell r="A1693" t="str">
            <v>1828FIP00901</v>
          </cell>
          <cell r="B1693">
            <v>1</v>
          </cell>
        </row>
        <row r="1694">
          <cell r="A1694" t="str">
            <v>1828FH101724</v>
          </cell>
          <cell r="B1694">
            <v>1</v>
          </cell>
        </row>
        <row r="1695">
          <cell r="A1695" t="str">
            <v>1750F3320060</v>
          </cell>
          <cell r="B1695">
            <v>1</v>
          </cell>
        </row>
        <row r="1696">
          <cell r="A1696" t="str">
            <v>1562RH153216</v>
          </cell>
          <cell r="B1696">
            <v>1</v>
          </cell>
        </row>
        <row r="1697">
          <cell r="A1697" t="str">
            <v>Végösszeg</v>
          </cell>
          <cell r="B1697">
            <v>1715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bold, Incorporated" refreshedDate="43941.472216203707" createdVersion="5" refreshedVersion="5" minRefreshableVersion="3" recordCount="2266" xr:uid="{00000000-000A-0000-FFFF-FFFF00000000}">
  <cacheSource type="worksheet">
    <worksheetSource name="Táblázat1"/>
  </cacheSource>
  <cacheFields count="14">
    <cacheField name="Ügyfél" numFmtId="0">
      <sharedItems count="29">
        <s v="CIB Bank Zrt"/>
        <s v="Duna Takarék Bank Zrt."/>
        <s v="ERSTE BANK HUNGARY Zrt"/>
        <s v="Euronet Banktechnikai Szolgáltató K"/>
        <s v="K &amp; H BANK ZRT."/>
        <s v="MagNet Magyar Közösségi Bank Zrt."/>
        <s v="MTB Magyar Takarékszövetkezeti Bank"/>
        <s v="Oberbank AG Magyarországi Fióktelep"/>
        <s v="OTP BANK Nyrt."/>
        <s v="Sopron Bank Zrt."/>
        <s v="UniCredit Bank Hungary Zrt."/>
        <s v="Hungária Takarék Takarékszövetkezet" u="1"/>
        <s v="3A Takarékszövetkezet" u="1"/>
        <s v="Mohácsi Takarék Bank Zrt." u="1"/>
        <s v="NHB Növekedési Hitel Bank Zrt." u="1"/>
        <s v="Korona Takarék Takarékszövetkezet" u="1"/>
        <s v="Tiszántúli Takarék" u="1"/>
        <s v="Fókusz Takarékszövetkezet" u="1"/>
        <s v="Dél Takarék Szövetkezet" u="1"/>
        <s v="Pannon Takarék Bank Zrt" u="1"/>
        <s v="PÁTRIA Takarékszövetkezet" u="1"/>
        <s v="M7 TAKARÉK Szövetkezet" u="1"/>
        <s v="CENTRÁL TAKARÉK Szövetkezet" u="1"/>
        <s v="Nyugat Takarék Szövetkezet" u="1"/>
        <s v="Békés Takarék Szövetkezet" u="1"/>
        <s v="Polgári Bank Zrt" u="1"/>
        <s v="B3 Takarék Szövetkezet" u="1"/>
        <s v="Bóly és Vidéke Takarékszövetkezet" u="1"/>
        <s v="Tiszántúli Takarék Takarékszövetkez" u="1"/>
      </sharedItems>
    </cacheField>
    <cacheField name="ATM azonosító" numFmtId="0">
      <sharedItems/>
    </cacheField>
    <cacheField name="ATM típus" numFmtId="0">
      <sharedItems/>
    </cacheField>
    <cacheField name="ATM gyári száma" numFmtId="0">
      <sharedItems/>
    </cacheField>
    <cacheField name="Irányítószám" numFmtId="0">
      <sharedItems/>
    </cacheField>
    <cacheField name="Település" numFmtId="0">
      <sharedItems/>
    </cacheField>
    <cacheField name="Cím" numFmtId="0">
      <sharedItems/>
    </cacheField>
    <cacheField name="Check" numFmtId="0">
      <sharedItems/>
    </cacheField>
    <cacheField name="Karb/év" numFmtId="1">
      <sharedItems containsMixedTypes="1" containsNumber="1" containsInteger="1" minValue="0" maxValue="2"/>
    </cacheField>
    <cacheField name="Karb./akt.év" numFmtId="1">
      <sharedItems containsMixedTypes="1" containsNumber="1" containsInteger="1" minValue="0" maxValue="2"/>
    </cacheField>
    <cacheField name="Technikus - ÚJ" numFmtId="0">
      <sharedItems containsMixedTypes="1" containsNumber="1" containsInteger="1" minValue="0" maxValue="0" count="23">
        <s v="Kliment Péter"/>
        <s v="Pintér Zoltán"/>
        <s v="Matolcsi Szabolcs"/>
        <s v="Kocsis Zsolt"/>
        <s v="Tőke Tamás"/>
        <s v="Varga János"/>
        <s v="Babarik János"/>
        <s v="Török János"/>
        <s v="Tóth András"/>
        <s v="Farkas László"/>
        <s v="Klacsán Mihály"/>
        <s v="Farkas Szilárd"/>
        <s v="Rosenberger Gábor"/>
        <s v="ALL"/>
        <s v="Csibi Gyula"/>
        <s v="Pribék Zsolt"/>
        <s v="Pogácsás Zsolt"/>
        <s v="Radnai István"/>
        <e v="#N/A"/>
        <s v="Hajnali Barnabás"/>
        <s v="N/A"/>
        <s v="BéZé Banktechnika"/>
        <n v="0" u="1"/>
      </sharedItems>
    </cacheField>
    <cacheField name="Kész2020" numFmtId="0">
      <sharedItems containsMixedTypes="1" containsNumber="1" containsInteger="1" minValue="1" maxValue="3"/>
    </cacheField>
    <cacheField name="Kész2020_2" numFmtId="0">
      <sharedItems containsSemiMixedTypes="0" containsString="0" containsNumber="1" containsInteger="1" minValue="0" maxValue="3"/>
    </cacheField>
    <cacheField name="Hátravan" numFmtId="0">
      <sharedItems containsMixedTypes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zar, Zsuzsanna" refreshedDate="43976.396908333336" createdVersion="5" refreshedVersion="5" minRefreshableVersion="3" recordCount="2266" xr:uid="{00000000-000A-0000-FFFF-FFFF01000000}">
  <cacheSource type="worksheet">
    <worksheetSource ref="A1:N1048576" sheet="ADATOK"/>
  </cacheSource>
  <cacheFields count="14">
    <cacheField name="Ügyfél" numFmtId="0">
      <sharedItems containsBlank="1"/>
    </cacheField>
    <cacheField name="ATM azonosító" numFmtId="0">
      <sharedItems containsBlank="1"/>
    </cacheField>
    <cacheField name="ATM típus" numFmtId="0">
      <sharedItems containsBlank="1"/>
    </cacheField>
    <cacheField name="ATM gyári száma" numFmtId="0">
      <sharedItems containsBlank="1"/>
    </cacheField>
    <cacheField name="Irányítószám" numFmtId="0">
      <sharedItems containsBlank="1"/>
    </cacheField>
    <cacheField name="Település" numFmtId="0">
      <sharedItems containsBlank="1"/>
    </cacheField>
    <cacheField name="Cím" numFmtId="0">
      <sharedItems containsBlank="1"/>
    </cacheField>
    <cacheField name="Check" numFmtId="0">
      <sharedItems containsBlank="1"/>
    </cacheField>
    <cacheField name="Karb/év" numFmtId="1">
      <sharedItems containsBlank="1" containsMixedTypes="1" containsNumber="1" containsInteger="1" minValue="0" maxValue="2"/>
    </cacheField>
    <cacheField name="Karb./akt.év" numFmtId="1">
      <sharedItems containsBlank="1" containsMixedTypes="1" containsNumber="1" containsInteger="1" minValue="0" maxValue="2"/>
    </cacheField>
    <cacheField name="Technikus - ÚJ" numFmtId="0">
      <sharedItems containsBlank="1" containsMixedTypes="1" containsNumber="1" containsInteger="1" minValue="0" maxValue="0" count="24">
        <s v="Kliment Péter"/>
        <s v="Pintér Zoltán"/>
        <s v="Matolcsi Szabolcs"/>
        <s v="Kocsis Zsolt"/>
        <s v="Tőke Tamás"/>
        <s v="Varga János"/>
        <s v="Babarik János"/>
        <s v="Török János"/>
        <s v="Tóth András"/>
        <s v="Farkas László"/>
        <s v="Klacsán Mihály"/>
        <s v="Farkas Szilárd"/>
        <s v="Rosenberger Gábor"/>
        <s v="ALL"/>
        <s v="Csibi Gyula"/>
        <s v="Pribék Zsolt"/>
        <s v="Pogácsás Zsolt"/>
        <s v="Radnai István"/>
        <e v="#N/A"/>
        <s v="Hajnali Barnabás"/>
        <s v="N/A"/>
        <s v="BéZé Banktechnika"/>
        <m/>
        <n v="0" u="1"/>
      </sharedItems>
    </cacheField>
    <cacheField name="Kész2020" numFmtId="0">
      <sharedItems containsBlank="1" containsMixedTypes="1" containsNumber="1" containsInteger="1" minValue="1" maxValue="3"/>
    </cacheField>
    <cacheField name="Kész2020_2" numFmtId="0">
      <sharedItems containsString="0" containsBlank="1" containsNumber="1" containsInteger="1" minValue="0" maxValue="3"/>
    </cacheField>
    <cacheField name="Hátravan" numFmtId="0">
      <sharedItems containsBlank="1" containsMixedTypes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66">
  <r>
    <x v="0"/>
    <s v="CIB - ATM003"/>
    <s v="CINEO C4060 Frontload"/>
    <s v="5310152343"/>
    <s v="1027"/>
    <s v="Budapest"/>
    <s v="Medve u. 4-14"/>
    <s v="ok"/>
    <n v="1"/>
    <n v="1"/>
    <x v="0"/>
    <n v="1"/>
    <n v="1"/>
    <n v="0"/>
  </r>
  <r>
    <x v="0"/>
    <s v="CIB - ATM007"/>
    <s v="ProCash 2100xe Rearload"/>
    <s v="5300142617"/>
    <s v="4400"/>
    <s v="Nyíregyháza"/>
    <s v="H?sök tere 7."/>
    <s v="ok"/>
    <n v="1"/>
    <n v="1"/>
    <x v="1"/>
    <e v="#N/A"/>
    <n v="0"/>
    <n v="1"/>
  </r>
  <r>
    <x v="0"/>
    <s v="CIB - ATM008"/>
    <s v="OPT562 1GIG-DVD-UPS-LAN-A6-CEN3(4HIGH)"/>
    <s v="1562RH132410"/>
    <s v="3501"/>
    <s v="Miskolc"/>
    <s v="Déryné u. 11."/>
    <s v="ok"/>
    <n v="1"/>
    <n v="1"/>
    <x v="2"/>
    <e v="#N/A"/>
    <n v="0"/>
    <n v="1"/>
  </r>
  <r>
    <x v="0"/>
    <s v="CIB - ATM010"/>
    <s v="ProCash 2100xe Frontload"/>
    <s v="5300100743"/>
    <s v="5600"/>
    <s v="Békéscsaba"/>
    <s v="Andrássy út 2."/>
    <s v="ok"/>
    <n v="1"/>
    <n v="1"/>
    <x v="3"/>
    <e v="#N/A"/>
    <n v="0"/>
    <n v="1"/>
  </r>
  <r>
    <x v="0"/>
    <s v="CIB - ATM011"/>
    <s v="ProCash 2100xe Frontload"/>
    <s v="5300274951"/>
    <s v="6800"/>
    <s v="Hódmezővásárhely"/>
    <s v="Deák F.u. 15."/>
    <s v="ok"/>
    <n v="1"/>
    <n v="1"/>
    <x v="3"/>
    <n v="1"/>
    <n v="1"/>
    <n v="0"/>
  </r>
  <r>
    <x v="0"/>
    <s v="CIB - ATM012"/>
    <s v="Diebold-Opteva 720 ATM Indoor"/>
    <s v="1720VH120063"/>
    <s v="8200"/>
    <s v="Veszprém"/>
    <s v="Szeglethy u. 1."/>
    <s v="ok"/>
    <n v="1"/>
    <n v="1"/>
    <x v="4"/>
    <e v="#N/A"/>
    <n v="0"/>
    <n v="1"/>
  </r>
  <r>
    <x v="0"/>
    <s v="CIB - ATM013"/>
    <s v="CINEO C4060 Rearload"/>
    <s v="5310151653"/>
    <s v="9021"/>
    <s v="Győr"/>
    <s v="Aradi vértanúk útja 10."/>
    <s v="ok"/>
    <n v="1"/>
    <n v="1"/>
    <x v="5"/>
    <e v="#N/A"/>
    <n v="0"/>
    <n v="1"/>
  </r>
  <r>
    <x v="0"/>
    <s v="CIB - ATM014"/>
    <s v="OPT562 1GIG-DVD-UPS-LAN-A6-CEN3(4HIGH)"/>
    <s v="1562RH132408"/>
    <s v="8000"/>
    <s v="Székesfehérvár"/>
    <s v="Távirda u. 2/b"/>
    <s v="ok"/>
    <n v="1"/>
    <n v="1"/>
    <x v="4"/>
    <e v="#N/A"/>
    <n v="0"/>
    <n v="1"/>
  </r>
  <r>
    <x v="0"/>
    <s v="CIB - ATM015"/>
    <s v="CINEO C4560"/>
    <s v="5310152697"/>
    <s v="2100"/>
    <s v="Gödöllő"/>
    <s v="Szabadság tér 16-17."/>
    <s v="ok"/>
    <n v="1"/>
    <n v="1"/>
    <x v="6"/>
    <e v="#N/A"/>
    <n v="0"/>
    <n v="1"/>
  </r>
  <r>
    <x v="0"/>
    <s v="CIB - ATM016"/>
    <s v="ProCash 2100xe Frontload"/>
    <s v="5300275222"/>
    <s v="7100"/>
    <s v="Szekszárd"/>
    <s v="Garay tér 1."/>
    <s v="ok"/>
    <n v="1"/>
    <n v="1"/>
    <x v="7"/>
    <e v="#N/A"/>
    <n v="0"/>
    <n v="1"/>
  </r>
  <r>
    <x v="0"/>
    <s v="CIB - ATM020"/>
    <s v="Diebold-Opteva 720 ATM Indoor"/>
    <s v="1720V3300881"/>
    <s v="9700"/>
    <s v="Szombathely"/>
    <s v="Fő tér 33."/>
    <s v="ok"/>
    <n v="1"/>
    <n v="1"/>
    <x v="8"/>
    <e v="#N/A"/>
    <n v="0"/>
    <n v="1"/>
  </r>
  <r>
    <x v="0"/>
    <s v="CIB - ATM021"/>
    <s v="ProCash 2150xe"/>
    <s v="5300134914"/>
    <s v="6720"/>
    <s v="Szeged"/>
    <s v="Kiss Menyhért u. 1."/>
    <s v="ok"/>
    <n v="1"/>
    <n v="1"/>
    <x v="3"/>
    <e v="#N/A"/>
    <n v="0"/>
    <n v="1"/>
  </r>
  <r>
    <x v="0"/>
    <s v="CIB - ATM022"/>
    <s v="ProCash 2100xe Frontload"/>
    <s v="5300275162"/>
    <s v="2400"/>
    <s v="Dunaújváros"/>
    <s v="Dózsa Gy. u. 2."/>
    <s v="ok"/>
    <n v="1"/>
    <n v="1"/>
    <x v="7"/>
    <e v="#N/A"/>
    <n v="0"/>
    <n v="1"/>
  </r>
  <r>
    <x v="0"/>
    <s v="CIB - ATM025"/>
    <s v="Diebold-Opteva 720 ATM Indoor"/>
    <s v="1720VH120145"/>
    <s v="8800"/>
    <s v="Nagykanizsa"/>
    <s v="Király u. 53."/>
    <s v="ok"/>
    <n v="1"/>
    <n v="1"/>
    <x v="9"/>
    <e v="#N/A"/>
    <n v="0"/>
    <n v="1"/>
  </r>
  <r>
    <x v="0"/>
    <s v="CIB - ATM027"/>
    <s v="ProCash 2250xe"/>
    <s v="5300247896"/>
    <s v="2045"/>
    <s v="Törökbálint"/>
    <s v="Bajcsy-Zs. u. 75."/>
    <s v="ok"/>
    <n v="1"/>
    <n v="1"/>
    <x v="5"/>
    <n v="1"/>
    <n v="1"/>
    <n v="0"/>
  </r>
  <r>
    <x v="0"/>
    <s v="CIB - ATM028"/>
    <s v="ProCash 2100xe Frontload"/>
    <s v="5300195198"/>
    <s v="2045"/>
    <s v="Törökbálint"/>
    <s v="Bajcsy Zs. u. 75."/>
    <s v="ok"/>
    <n v="1"/>
    <n v="1"/>
    <x v="5"/>
    <n v="1"/>
    <n v="1"/>
    <n v="0"/>
  </r>
  <r>
    <x v="0"/>
    <s v="CIB - ATM029"/>
    <s v="Diebold-Opteva 720 ATM Indoor"/>
    <s v="1720VCF00010"/>
    <s v="3100"/>
    <s v="Salgótarján"/>
    <s v="Rákóczi u. 1-9"/>
    <s v="ok"/>
    <n v="1"/>
    <n v="1"/>
    <x v="10"/>
    <e v="#N/A"/>
    <n v="0"/>
    <n v="1"/>
  </r>
  <r>
    <x v="0"/>
    <s v="CIB - ATM030"/>
    <s v="OPT562 1GIG-DVD-UPS-LAN-A6-CEN3(4HIGH)"/>
    <s v="1562RH132406"/>
    <s v="3300"/>
    <s v="Eger"/>
    <s v="Érsek u.1."/>
    <s v="ok"/>
    <n v="1"/>
    <n v="1"/>
    <x v="2"/>
    <e v="#N/A"/>
    <n v="0"/>
    <n v="1"/>
  </r>
  <r>
    <x v="0"/>
    <s v="CIB - ATM031"/>
    <s v="ProCash 2150xe"/>
    <s v="5300104822"/>
    <s v="6000"/>
    <s v="Kecskemét"/>
    <s v="Csányi u. 1-3."/>
    <s v="ok"/>
    <n v="1"/>
    <n v="1"/>
    <x v="11"/>
    <n v="1"/>
    <n v="1"/>
    <n v="0"/>
  </r>
  <r>
    <x v="0"/>
    <s v="CIB - ATM033"/>
    <s v="ProCash 2100xe Frontload"/>
    <s v="5300275203"/>
    <s v="5900"/>
    <s v="Orosháza"/>
    <s v="Széchenyi tér 1."/>
    <s v="ok"/>
    <n v="1"/>
    <n v="1"/>
    <x v="3"/>
    <e v="#N/A"/>
    <n v="0"/>
    <n v="1"/>
  </r>
  <r>
    <x v="0"/>
    <s v="CIB - ATM034"/>
    <s v="Diebold-Opteva 720 ATM Indoor"/>
    <s v="1720VCF00012"/>
    <s v="5000"/>
    <s v="Szolnok"/>
    <s v="Szapáry u. 22"/>
    <s v="ok"/>
    <n v="1"/>
    <n v="1"/>
    <x v="11"/>
    <e v="#N/A"/>
    <n v="0"/>
    <n v="1"/>
  </r>
  <r>
    <x v="0"/>
    <s v="CIB - ATM035"/>
    <s v="Diebold-Opteva 760 ATM Outdoor"/>
    <s v="1760RH122173"/>
    <s v="3200"/>
    <s v="Gyöngyös"/>
    <s v="Szent Bertalan u. 1."/>
    <s v="ok"/>
    <n v="1"/>
    <n v="1"/>
    <x v="10"/>
    <n v="1"/>
    <n v="1"/>
    <n v="0"/>
  </r>
  <r>
    <x v="0"/>
    <s v="CIB - ATM037"/>
    <s v="Diebold-Opteva 720 ATM Indoor"/>
    <s v="1720VH120146"/>
    <s v="2600"/>
    <s v="Vác"/>
    <s v="Széchenyi u. 4-6."/>
    <s v="ok"/>
    <n v="1"/>
    <n v="1"/>
    <x v="6"/>
    <n v="1"/>
    <n v="1"/>
    <n v="0"/>
  </r>
  <r>
    <x v="0"/>
    <s v="CIB - ATM039"/>
    <s v="ProCash 2100xe Frontload"/>
    <s v="5300275250"/>
    <s v="6500"/>
    <s v="Baja"/>
    <s v="Déri Frigyes sétány 1-3."/>
    <s v="ok"/>
    <n v="1"/>
    <n v="1"/>
    <x v="12"/>
    <e v="#N/A"/>
    <n v="0"/>
    <n v="1"/>
  </r>
  <r>
    <x v="0"/>
    <s v="CIB - ATM040"/>
    <s v="ProCash 2100xe Frontload"/>
    <s v="5300208708"/>
    <s v="1075"/>
    <s v="Budapest"/>
    <s v="Károly krt. 3/b."/>
    <s v="ok"/>
    <n v="1"/>
    <n v="1"/>
    <x v="5"/>
    <e v="#N/A"/>
    <n v="0"/>
    <n v="1"/>
  </r>
  <r>
    <x v="0"/>
    <s v="CIB - ATM041"/>
    <s v="Diebold-Opteva 720 ATM Indoor"/>
    <s v="1720VH120053"/>
    <s v="1055"/>
    <s v="Budapest"/>
    <s v="Szent István krt. 15."/>
    <s v="ok"/>
    <n v="1"/>
    <n v="1"/>
    <x v="13"/>
    <e v="#N/A"/>
    <n v="0"/>
    <n v="1"/>
  </r>
  <r>
    <x v="0"/>
    <s v="CIB - ATM043"/>
    <s v="Diebold-Opteva 720 ATM Indoor"/>
    <s v="1720VH120062"/>
    <s v="2500"/>
    <s v="Esztergom"/>
    <s v="Széchenyi tér 24."/>
    <s v="ok"/>
    <n v="1"/>
    <n v="1"/>
    <x v="14"/>
    <n v="1"/>
    <n v="1"/>
    <n v="0"/>
  </r>
  <r>
    <x v="0"/>
    <s v="CIB - ATM044"/>
    <s v="ProCash 2100xe Frontload"/>
    <s v="5300275236"/>
    <s v="8900"/>
    <s v="Zalaegerszeg"/>
    <s v="Kossuth L. u. 8-10."/>
    <s v="ok"/>
    <n v="1"/>
    <n v="1"/>
    <x v="9"/>
    <e v="#N/A"/>
    <n v="0"/>
    <n v="1"/>
  </r>
  <r>
    <x v="0"/>
    <s v="CIB - ATM046"/>
    <s v="OPT562 1GIG-DVD-UPS-LAN-A6-CEN3(4HIGH)"/>
    <s v="1562RH132409"/>
    <s v="4700"/>
    <s v="Mátészalka"/>
    <s v="Kazinczy u. 2."/>
    <s v="ok"/>
    <n v="1"/>
    <n v="1"/>
    <x v="1"/>
    <e v="#N/A"/>
    <n v="0"/>
    <n v="1"/>
  </r>
  <r>
    <x v="0"/>
    <s v="CIB - ATM047"/>
    <s v="CINEO C4560"/>
    <s v="5310152889"/>
    <s v="1122"/>
    <s v="Budapest"/>
    <s v="Kékgolyó u. 1."/>
    <s v="ok"/>
    <n v="1"/>
    <n v="1"/>
    <x v="0"/>
    <e v="#N/A"/>
    <n v="0"/>
    <n v="1"/>
  </r>
  <r>
    <x v="0"/>
    <s v="CIB - ATM049"/>
    <s v="Diebold-Opteva 760 ATM Outdoor"/>
    <s v="1760RH120840"/>
    <s v="9400"/>
    <s v="Sopron"/>
    <s v="Várkerület u.73."/>
    <s v="ok"/>
    <n v="1"/>
    <n v="1"/>
    <x v="8"/>
    <n v="1"/>
    <n v="1"/>
    <n v="0"/>
  </r>
  <r>
    <x v="0"/>
    <s v="CIB - ATM054"/>
    <s v="ProCash 2100xe Frontload"/>
    <s v="5300208706"/>
    <s v="1043"/>
    <s v="Budapest"/>
    <s v="István u. 8."/>
    <s v="ok"/>
    <n v="1"/>
    <n v="1"/>
    <x v="5"/>
    <n v="1"/>
    <n v="1"/>
    <n v="0"/>
  </r>
  <r>
    <x v="0"/>
    <s v="CIB - ATM058"/>
    <s v="ProCash 2100xe Frontload"/>
    <s v="5300006240"/>
    <s v="1138"/>
    <s v="Budapest"/>
    <s v="Váci út 141."/>
    <s v="ok"/>
    <n v="1"/>
    <n v="1"/>
    <x v="5"/>
    <n v="1"/>
    <n v="1"/>
    <n v="0"/>
  </r>
  <r>
    <x v="0"/>
    <s v="CIB - ATM059"/>
    <s v="Diebold-Opteva 720 ATM Indoor"/>
    <s v="1720VH120058"/>
    <s v="1203"/>
    <s v="Budapest"/>
    <s v="Kossuth Lajos u. 21-29."/>
    <s v="ok"/>
    <n v="1"/>
    <n v="1"/>
    <x v="15"/>
    <n v="1"/>
    <n v="1"/>
    <n v="0"/>
  </r>
  <r>
    <x v="0"/>
    <s v="CIB - ATM061"/>
    <s v="Diebold-Opteva 520 ATM Indoor"/>
    <s v="1520VH120005"/>
    <s v="1039"/>
    <s v="Budapest"/>
    <s v="Mátyás kir. u. 24."/>
    <s v="ok"/>
    <n v="1"/>
    <n v="0"/>
    <x v="0"/>
    <e v="#N/A"/>
    <n v="0"/>
    <n v="0"/>
  </r>
  <r>
    <x v="0"/>
    <s v="CIB - ATM062"/>
    <s v="ProCash 2100xe Frontload"/>
    <s v="5300195196"/>
    <s v="2310"/>
    <s v="Szigetszentmiklós"/>
    <s v="Bajcsy Zs. u. 1/A."/>
    <s v="ok"/>
    <n v="1"/>
    <n v="1"/>
    <x v="5"/>
    <e v="#N/A"/>
    <n v="0"/>
    <n v="1"/>
  </r>
  <r>
    <x v="0"/>
    <s v="CIB - ATM065"/>
    <s v="ProCash 2100xe Frontload"/>
    <s v="5300274970"/>
    <s v="2000"/>
    <s v="Szentendre"/>
    <s v="Fő tér 14."/>
    <s v="ok"/>
    <n v="1"/>
    <n v="1"/>
    <x v="5"/>
    <n v="1"/>
    <n v="1"/>
    <n v="0"/>
  </r>
  <r>
    <x v="0"/>
    <s v="CIB - ATM068"/>
    <s v="ProCash 2100xe Frontload"/>
    <s v="5300154033"/>
    <s v="1148"/>
    <s v="Budapest"/>
    <s v="Örs vezér tér 24."/>
    <s v="ok"/>
    <n v="1"/>
    <n v="1"/>
    <x v="5"/>
    <e v="#N/A"/>
    <n v="0"/>
    <n v="1"/>
  </r>
  <r>
    <x v="0"/>
    <s v="CIB - ATM069"/>
    <s v="Diebold-Opteva 720 ATM Indoor"/>
    <s v="1720VH120056"/>
    <s v="1211"/>
    <s v="Budapest"/>
    <s v="Kossuth L. u. 82."/>
    <s v="ok"/>
    <n v="1"/>
    <n v="1"/>
    <x v="15"/>
    <n v="1"/>
    <n v="1"/>
    <n v="0"/>
  </r>
  <r>
    <x v="0"/>
    <s v="CIB - ATM071"/>
    <s v="ProCash 2150xe"/>
    <s v="5300092492"/>
    <s v="1173"/>
    <s v="Budapest"/>
    <s v="Pesti út 170."/>
    <s v="ok"/>
    <n v="1"/>
    <n v="1"/>
    <x v="5"/>
    <e v="#N/A"/>
    <n v="0"/>
    <n v="1"/>
  </r>
  <r>
    <x v="0"/>
    <s v="CIB - ATM072"/>
    <s v="ProCash 2100xe Frontload"/>
    <s v="5300057641"/>
    <s v="2120"/>
    <s v="Dunakeszi"/>
    <s v="Casalgrande tér 4."/>
    <s v="ok"/>
    <n v="1"/>
    <n v="1"/>
    <x v="6"/>
    <e v="#N/A"/>
    <n v="0"/>
    <n v="1"/>
  </r>
  <r>
    <x v="0"/>
    <s v="CIB - ATM073"/>
    <s v="ProCash 2100xe Frontload"/>
    <s v="5300057642"/>
    <s v="1117"/>
    <s v="Budapest"/>
    <s v="Tétényi út 63."/>
    <s v="ok"/>
    <n v="1"/>
    <n v="1"/>
    <x v="5"/>
    <e v="#N/A"/>
    <n v="0"/>
    <n v="1"/>
  </r>
  <r>
    <x v="0"/>
    <s v="CIB - ATM076"/>
    <s v="ProCash 2100xe Frontload"/>
    <s v="5300057640"/>
    <s v="1156"/>
    <s v="Budapest"/>
    <s v="Páskomliget u. 6."/>
    <s v="ok"/>
    <n v="1"/>
    <n v="1"/>
    <x v="6"/>
    <e v="#N/A"/>
    <n v="0"/>
    <n v="1"/>
  </r>
  <r>
    <x v="0"/>
    <s v="CIB - ATM078"/>
    <s v="ProCash 2100xe Frontload"/>
    <s v="5300100745"/>
    <s v="8600"/>
    <s v="Siófok"/>
    <s v="Siófok, Szabadság tér 15."/>
    <s v="ok"/>
    <n v="1"/>
    <n v="1"/>
    <x v="4"/>
    <e v="#N/A"/>
    <n v="0"/>
    <n v="1"/>
  </r>
  <r>
    <x v="0"/>
    <s v="CIB - ATM080"/>
    <s v="Diebold-Opteva 720 ATM Indoor"/>
    <s v="1720VH120051"/>
    <s v="1064"/>
    <s v="Budapest"/>
    <s v="Teréz krt. 21."/>
    <s v="ok"/>
    <n v="1"/>
    <n v="0"/>
    <x v="13"/>
    <e v="#N/A"/>
    <n v="0"/>
    <n v="0"/>
  </r>
  <r>
    <x v="0"/>
    <s v="CIB - ATM083"/>
    <s v="ProCash 2100xe Frontload"/>
    <s v="5300121104"/>
    <s v="1221"/>
    <s v="Budapest"/>
    <s v="Nagytétényi út 37-43."/>
    <s v="ok"/>
    <n v="1"/>
    <n v="1"/>
    <x v="5"/>
    <e v="#N/A"/>
    <n v="0"/>
    <n v="1"/>
  </r>
  <r>
    <x v="0"/>
    <s v="CIB - ATM084"/>
    <s v="ProCash 2100xe Frontload"/>
    <s v="5300121125"/>
    <s v="2030"/>
    <s v="Érd"/>
    <s v="Budai út 22."/>
    <s v="ok"/>
    <n v="1"/>
    <n v="1"/>
    <x v="5"/>
    <n v="1"/>
    <n v="1"/>
    <n v="0"/>
  </r>
  <r>
    <x v="0"/>
    <s v="CIB - ATM088"/>
    <s v="ProCash 2100xe Frontload"/>
    <s v="5300142615"/>
    <s v="2700"/>
    <s v="Cegléd"/>
    <s v="Szabadság tér 8."/>
    <s v="ok"/>
    <n v="1"/>
    <n v="1"/>
    <x v="6"/>
    <e v="#N/A"/>
    <n v="0"/>
    <n v="1"/>
  </r>
  <r>
    <x v="0"/>
    <s v="CIB - ATM094"/>
    <s v="ProCash 2100xe Frontload"/>
    <s v="5300142618"/>
    <s v="1024"/>
    <s v="Budapest"/>
    <s v="Petrezselyem u. 2-8."/>
    <s v="ok"/>
    <n v="1"/>
    <n v="1"/>
    <x v="5"/>
    <e v="#N/A"/>
    <n v="0"/>
    <n v="1"/>
  </r>
  <r>
    <x v="0"/>
    <s v="CIB - ATM109"/>
    <s v="ProCash 2150xe"/>
    <s v="5300151253"/>
    <s v="7621"/>
    <s v="Pécs"/>
    <s v="Irgalmasok u. 3/1."/>
    <s v="ok"/>
    <n v="1"/>
    <n v="1"/>
    <x v="12"/>
    <e v="#N/A"/>
    <n v="0"/>
    <n v="1"/>
  </r>
  <r>
    <x v="0"/>
    <s v="CIB - ATM111"/>
    <s v="ProCash 2100xe Frontload"/>
    <s v="5300153989"/>
    <s v="3700"/>
    <s v="Kazincbarcika"/>
    <s v="Egressy Béni út 1/c"/>
    <s v="ok"/>
    <n v="1"/>
    <n v="1"/>
    <x v="2"/>
    <n v="1"/>
    <n v="1"/>
    <n v="0"/>
  </r>
  <r>
    <x v="0"/>
    <s v="CIB - ATM114"/>
    <s v="ProCash 2100xe Frontload"/>
    <s v="5300195199"/>
    <s v="2220"/>
    <s v="Vecsés"/>
    <s v="Telepi út 58."/>
    <s v="ok"/>
    <n v="1"/>
    <n v="1"/>
    <x v="6"/>
    <e v="#N/A"/>
    <n v="0"/>
    <n v="1"/>
  </r>
  <r>
    <x v="0"/>
    <s v="CIB - ATM123"/>
    <s v="Diebold-Opteva 720 ATM Indoor"/>
    <s v="1720VH120055"/>
    <s v="1149"/>
    <s v="Budapest"/>
    <s v="Bosnyák tér 9."/>
    <s v="ok"/>
    <n v="1"/>
    <n v="1"/>
    <x v="14"/>
    <n v="1"/>
    <n v="1"/>
    <n v="0"/>
  </r>
  <r>
    <x v="0"/>
    <s v="CIB - ATM135"/>
    <s v="CINEO C4040 Rearload"/>
    <s v="5310011429"/>
    <s v="4025"/>
    <s v="Debrecen"/>
    <s v="Piac u 1-3"/>
    <s v="ok"/>
    <n v="1"/>
    <n v="1"/>
    <x v="16"/>
    <e v="#N/A"/>
    <n v="0"/>
    <n v="1"/>
  </r>
  <r>
    <x v="0"/>
    <s v="CIB - ATM138"/>
    <s v="CINEO C4040 Rearload"/>
    <s v="5310011368"/>
    <s v="1073"/>
    <s v="Budapest"/>
    <s v="Erzsébet krt. 2."/>
    <s v="ok"/>
    <n v="1"/>
    <n v="1"/>
    <x v="13"/>
    <e v="#N/A"/>
    <n v="0"/>
    <n v="1"/>
  </r>
  <r>
    <x v="0"/>
    <s v="CIB - ATM139"/>
    <s v="Diebold-Opteva 760 ATM Outdoor"/>
    <s v="1760RH120842"/>
    <s v="1065"/>
    <s v="Budapest"/>
    <s v="Bajcsy-Zsilinszky út 5-7."/>
    <s v="ok"/>
    <n v="1"/>
    <n v="1"/>
    <x v="13"/>
    <n v="1"/>
    <n v="1"/>
    <n v="0"/>
  </r>
  <r>
    <x v="0"/>
    <s v="CIB - ATM143"/>
    <s v="Diebold-Opteva 720 ATM Indoor"/>
    <s v="1720VH120107"/>
    <s v="1117"/>
    <s v="Budapest"/>
    <s v="Október 23-a utca 6-8."/>
    <s v="ok"/>
    <n v="1"/>
    <n v="1"/>
    <x v="17"/>
    <n v="1"/>
    <n v="1"/>
    <n v="0"/>
  </r>
  <r>
    <x v="0"/>
    <s v="CIB - ATM156"/>
    <s v="Diebold-Opteva 720 ATM Indoor"/>
    <s v="1720VH120091"/>
    <s v="1184"/>
    <s v="Budapest"/>
    <s v="Üllői út 366."/>
    <s v="ok"/>
    <n v="1"/>
    <n v="1"/>
    <x v="15"/>
    <n v="1"/>
    <n v="1"/>
    <n v="0"/>
  </r>
  <r>
    <x v="0"/>
    <s v="CIB - ATM158"/>
    <s v="CINEO C4560"/>
    <s v="5310152694"/>
    <s v="2800"/>
    <s v="Tatabánya"/>
    <s v="Fő tér 10."/>
    <s v="ok"/>
    <n v="1"/>
    <n v="1"/>
    <x v="5"/>
    <e v="#N/A"/>
    <n v="0"/>
    <n v="1"/>
  </r>
  <r>
    <x v="0"/>
    <s v="CIB - ATM159"/>
    <s v="Diebold-Opteva 560 ATM Outdoor"/>
    <s v="1560R3300737"/>
    <s v="1165"/>
    <s v="Budapest"/>
    <s v="Veres Péter u. 105."/>
    <s v="ok"/>
    <n v="1"/>
    <n v="1"/>
    <x v="6"/>
    <n v="1"/>
    <n v="1"/>
    <n v="0"/>
  </r>
  <r>
    <x v="0"/>
    <s v="CIB - ATM160"/>
    <s v="Diebold-Opteva 560 ATM Outdoor"/>
    <s v="1560R3301866"/>
    <s v="2040"/>
    <s v="Budaörs"/>
    <s v="Szabadság út 93."/>
    <s v="ok"/>
    <n v="1"/>
    <n v="1"/>
    <x v="17"/>
    <n v="1"/>
    <n v="1"/>
    <n v="0"/>
  </r>
  <r>
    <x v="0"/>
    <s v="CIB - ATM163"/>
    <s v="Diebold-Opteva 520 ATM Indoor"/>
    <s v="1520V3300691"/>
    <s v="1094"/>
    <s v="Budapest"/>
    <s v="Ferenc krt.15."/>
    <s v="ok"/>
    <n v="1"/>
    <n v="1"/>
    <x v="17"/>
    <n v="1"/>
    <n v="1"/>
    <n v="0"/>
  </r>
  <r>
    <x v="0"/>
    <s v="CIB - ATM164"/>
    <s v="Diebold-Opteva 520 ATM Indoor"/>
    <s v="1520FH120030"/>
    <s v="7400"/>
    <s v="Kaposvár"/>
    <s v="Fő u. 13."/>
    <s v="ok"/>
    <n v="1"/>
    <n v="1"/>
    <x v="12"/>
    <e v="#N/A"/>
    <n v="0"/>
    <n v="1"/>
  </r>
  <r>
    <x v="0"/>
    <s v="CIB - ATM169"/>
    <s v="Diebold-Opteva 760 ATM Outdoor"/>
    <s v="1760RH121470"/>
    <s v="1191"/>
    <s v="Budapest"/>
    <s v="Vak Bottyán u. 75. A-C"/>
    <s v="ok"/>
    <n v="1"/>
    <n v="1"/>
    <x v="10"/>
    <n v="1"/>
    <n v="1"/>
    <n v="0"/>
  </r>
  <r>
    <x v="0"/>
    <s v="CIB - ATM601"/>
    <s v="ProCash 2050xe"/>
    <s v="5300076627"/>
    <s v="9090"/>
    <s v="Pannonhalma"/>
    <s v="Vár 1.#Pannonhalmi#Főapátság#turistafogadó"/>
    <s v="ok"/>
    <n v="1"/>
    <n v="1"/>
    <x v="5"/>
    <n v="1"/>
    <n v="1"/>
    <n v="0"/>
  </r>
  <r>
    <x v="0"/>
    <s v="CIB - ATM604"/>
    <s v="Diebold-Opteva 750 ATM Outdoor"/>
    <s v="1750F3320060"/>
    <s v="3000"/>
    <s v="Hatvan"/>
    <s v="Robert Bosch u. 3."/>
    <s v="ok"/>
    <n v="1"/>
    <n v="1"/>
    <x v="10"/>
    <e v="#N/A"/>
    <n v="0"/>
    <n v="1"/>
  </r>
  <r>
    <x v="0"/>
    <s v="CIB - ATM605"/>
    <s v="ProCash 2150xe"/>
    <s v="5300151252"/>
    <s v="8000"/>
    <s v="Székesfehérvár"/>
    <s v="Berényi út 72-100."/>
    <s v="ok"/>
    <n v="1"/>
    <n v="1"/>
    <x v="4"/>
    <e v="#N/A"/>
    <n v="0"/>
    <n v="1"/>
  </r>
  <r>
    <x v="0"/>
    <s v="CIB - ATM606"/>
    <s v="ProCash 2100xe Frontload"/>
    <s v="5300199608"/>
    <s v="1123"/>
    <s v="Budapest"/>
    <s v="Alkotás u. 53..MOM park"/>
    <s v="ok"/>
    <n v="1"/>
    <n v="1"/>
    <x v="5"/>
    <e v="#N/A"/>
    <n v="0"/>
    <n v="1"/>
  </r>
  <r>
    <x v="0"/>
    <s v="CIB - ATM607"/>
    <s v="ProCash 2100xe Frontload"/>
    <s v="5300142690"/>
    <s v="8000"/>
    <s v="Székesfehérvár"/>
    <s v="Palotai út 6..Fehérpalota üzletház"/>
    <s v="ok"/>
    <n v="1"/>
    <n v="1"/>
    <x v="4"/>
    <e v="#N/A"/>
    <n v="0"/>
    <n v="1"/>
  </r>
  <r>
    <x v="0"/>
    <s v="CIB - ATM608"/>
    <s v="ProCash 2350xe"/>
    <s v="5300215425"/>
    <s v="1106"/>
    <s v="Budapest"/>
    <s v="Fehér út 1."/>
    <s v="ok"/>
    <n v="1"/>
    <n v="1"/>
    <x v="5"/>
    <e v="#N/A"/>
    <n v="0"/>
    <n v="1"/>
  </r>
  <r>
    <x v="0"/>
    <s v="CIB - ATM609"/>
    <s v="OPT562 1GIG-DVD-UPS-LAN-A6-CEN3(4HIGH)"/>
    <s v="1562RH132407"/>
    <s v="1011"/>
    <s v="Budapest"/>
    <s v="Batthyányi tér"/>
    <s v="ok"/>
    <n v="1"/>
    <n v="1"/>
    <x v="13"/>
    <n v="1"/>
    <n v="1"/>
    <n v="0"/>
  </r>
  <r>
    <x v="0"/>
    <s v="CIB - ATM610"/>
    <s v="ProCash 2350xe"/>
    <s v="5300225669"/>
    <s v="1038"/>
    <s v="Budapest"/>
    <s v="Ország út 3."/>
    <s v="ok"/>
    <n v="1"/>
    <n v="1"/>
    <x v="5"/>
    <n v="1"/>
    <n v="1"/>
    <n v="0"/>
  </r>
  <r>
    <x v="0"/>
    <s v="CIB - ATM611"/>
    <s v="ProCash 2350xe"/>
    <s v="5300225667"/>
    <s v="1214"/>
    <s v="Budapest"/>
    <s v="II. Rákóczi F. út 174."/>
    <s v="ok"/>
    <n v="1"/>
    <n v="1"/>
    <x v="5"/>
    <n v="1"/>
    <n v="1"/>
    <n v="0"/>
  </r>
  <r>
    <x v="0"/>
    <s v="CIB - ATM612"/>
    <s v="ProCash 2100xe Frontload"/>
    <s v="5300199609"/>
    <s v="1097"/>
    <s v="Budapest"/>
    <s v="Koppány u. 2-4. (Tesco áruház)"/>
    <s v="ok"/>
    <n v="1"/>
    <n v="1"/>
    <x v="5"/>
    <e v="#N/A"/>
    <n v="0"/>
    <n v="1"/>
  </r>
  <r>
    <x v="0"/>
    <s v="CIB - ATM613"/>
    <s v="OPT562 1GIG-DVD-UPS-LAN-A6-CEN3(4HIGH)"/>
    <s v="1562RH128143"/>
    <s v="1066"/>
    <s v="Budapest"/>
    <s v="Teréz krt. 42-44."/>
    <s v="ok"/>
    <n v="1"/>
    <n v="1"/>
    <x v="13"/>
    <n v="1"/>
    <n v="1"/>
    <n v="0"/>
  </r>
  <r>
    <x v="0"/>
    <s v="CIB - ATM614"/>
    <s v="ProCash 2150xe"/>
    <s v="5300204503"/>
    <s v="1132"/>
    <s v="Budapest"/>
    <s v="Váci út 36-38."/>
    <s v="ok"/>
    <n v="1"/>
    <n v="1"/>
    <x v="5"/>
    <e v="#N/A"/>
    <n v="0"/>
    <n v="1"/>
  </r>
  <r>
    <x v="0"/>
    <s v="CIB - ATM616"/>
    <s v="ProCash 2100xe Frontload"/>
    <s v="5300199632"/>
    <s v="1204"/>
    <s v="Budapest"/>
    <s v="Mártírok útja 281."/>
    <s v="ok"/>
    <n v="1"/>
    <n v="1"/>
    <x v="5"/>
    <e v="#N/A"/>
    <n v="0"/>
    <n v="1"/>
  </r>
  <r>
    <x v="0"/>
    <s v="CIB - ATM617"/>
    <s v="ProCash 2100xe Frontload"/>
    <s v="5300199631"/>
    <s v="2040"/>
    <s v="Budaörs"/>
    <s v="Kinizsi út 1-3."/>
    <s v="ok"/>
    <n v="1"/>
    <n v="1"/>
    <x v="5"/>
    <e v="#N/A"/>
    <n v="0"/>
    <n v="1"/>
  </r>
  <r>
    <x v="0"/>
    <s v="CIB - ATM618"/>
    <s v="ProCash 2150xe"/>
    <s v="5300204505"/>
    <s v="2120"/>
    <s v="Dunakeszi"/>
    <s v="Toldi M. u. 2."/>
    <s v="ok"/>
    <n v="1"/>
    <n v="1"/>
    <x v="6"/>
    <e v="#N/A"/>
    <n v="0"/>
    <n v="1"/>
  </r>
  <r>
    <x v="0"/>
    <s v="CIB - ATM619"/>
    <s v="ProCash 2100xe Frontload"/>
    <s v="5300208703"/>
    <s v="2600"/>
    <s v="Vác"/>
    <s v="Kőhídpark dülő 2."/>
    <s v="ok"/>
    <n v="1"/>
    <n v="1"/>
    <x v="6"/>
    <e v="#N/A"/>
    <n v="0"/>
    <n v="1"/>
  </r>
  <r>
    <x v="0"/>
    <s v="CIB - ATM620"/>
    <s v="ProCash 2350xe"/>
    <s v="5300259832"/>
    <s v="1123"/>
    <s v="Budapest"/>
    <s v="Alkotás u. 53."/>
    <s v="ok"/>
    <n v="1"/>
    <n v="1"/>
    <x v="5"/>
    <e v="#N/A"/>
    <n v="0"/>
    <n v="1"/>
  </r>
  <r>
    <x v="0"/>
    <s v="CIB - ATM626"/>
    <s v="ProCash 2100xe Frontload"/>
    <s v="5300208705"/>
    <s v="1093"/>
    <s v="Budapest"/>
    <s v="Fővám tér 9."/>
    <s v="ok"/>
    <n v="1"/>
    <n v="1"/>
    <x v="5"/>
    <e v="#N/A"/>
    <n v="0"/>
    <n v="1"/>
  </r>
  <r>
    <x v="0"/>
    <s v="CIB - ATM628"/>
    <s v="Diebold-Opteva 760 ATM Outdoor"/>
    <s v="1760RH120708"/>
    <s v="5000"/>
    <s v="Szolnok"/>
    <s v="Délibáb u. 4-6."/>
    <s v="ok"/>
    <n v="1"/>
    <n v="1"/>
    <x v="11"/>
    <e v="#N/A"/>
    <n v="0"/>
    <n v="1"/>
  </r>
  <r>
    <x v="0"/>
    <s v="CIB - ATM629"/>
    <s v="Diebold-Opteva 760 ATM Outdoor"/>
    <s v="1760RH120719"/>
    <s v="2330"/>
    <s v="Dunaharaszti"/>
    <s v="Némedi út 102/A."/>
    <s v="ok"/>
    <n v="1"/>
    <n v="1"/>
    <x v="15"/>
    <n v="1"/>
    <n v="1"/>
    <n v="0"/>
  </r>
  <r>
    <x v="0"/>
    <s v="CIB - ATM630"/>
    <s v="Diebold-Opteva 760 ATM Outdoor"/>
    <s v="1760RH120720"/>
    <s v="6000"/>
    <s v="Kecskemét"/>
    <s v="Szolnoki út 18."/>
    <s v="ok"/>
    <n v="1"/>
    <n v="1"/>
    <x v="11"/>
    <e v="#N/A"/>
    <n v="0"/>
    <n v="1"/>
  </r>
  <r>
    <x v="0"/>
    <s v="CIB - ATM631"/>
    <s v="Diebold-Opteva 760 ATM Outdoor"/>
    <s v="1760RH120710"/>
    <s v="9600"/>
    <s v="Sárvár"/>
    <s v="Rákóczi út 12."/>
    <s v="ok"/>
    <n v="1"/>
    <n v="1"/>
    <x v="8"/>
    <e v="#N/A"/>
    <n v="0"/>
    <n v="1"/>
  </r>
  <r>
    <x v="0"/>
    <s v="CIB - ATM632"/>
    <s v="Diebold-Opteva 760 ATM Outdoor"/>
    <s v="1760RH120721"/>
    <s v="5700"/>
    <s v="Gyula"/>
    <s v="Szent István u. 67-69."/>
    <s v="ok"/>
    <n v="1"/>
    <n v="1"/>
    <x v="3"/>
    <e v="#N/A"/>
    <n v="0"/>
    <n v="1"/>
  </r>
  <r>
    <x v="0"/>
    <s v="CIB - ATM633"/>
    <s v="Diebold-Opteva 760 ATM Outdoor"/>
    <s v="1760RH120701"/>
    <s v="2700"/>
    <s v="Cegléd"/>
    <s v="Törteli út 2."/>
    <s v="ok"/>
    <n v="1"/>
    <n v="1"/>
    <x v="6"/>
    <e v="#N/A"/>
    <n v="0"/>
    <n v="1"/>
  </r>
  <r>
    <x v="0"/>
    <s v="CIB - ATM634"/>
    <s v="Diebold-Opteva 760 ATM Outdoor"/>
    <s v="1760RH120711"/>
    <s v="2000"/>
    <s v="Szentendre"/>
    <s v="Dózsa György út 20/a"/>
    <s v="ok"/>
    <n v="1"/>
    <n v="1"/>
    <x v="14"/>
    <e v="#N/A"/>
    <n v="0"/>
    <n v="1"/>
  </r>
  <r>
    <x v="0"/>
    <s v="CIB - ATM635"/>
    <s v="Diebold-Opteva 760 ATM Outdoor"/>
    <s v="1760RH120726"/>
    <s v="7200"/>
    <s v="Dombóvár"/>
    <s v="Kórház u.55"/>
    <s v="ok"/>
    <n v="1"/>
    <n v="0"/>
    <x v="12"/>
    <e v="#N/A"/>
    <n v="0"/>
    <n v="0"/>
  </r>
  <r>
    <x v="0"/>
    <s v="CIB - ATM636"/>
    <s v="Diebold-Opteva 760 ATM Outdoor"/>
    <s v="1760RH120723"/>
    <s v="5600"/>
    <s v="Békéscsaba"/>
    <s v="Corvin u. 29-33."/>
    <s v="ok"/>
    <n v="1"/>
    <n v="1"/>
    <x v="3"/>
    <e v="#N/A"/>
    <n v="0"/>
    <n v="1"/>
  </r>
  <r>
    <x v="0"/>
    <s v="CIB - ATM637"/>
    <s v="Diebold-Opteva 760 ATM Outdoor"/>
    <s v="1760RH120700"/>
    <s v="1180"/>
    <s v="Budapest"/>
    <s v="Margó Tivadar u. 83."/>
    <s v="ok"/>
    <n v="1"/>
    <n v="1"/>
    <x v="15"/>
    <n v="1"/>
    <n v="1"/>
    <n v="0"/>
  </r>
  <r>
    <x v="0"/>
    <s v="CIB - ATM638"/>
    <s v="Diebold-Opteva 760 ATM Outdoor"/>
    <s v="1760RH120722"/>
    <s v="8000"/>
    <s v="Székesfehérvár"/>
    <s v="Balatoni u. 21."/>
    <s v="ok"/>
    <n v="1"/>
    <n v="1"/>
    <x v="4"/>
    <e v="#N/A"/>
    <n v="0"/>
    <n v="1"/>
  </r>
  <r>
    <x v="0"/>
    <s v="CIB - ATM639"/>
    <s v="Diebold-Opteva 760 ATM Outdoor"/>
    <s v="1760RH120725"/>
    <s v="4600"/>
    <s v="Kisvárda"/>
    <s v="Attila u. 2/A."/>
    <s v="ok"/>
    <n v="1"/>
    <n v="0"/>
    <x v="1"/>
    <e v="#N/A"/>
    <n v="0"/>
    <n v="0"/>
  </r>
  <r>
    <x v="0"/>
    <s v="CIB - ATM640"/>
    <s v="Diebold-Opteva 750 ATM Outdoor"/>
    <s v="1750F3320058"/>
    <s v="6723"/>
    <s v="Szeged"/>
    <s v="Makkosházi krt. 51"/>
    <s v="ok"/>
    <n v="1"/>
    <n v="1"/>
    <x v="3"/>
    <e v="#N/A"/>
    <n v="0"/>
    <n v="1"/>
  </r>
  <r>
    <x v="0"/>
    <s v="CIB - ATM641"/>
    <s v="Diebold-Opteva 760 ATM Outdoor"/>
    <s v="1760RH120724"/>
    <s v="7400"/>
    <s v="Kaposvár"/>
    <s v="Bereck S. u. 2."/>
    <s v="ok"/>
    <n v="1"/>
    <n v="1"/>
    <x v="12"/>
    <e v="#N/A"/>
    <n v="0"/>
    <n v="1"/>
  </r>
  <r>
    <x v="0"/>
    <s v="CIB - ATM642"/>
    <s v="Diebold-Opteva 760 ATM Outdoor"/>
    <s v="1760RH120709"/>
    <s v="8500"/>
    <s v="Pápa"/>
    <s v="Jókai Mór u. 57."/>
    <s v="ok"/>
    <n v="1"/>
    <n v="1"/>
    <x v="8"/>
    <e v="#N/A"/>
    <n v="0"/>
    <n v="1"/>
  </r>
  <r>
    <x v="0"/>
    <s v="CIB - ATM643"/>
    <s v="ProCash 2150xe"/>
    <s v="5300236327"/>
    <s v="8900"/>
    <s v="Zalaegerszeg"/>
    <s v="Landorhegyi u. 25."/>
    <s v="ok"/>
    <n v="1"/>
    <n v="1"/>
    <x v="9"/>
    <e v="#N/A"/>
    <n v="0"/>
    <n v="1"/>
  </r>
  <r>
    <x v="0"/>
    <s v="CIB - ATM648"/>
    <s v="ProCash 2150xe"/>
    <s v="5300236372"/>
    <s v="8800"/>
    <s v="Nagykanizsa"/>
    <s v="Báthory u. 2."/>
    <s v="ok"/>
    <n v="1"/>
    <n v="0"/>
    <x v="9"/>
    <e v="#N/A"/>
    <n v="0"/>
    <n v="0"/>
  </r>
  <r>
    <x v="0"/>
    <s v="CIB - ATM649"/>
    <s v="Diebold-Opteva 750 ATM Outdoor"/>
    <s v="1750F3320057"/>
    <s v="6000"/>
    <s v="Kecskemét"/>
    <s v="Noszlopy park 1."/>
    <s v="ok"/>
    <n v="1"/>
    <n v="1"/>
    <x v="11"/>
    <e v="#N/A"/>
    <n v="0"/>
    <n v="1"/>
  </r>
  <r>
    <x v="0"/>
    <s v="CIB - ATM652"/>
    <s v="OPT562 1GIG-DVD-UPS-LAN-A6-CEN3(4HIGH)"/>
    <s v="1562RH129812"/>
    <s v="6100"/>
    <s v="Kiskunfélegyháza"/>
    <s v="Petőfi Sándor u. 2/a"/>
    <s v="ok"/>
    <n v="1"/>
    <n v="1"/>
    <x v="11"/>
    <e v="#N/A"/>
    <n v="0"/>
    <n v="1"/>
  </r>
  <r>
    <x v="0"/>
    <s v="CIB - ATM657"/>
    <s v="Diebold-Opteva 750 ATM Outdoor"/>
    <s v="1750F3320056"/>
    <s v="2660"/>
    <s v="Balassagyarmat"/>
    <s v="Ipolypart út HRSZ 709/10"/>
    <s v="ok"/>
    <n v="1"/>
    <n v="0"/>
    <x v="6"/>
    <e v="#N/A"/>
    <n v="0"/>
    <n v="0"/>
  </r>
  <r>
    <x v="0"/>
    <s v="CIB - ATM661"/>
    <s v="ProCash 2150xe"/>
    <s v="5300236424"/>
    <s v="8600"/>
    <s v="Siófok"/>
    <s v="Fő utca 71-78."/>
    <s v="ok"/>
    <n v="1"/>
    <n v="0"/>
    <x v="4"/>
    <e v="#N/A"/>
    <n v="0"/>
    <n v="0"/>
  </r>
  <r>
    <x v="0"/>
    <s v="CIB - ATM663"/>
    <s v="OPT562 1GIG-DVD-UPS-LAN-A6-CEN3(4HIGH)"/>
    <s v="1562RH129810"/>
    <s v="4400"/>
    <s v="Nyíregyháza"/>
    <s v="Petőfi tér"/>
    <s v="ok"/>
    <n v="1"/>
    <n v="1"/>
    <x v="1"/>
    <e v="#N/A"/>
    <n v="0"/>
    <n v="1"/>
  </r>
  <r>
    <x v="0"/>
    <s v="CIB - ATM664"/>
    <s v="CINEO C4060 Frontload"/>
    <s v="5310152318"/>
    <s v="1043"/>
    <s v="Budapest"/>
    <s v="István u. 8."/>
    <s v="ok"/>
    <e v="#N/A"/>
    <e v="#N/A"/>
    <x v="18"/>
    <e v="#N/A"/>
    <n v="0"/>
    <e v="#N/A"/>
  </r>
  <r>
    <x v="0"/>
    <s v="CIB - ATM666"/>
    <s v="OPT562 1GIG-DVD-UPS-LAN-A6-CEN3(4HIGH)"/>
    <s v="1562RH130106"/>
    <s v="1026"/>
    <s v="Budapest"/>
    <s v="Gábor Á. u 74-78."/>
    <s v="ok"/>
    <n v="1"/>
    <n v="1"/>
    <x v="0"/>
    <n v="1"/>
    <n v="1"/>
    <n v="0"/>
  </r>
  <r>
    <x v="0"/>
    <s v="CIB - ATM667"/>
    <s v="ProCash 2100xe Frontload"/>
    <s v="5300162749"/>
    <s v="1027"/>
    <s v="Budapest"/>
    <s v="Gábor Áron u. 74-78..Rózsakert Üzletház"/>
    <s v="ok"/>
    <n v="1"/>
    <n v="1"/>
    <x v="5"/>
    <e v="#N/A"/>
    <n v="0"/>
    <n v="1"/>
  </r>
  <r>
    <x v="0"/>
    <s v="CIB - ATM668"/>
    <s v="ProCash 2100xe Frontload"/>
    <s v="5300208709"/>
    <s v="2481"/>
    <s v="Velence"/>
    <s v="Béke út"/>
    <s v="ok"/>
    <n v="1"/>
    <n v="1"/>
    <x v="5"/>
    <n v="1"/>
    <n v="1"/>
    <n v="0"/>
  </r>
  <r>
    <x v="0"/>
    <s v="CIB - ATM669"/>
    <s v="ProCash 2100xe Frontload"/>
    <s v="5300236575"/>
    <s v="6729"/>
    <s v="Szeged"/>
    <s v="Szabadkai út 7."/>
    <s v="ok"/>
    <n v="1"/>
    <n v="1"/>
    <x v="3"/>
    <e v="#N/A"/>
    <n v="0"/>
    <n v="1"/>
  </r>
  <r>
    <x v="0"/>
    <s v="CIB - ATM670"/>
    <s v="Diebold-Opteva 720 ATM Indoor"/>
    <s v="1520FH121954"/>
    <s v="1032"/>
    <s v="Budapest"/>
    <s v="Bécsi út 258."/>
    <s v="ok"/>
    <n v="1"/>
    <n v="1"/>
    <x v="0"/>
    <n v="1"/>
    <n v="1"/>
    <n v="0"/>
  </r>
  <r>
    <x v="0"/>
    <s v="CIB - ATM671"/>
    <s v="ProCash 2100xe Frontload"/>
    <s v="5300236582"/>
    <s v="3527"/>
    <s v="Miskolc"/>
    <s v="Szentpéteri kapu 103"/>
    <s v="ok"/>
    <n v="1"/>
    <n v="1"/>
    <x v="2"/>
    <e v="#N/A"/>
    <n v="0"/>
    <n v="1"/>
  </r>
  <r>
    <x v="0"/>
    <s v="CIB - ATM672"/>
    <s v="ProCash 2100xe Frontload"/>
    <s v="5300236589"/>
    <s v="3000"/>
    <s v="Hatvan"/>
    <s v="Bibó István út 1."/>
    <s v="ok"/>
    <n v="1"/>
    <n v="1"/>
    <x v="10"/>
    <e v="#N/A"/>
    <n v="0"/>
    <n v="1"/>
  </r>
  <r>
    <x v="0"/>
    <s v="CIB - ATM673"/>
    <s v="ProCash 2100xe Frontload"/>
    <s v="5300236561"/>
    <s v="1044"/>
    <s v="Budapest"/>
    <s v="Íves út 16."/>
    <s v="ok"/>
    <n v="1"/>
    <n v="1"/>
    <x v="5"/>
    <e v="#N/A"/>
    <n v="0"/>
    <n v="1"/>
  </r>
  <r>
    <x v="0"/>
    <s v="CIB - ATM674"/>
    <s v="ProCash 2100xe Frontload"/>
    <s v="5300236605"/>
    <s v="1044"/>
    <s v="Budapest"/>
    <s v="Íves út 16."/>
    <s v="ok"/>
    <n v="1"/>
    <n v="1"/>
    <x v="5"/>
    <e v="#N/A"/>
    <n v="0"/>
    <n v="1"/>
  </r>
  <r>
    <x v="0"/>
    <s v="CIB - ATM675"/>
    <s v="ProCash 2100xe Frontload"/>
    <s v="5300236628"/>
    <s v="2500"/>
    <s v="Esztergom"/>
    <s v="Mátyás király utca 30."/>
    <s v="ok"/>
    <n v="1"/>
    <n v="1"/>
    <x v="5"/>
    <e v="#N/A"/>
    <n v="0"/>
    <n v="1"/>
  </r>
  <r>
    <x v="0"/>
    <s v="CIB - ATM676"/>
    <s v="ProCash 2100xe Frontload"/>
    <s v="5300162750"/>
    <s v="1126"/>
    <s v="Budapest"/>
    <s v="Nagy Jenő u. 12."/>
    <s v="ok"/>
    <n v="1"/>
    <n v="1"/>
    <x v="5"/>
    <e v="#N/A"/>
    <n v="0"/>
    <n v="1"/>
  </r>
  <r>
    <x v="0"/>
    <s v="CIB - ATM678"/>
    <s v="CINEO C4060 Rearload"/>
    <s v="5310151629"/>
    <s v="1033"/>
    <s v="Budapest"/>
    <s v="Flórián tér 6-9..Flórián Üzletközpont"/>
    <s v="ok"/>
    <n v="1"/>
    <n v="1"/>
    <x v="0"/>
    <e v="#N/A"/>
    <n v="0"/>
    <n v="1"/>
  </r>
  <r>
    <x v="0"/>
    <s v="CIB - ATM683"/>
    <s v="ProCash 2100xe Frontload"/>
    <s v="5300153810"/>
    <s v="4025"/>
    <s v="Debrecen"/>
    <s v="Mikepércsi út 73/A."/>
    <s v="ok"/>
    <n v="1"/>
    <n v="1"/>
    <x v="16"/>
    <e v="#N/A"/>
    <n v="0"/>
    <n v="1"/>
  </r>
  <r>
    <x v="0"/>
    <s v="CIB - ATM684"/>
    <s v="ProCash 2100xe Frontload"/>
    <s v="5300208704"/>
    <s v="4025"/>
    <s v="Debrecen"/>
    <s v="Piac u. 1-3."/>
    <s v="ok"/>
    <n v="1"/>
    <n v="1"/>
    <x v="16"/>
    <e v="#N/A"/>
    <n v="0"/>
    <n v="1"/>
  </r>
  <r>
    <x v="0"/>
    <s v="CIB - ATM685"/>
    <s v="CINEO C4040 Rearload"/>
    <s v="5310011303"/>
    <s v="1062"/>
    <s v="Budapest"/>
    <s v="Váci út 1-3. Pollack Mihály sétány 19."/>
    <s v="ok"/>
    <n v="1"/>
    <n v="1"/>
    <x v="13"/>
    <e v="#N/A"/>
    <n v="0"/>
    <n v="1"/>
  </r>
  <r>
    <x v="0"/>
    <s v="CIB - ATM686"/>
    <s v="CINEO C4040 Rearload"/>
    <s v="5310011330"/>
    <s v="1062"/>
    <s v="Budapest"/>
    <s v="Váci út 1-3. Pollack Mihály sétány 19."/>
    <s v="ok"/>
    <n v="1"/>
    <n v="1"/>
    <x v="13"/>
    <e v="#N/A"/>
    <n v="0"/>
    <n v="1"/>
  </r>
  <r>
    <x v="0"/>
    <s v="CIB - ATM688"/>
    <s v="OPT562 1GIG-DVD-UPS-LAN-A6-CEN3(4HIGH)"/>
    <s v="1562R3301400"/>
    <s v="2081"/>
    <s v="Piliscsaba"/>
    <s v="Kinizsi Pál u. 1-3."/>
    <s v="ok"/>
    <n v="1"/>
    <n v="1"/>
    <x v="0"/>
    <e v="#N/A"/>
    <n v="0"/>
    <n v="1"/>
  </r>
  <r>
    <x v="0"/>
    <s v="CIB - ATM689"/>
    <s v="CINEO C4560"/>
    <s v="5310152700"/>
    <s v="1024"/>
    <s v="Budapest"/>
    <s v="Lövőház u. 7-9."/>
    <s v="ok"/>
    <n v="1"/>
    <n v="1"/>
    <x v="0"/>
    <e v="#N/A"/>
    <n v="0"/>
    <n v="1"/>
  </r>
  <r>
    <x v="0"/>
    <s v="CIB - ATM690"/>
    <s v="OPT562 1GIG-DVD-UPS-LAN-A6-CEN3(4HIGH)"/>
    <s v="1562R3301398"/>
    <s v="6720"/>
    <s v="Szeged"/>
    <s v="Széchenyi tér 2."/>
    <s v="ok"/>
    <n v="1"/>
    <n v="1"/>
    <x v="3"/>
    <e v="#N/A"/>
    <n v="0"/>
    <n v="1"/>
  </r>
  <r>
    <x v="0"/>
    <s v="CIB - ATM691"/>
    <s v="Diebold-Opteva 520 ATM Indoor"/>
    <s v="1520F3300009"/>
    <s v="1051"/>
    <s v="Budapest"/>
    <s v="Nádor u. 9."/>
    <s v="ok"/>
    <n v="1"/>
    <n v="1"/>
    <x v="13"/>
    <n v="1"/>
    <n v="1"/>
    <n v="0"/>
  </r>
  <r>
    <x v="0"/>
    <s v="CIB - ATM692"/>
    <s v="Diebold-Opteva 520 ATM Indoor"/>
    <s v="1520FH120029"/>
    <s v="1106"/>
    <s v="Budapest"/>
    <s v="Kerepesi út 87."/>
    <s v="ok"/>
    <n v="1"/>
    <n v="1"/>
    <x v="17"/>
    <e v="#N/A"/>
    <n v="0"/>
    <n v="1"/>
  </r>
  <r>
    <x v="0"/>
    <s v="CIB - ATM693"/>
    <s v="Diebold-Opteva 520 ATM Indoor"/>
    <s v="1520FCF00894"/>
    <s v="1117"/>
    <s v="Budapest"/>
    <s v="Budafoki út 56."/>
    <s v="ok"/>
    <n v="1"/>
    <n v="1"/>
    <x v="17"/>
    <e v="#N/A"/>
    <n v="0"/>
    <n v="1"/>
  </r>
  <r>
    <x v="0"/>
    <s v="CIB - ATM694"/>
    <s v="OPT562 1GIG-DVD-UPS-LAN-A6-CEN3(4HIGH)"/>
    <s v="1562RH120095"/>
    <s v="8200"/>
    <s v="Veszprém"/>
    <s v="Bajcsy-Zsilinszky E.u.11"/>
    <s v="ok"/>
    <n v="1"/>
    <n v="1"/>
    <x v="4"/>
    <e v="#N/A"/>
    <n v="0"/>
    <n v="1"/>
  </r>
  <r>
    <x v="0"/>
    <s v="CIB - ATM696"/>
    <s v="Diebold-Opteva 520 ATM Indoor"/>
    <s v="1520FCF00929"/>
    <s v="2081"/>
    <s v="Piliscsaba"/>
    <s v="Egyetem u. 1."/>
    <s v="ok"/>
    <n v="1"/>
    <n v="1"/>
    <x v="0"/>
    <n v="1"/>
    <n v="1"/>
    <n v="0"/>
  </r>
  <r>
    <x v="0"/>
    <s v="CIB - ATM697"/>
    <s v="OPT562 1GIG-DVD-UPS-LAN-A6-CEN3(4HIGH)"/>
    <s v="1562R3301391"/>
    <s v="1033"/>
    <s v="Budapest"/>
    <s v="Flórián tér 6-9"/>
    <s v="ok"/>
    <n v="1"/>
    <n v="1"/>
    <x v="0"/>
    <n v="1"/>
    <n v="1"/>
    <n v="0"/>
  </r>
  <r>
    <x v="1"/>
    <s v="S6T58601"/>
    <s v="Diebold-Opteva 522 Lobby Cash Dispenser"/>
    <s v="1522FH118925"/>
    <s v="9022"/>
    <s v="Győr"/>
    <s v="Aradi Vértanuk u. 15."/>
    <s v="ok"/>
    <n v="1"/>
    <n v="1"/>
    <x v="19"/>
    <e v="#N/A"/>
    <n v="0"/>
    <n v="1"/>
  </r>
  <r>
    <x v="1"/>
    <s v="S6T58602"/>
    <s v="OPT562 1GIG-DVD-UPS-LAN-A6-CEN3(4HIGH)"/>
    <s v="1562RH138600"/>
    <s v="9241"/>
    <s v="Jánossomorja"/>
    <s v="Szabadság út 20."/>
    <s v="ok"/>
    <n v="1"/>
    <n v="1"/>
    <x v="19"/>
    <e v="#N/A"/>
    <n v="0"/>
    <n v="1"/>
  </r>
  <r>
    <x v="1"/>
    <s v="S6T58603"/>
    <s v="Diebold-Opteva 522 Lobby Cash Dispenser"/>
    <s v="1522FH100303"/>
    <s v="9200"/>
    <s v="Mosonmagyaróvár"/>
    <s v="Magyar u. 17-21."/>
    <s v="ok"/>
    <n v="1"/>
    <n v="1"/>
    <x v="19"/>
    <e v="#N/A"/>
    <n v="0"/>
    <n v="1"/>
  </r>
  <r>
    <x v="1"/>
    <s v="S6T58604"/>
    <s v="OPT562 1GIG-DVD-UPS-LAN-A6-CEN3(4HIGH)"/>
    <s v="1562RH137083"/>
    <s v="9228"/>
    <s v="Halászi"/>
    <s v="Kossuth L. út 98."/>
    <s v="ok"/>
    <n v="1"/>
    <n v="1"/>
    <x v="19"/>
    <n v="1"/>
    <n v="1"/>
    <n v="0"/>
  </r>
  <r>
    <x v="1"/>
    <s v="S6T58605"/>
    <s v="OPT562 1GIG-DVD-UPS-LAN-A6-CEN3(4HIGH)"/>
    <s v="1562RH131874"/>
    <s v="9200"/>
    <s v="Mosonmagyaróvár"/>
    <s v="Szent István király út 121."/>
    <s v="ok"/>
    <n v="1"/>
    <n v="1"/>
    <x v="19"/>
    <e v="#N/A"/>
    <n v="0"/>
    <n v="1"/>
  </r>
  <r>
    <x v="1"/>
    <s v="S6T58606"/>
    <s v="OPT562 1GIG-DVD-UPS-LAN-A6-CEN3(4HIGH)"/>
    <s v="1562RH125314"/>
    <s v="9444"/>
    <s v="Fertőszentmiklós"/>
    <s v="Petőfi Sándor út 2."/>
    <s v="ok"/>
    <n v="1"/>
    <n v="1"/>
    <x v="8"/>
    <e v="#N/A"/>
    <n v="0"/>
    <n v="1"/>
  </r>
  <r>
    <x v="1"/>
    <s v="S6T58607"/>
    <s v="OPT562 1GIG-DVD-UPS-LAN-A6-CEN3(4HIGH)"/>
    <s v="1562RH125286"/>
    <s v="9022"/>
    <s v="Győr"/>
    <s v="Árpád út 93."/>
    <s v="ok"/>
    <n v="1"/>
    <n v="1"/>
    <x v="19"/>
    <e v="#N/A"/>
    <n v="0"/>
    <n v="1"/>
  </r>
  <r>
    <x v="1"/>
    <s v="S6T58608"/>
    <s v="OPT562 1GIG-DVD-UPS-LAN-A6-CEN3(4HIGH)"/>
    <s v="1562RH133131"/>
    <s v="9178"/>
    <s v="Hédervár"/>
    <s v="Fő u. 42."/>
    <s v="ok"/>
    <n v="1"/>
    <n v="1"/>
    <x v="19"/>
    <e v="#N/A"/>
    <n v="0"/>
    <n v="1"/>
  </r>
  <r>
    <x v="1"/>
    <s v="S6T58609"/>
    <s v="Diebold-Opteva 522 Lobby Cash Dispenser"/>
    <s v="1522FH104487"/>
    <s v="2500"/>
    <s v="Esztergom"/>
    <s v="Bajcsy- Zs. u. 11."/>
    <s v="ok"/>
    <n v="1"/>
    <n v="1"/>
    <x v="14"/>
    <e v="#N/A"/>
    <n v="0"/>
    <n v="1"/>
  </r>
  <r>
    <x v="1"/>
    <s v="S6T58610"/>
    <s v="OPT562 1GIG-DVD-UPS-LAN-A6-CEN3(4HIGH)"/>
    <s v="1562RH132404"/>
    <s v="2821"/>
    <s v="Gyermely"/>
    <s v="Petőfi tér 5."/>
    <s v="ok"/>
    <n v="1"/>
    <n v="1"/>
    <x v="19"/>
    <n v="1"/>
    <n v="1"/>
    <n v="0"/>
  </r>
  <r>
    <x v="1"/>
    <s v="S6T58611"/>
    <s v="Diebold-Opteva 760 ATM Outdoor"/>
    <s v="1760RH121978"/>
    <s v="2536"/>
    <s v="Nyergesújfalu"/>
    <s v="Tó u. 1."/>
    <s v="ok"/>
    <n v="1"/>
    <n v="1"/>
    <x v="0"/>
    <e v="#N/A"/>
    <n v="0"/>
    <n v="1"/>
  </r>
  <r>
    <x v="1"/>
    <s v="S6T58613"/>
    <s v="OPT562 1GIG-DVD-UPS-LAN-A6-CEN3(4HIGH)"/>
    <s v="1562RH125156"/>
    <s v="2525"/>
    <s v="Bajna"/>
    <s v="Kossuth u. 16."/>
    <s v="ok"/>
    <n v="1"/>
    <n v="1"/>
    <x v="19"/>
    <n v="1"/>
    <n v="1"/>
    <n v="0"/>
  </r>
  <r>
    <x v="1"/>
    <s v="S6T58614"/>
    <s v="OPT562 1GIG-DVD-UPS-LAN-A6-CEN3(4HIGH)"/>
    <s v="1562RH133129"/>
    <s v="2523"/>
    <s v="Sárisáp"/>
    <s v="Malom u. 12."/>
    <s v="ok"/>
    <n v="1"/>
    <n v="1"/>
    <x v="0"/>
    <e v="#N/A"/>
    <n v="0"/>
    <n v="1"/>
  </r>
  <r>
    <x v="1"/>
    <s v="S6T58615"/>
    <s v="Diebold-Opteva 720 ATM Indoor"/>
    <s v="1720V3301056"/>
    <s v="2510"/>
    <s v="Dorog"/>
    <s v="Bécsi út 64."/>
    <s v="ok"/>
    <n v="1"/>
    <n v="1"/>
    <x v="14"/>
    <n v="1"/>
    <n v="1"/>
    <n v="0"/>
  </r>
  <r>
    <x v="1"/>
    <s v="S6T58617"/>
    <s v="OPT562 1GIG-DVD-UPS-LAN-A6-CEN3(4HIGH)"/>
    <s v="1562RH125281"/>
    <s v="2524"/>
    <s v="Nagysáp"/>
    <s v="Köztársaság tér 1/a"/>
    <s v="ok"/>
    <n v="1"/>
    <n v="1"/>
    <x v="0"/>
    <e v="#N/A"/>
    <n v="0"/>
    <n v="1"/>
  </r>
  <r>
    <x v="1"/>
    <s v="S6T58618"/>
    <s v="OPT562 1GIG-DVD-UPS-LAN-A6-CEN3(4HIGH)"/>
    <s v="1562RH139005"/>
    <s v="2534"/>
    <s v="Tát"/>
    <s v="Fő út 120/a."/>
    <s v="ok"/>
    <n v="1"/>
    <n v="1"/>
    <x v="0"/>
    <e v="#N/A"/>
    <n v="0"/>
    <n v="1"/>
  </r>
  <r>
    <x v="1"/>
    <s v="S6T58619"/>
    <s v="OPT562 1GIG-DVD-UPS-LAN-A6-CEN3(4HIGH)"/>
    <s v="1562RH125336"/>
    <s v="2519"/>
    <s v="Piliscsév"/>
    <s v="Urbanics u. 1"/>
    <s v="ok"/>
    <n v="1"/>
    <n v="1"/>
    <x v="0"/>
    <n v="1"/>
    <n v="1"/>
    <n v="0"/>
  </r>
  <r>
    <x v="1"/>
    <s v="S6T58621"/>
    <s v="OPT562 1GIG-DVD-UPS-LAN-A6-CEN3(4HIGH)"/>
    <s v="1562RH129338"/>
    <s v="2521"/>
    <s v="Csolnok"/>
    <s v="Kossuth L. u. 2"/>
    <s v="ok"/>
    <n v="1"/>
    <n v="1"/>
    <x v="0"/>
    <e v="#N/A"/>
    <n v="0"/>
    <n v="1"/>
  </r>
  <r>
    <x v="1"/>
    <s v="S6T58622"/>
    <s v="OPT562 1GIG-DVD-UPS-LAN-A6-CEN3(4HIGH)"/>
    <s v="1562RH128671"/>
    <s v="9233"/>
    <s v="Lipót"/>
    <s v="Fő út 86."/>
    <s v="ok"/>
    <n v="1"/>
    <n v="1"/>
    <x v="19"/>
    <e v="#N/A"/>
    <n v="0"/>
    <n v="1"/>
  </r>
  <r>
    <x v="1"/>
    <s v="S6T58623"/>
    <s v="OPT562 1GIG-DVD-UPS-LAN-A6-CEN3(4HIGH)"/>
    <s v="1562RH131912"/>
    <s v="9231"/>
    <s v="Máriakálnok"/>
    <s v="Rákóczi út 42."/>
    <s v="ok"/>
    <n v="1"/>
    <n v="1"/>
    <x v="19"/>
    <e v="#N/A"/>
    <n v="0"/>
    <n v="1"/>
  </r>
  <r>
    <x v="1"/>
    <s v="S6T58625"/>
    <s v="Diebold-Opteva 522 Lobby Cash Dispenser"/>
    <s v="1522FH102739"/>
    <s v="8000"/>
    <s v="Székesfehérvár"/>
    <s v="Piac tér 4."/>
    <s v="ok"/>
    <n v="1"/>
    <n v="1"/>
    <x v="4"/>
    <e v="#N/A"/>
    <n v="0"/>
    <n v="1"/>
  </r>
  <r>
    <x v="1"/>
    <s v="S6T58626"/>
    <s v="OPT562 1GIG-DVD-UPS-LAN-A6-CEN3(4HIGH)"/>
    <s v="1562RH141318"/>
    <s v="2531"/>
    <s v="Tokod"/>
    <s v="Köztársaság u. 1."/>
    <s v="ok"/>
    <n v="1"/>
    <n v="1"/>
    <x v="0"/>
    <n v="1"/>
    <n v="1"/>
    <n v="0"/>
  </r>
  <r>
    <x v="1"/>
    <s v="S6T58629"/>
    <s v="OPT562 1GIG-DVD-UPS-LAN-A6-CEN3(4HIGH)"/>
    <s v="1562RCF00036"/>
    <s v="8086"/>
    <s v="Felcsút"/>
    <s v="Fő utca 137."/>
    <s v="ok"/>
    <n v="1"/>
    <n v="1"/>
    <x v="19"/>
    <n v="1"/>
    <n v="1"/>
    <n v="0"/>
  </r>
  <r>
    <x v="1"/>
    <s v="S6T58630"/>
    <s v="OPT562 1GIG-DVD-UPS-LAN-A6-CEN3(4HIGH)"/>
    <s v="1562RH125307"/>
    <s v="2532"/>
    <s v="Tokodaltáró"/>
    <s v="József Attila utca 1432/4HRSZ."/>
    <s v="ok"/>
    <n v="1"/>
    <n v="1"/>
    <x v="0"/>
    <e v="#N/A"/>
    <n v="0"/>
    <n v="1"/>
  </r>
  <r>
    <x v="1"/>
    <s v="S6T58631"/>
    <s v="OPT562 1GIG-DVD-UPS-LAN-A6-CEN3(4HIGH)"/>
    <s v="1562RH124654"/>
    <s v="2518"/>
    <s v="Leányvár"/>
    <s v="Bécsi út 182."/>
    <s v="ok"/>
    <n v="1"/>
    <n v="1"/>
    <x v="0"/>
    <e v="#N/A"/>
    <n v="0"/>
    <n v="1"/>
  </r>
  <r>
    <x v="2"/>
    <s v="S01004"/>
    <s v="Diebold-Opteva 760 ATM Outdoor"/>
    <s v="1760R3320591"/>
    <s v="1047"/>
    <s v="Budapest"/>
    <s v="Külső Váci út 15-19."/>
    <s v="ok"/>
    <n v="2"/>
    <n v="2"/>
    <x v="14"/>
    <e v="#N/A"/>
    <n v="0"/>
    <n v="2"/>
  </r>
  <r>
    <x v="2"/>
    <s v="S01012"/>
    <s v="Diebold-Opteva 760 ATM Outdoor"/>
    <s v="1760R3320569"/>
    <s v="1015"/>
    <s v="Budapest"/>
    <s v="Csalogány u. 30-32."/>
    <s v="ok"/>
    <n v="2"/>
    <n v="2"/>
    <x v="13"/>
    <e v="#N/A"/>
    <n v="0"/>
    <n v="2"/>
  </r>
  <r>
    <x v="2"/>
    <s v="S01015_IDMBD"/>
    <s v="Diebold-Opteva 720 ATM Indoor"/>
    <s v="1720FH120189"/>
    <s v="1062"/>
    <s v="Budapest"/>
    <s v="Teréz krt. 51-53."/>
    <s v="ok"/>
    <n v="2"/>
    <n v="2"/>
    <x v="13"/>
    <e v="#N/A"/>
    <n v="0"/>
    <n v="2"/>
  </r>
  <r>
    <x v="2"/>
    <s v="S01017"/>
    <s v="OPT562 1GIG-DVD-UPS-LAN-A6-CEN3(4HIGH)"/>
    <s v="1562RH127304"/>
    <s v="1112"/>
    <s v="Budapest"/>
    <s v="Fehérvári u. 9."/>
    <s v="ok"/>
    <n v="2"/>
    <n v="2"/>
    <x v="17"/>
    <e v="#N/A"/>
    <n v="0"/>
    <n v="2"/>
  </r>
  <r>
    <x v="2"/>
    <s v="S01021"/>
    <s v="Diebold-Opteva 760 ATM Outdoor"/>
    <s v="1760RH120554"/>
    <s v="1053"/>
    <s v="Budapest"/>
    <s v="Kossuth L. u. 2."/>
    <s v="ok"/>
    <n v="2"/>
    <n v="2"/>
    <x v="13"/>
    <e v="#N/A"/>
    <n v="0"/>
    <n v="2"/>
  </r>
  <r>
    <x v="2"/>
    <s v="S01023_ENA"/>
    <s v="Diebold-Opteva 760 ATM Outdoor"/>
    <s v="1760R3320540"/>
    <s v="1033"/>
    <s v="Budapest"/>
    <s v="Flórián tér 6-9."/>
    <s v="ok"/>
    <n v="2"/>
    <n v="2"/>
    <x v="0"/>
    <e v="#N/A"/>
    <n v="0"/>
    <n v="2"/>
  </r>
  <r>
    <x v="2"/>
    <s v="S01029"/>
    <s v="Diebold-Opteva 520 ATM Indoor"/>
    <s v="1520F3305876"/>
    <s v="1087"/>
    <s v="Budapest"/>
    <s v="Fiumei út 17."/>
    <s v="ok"/>
    <n v="2"/>
    <n v="2"/>
    <x v="13"/>
    <e v="#N/A"/>
    <n v="0"/>
    <n v="2"/>
  </r>
  <r>
    <x v="2"/>
    <s v="S01032"/>
    <s v="Diebold-Opteva 760 ATM Outdoor"/>
    <s v="1760RH120567"/>
    <s v="1053"/>
    <s v="Budapest"/>
    <s v="Múzeum krt. 31-33."/>
    <s v="ok"/>
    <n v="2"/>
    <n v="2"/>
    <x v="13"/>
    <e v="#N/A"/>
    <n v="0"/>
    <n v="2"/>
  </r>
  <r>
    <x v="2"/>
    <s v="S01034_IDMBD"/>
    <s v="Diebold-Opteva 760 ATM Outdoor"/>
    <s v="1760RH120571"/>
    <s v="1137"/>
    <s v="Budapest"/>
    <s v="Szent István krt. 10."/>
    <s v="ok"/>
    <n v="2"/>
    <n v="2"/>
    <x v="14"/>
    <e v="#N/A"/>
    <n v="0"/>
    <n v="2"/>
  </r>
  <r>
    <x v="2"/>
    <s v="S01037_ENA"/>
    <s v="Diebold-Opteva 760 ATM Outdoor"/>
    <s v="1760RH120563"/>
    <s v="2400"/>
    <s v="Dunaújváros"/>
    <s v="Dózsa György út 2/a"/>
    <s v="ok"/>
    <n v="2"/>
    <n v="2"/>
    <x v="7"/>
    <n v="2"/>
    <n v="2"/>
    <n v="0"/>
  </r>
  <r>
    <x v="2"/>
    <s v="S01040"/>
    <s v="Diebold-Opteva 760 ATM Outdoor"/>
    <s v="1760RH120974"/>
    <s v="1139"/>
    <s v="Budapest"/>
    <s v="Teve u. 2-4."/>
    <s v="ok"/>
    <n v="2"/>
    <n v="2"/>
    <x v="14"/>
    <e v="#N/A"/>
    <n v="0"/>
    <n v="2"/>
  </r>
  <r>
    <x v="2"/>
    <s v="S01043"/>
    <s v="Diebold-Opteva 760 ATM Outdoor"/>
    <s v="1760RH120965"/>
    <s v="2112"/>
    <s v="Veresegyház"/>
    <s v="Fő út 32."/>
    <s v="ok"/>
    <n v="2"/>
    <n v="2"/>
    <x v="6"/>
    <n v="1"/>
    <n v="1"/>
    <n v="1"/>
  </r>
  <r>
    <x v="2"/>
    <s v="S01047_ENA"/>
    <s v="Diebold-Opteva 760 ATM Outdoor"/>
    <s v="1760RH120544"/>
    <s v="1191"/>
    <s v="Budapest"/>
    <s v="Kossuth tér 23-24."/>
    <s v="ok"/>
    <n v="2"/>
    <n v="2"/>
    <x v="10"/>
    <n v="1"/>
    <n v="1"/>
    <n v="1"/>
  </r>
  <r>
    <x v="2"/>
    <s v="S01050"/>
    <s v="Diebold-Opteva 522 Lobby Cash Dispenser"/>
    <s v="1522FH105476"/>
    <s v="1134"/>
    <s v="Budapest"/>
    <s v="Váci út 9-15."/>
    <s v="ok"/>
    <n v="2"/>
    <n v="2"/>
    <x v="14"/>
    <e v="#N/A"/>
    <n v="0"/>
    <n v="2"/>
  </r>
  <r>
    <x v="2"/>
    <s v="S01057"/>
    <s v="Diebold-Opteva 760 ATM Outdoor"/>
    <s v="1760R3320536"/>
    <s v="1118"/>
    <s v="Budapest"/>
    <s v="Gazdagréti tér 6."/>
    <s v="ok"/>
    <n v="2"/>
    <n v="2"/>
    <x v="17"/>
    <e v="#N/A"/>
    <n v="0"/>
    <n v="2"/>
  </r>
  <r>
    <x v="2"/>
    <s v="S01062"/>
    <s v="Diebold-Opteva 760 ATM Outdoor"/>
    <s v="1760RH120569"/>
    <s v="1101"/>
    <s v="Budapest"/>
    <s v="Üllői út 114-116."/>
    <s v="ok"/>
    <n v="2"/>
    <n v="2"/>
    <x v="17"/>
    <n v="1"/>
    <n v="1"/>
    <n v="1"/>
  </r>
  <r>
    <x v="2"/>
    <s v="S01063"/>
    <s v="Diebold-Opteva 562r 3 High-Standard ATM"/>
    <s v="562RRH100422"/>
    <s v="2013"/>
    <s v="Pomáz"/>
    <s v="Huszár u. 5."/>
    <s v="ok"/>
    <n v="2"/>
    <n v="2"/>
    <x v="14"/>
    <e v="#N/A"/>
    <n v="0"/>
    <n v="2"/>
  </r>
  <r>
    <x v="2"/>
    <s v="S01065"/>
    <s v="OPT562 1GIG-DVD-UPS-LAN-A6-CEN3(4HIGH)"/>
    <s v="1562RH127307"/>
    <s v="1045"/>
    <s v="Budapest"/>
    <s v="Újpest István út 18."/>
    <s v="ok"/>
    <n v="2"/>
    <n v="2"/>
    <x v="0"/>
    <e v="#N/A"/>
    <n v="0"/>
    <n v="2"/>
  </r>
  <r>
    <x v="2"/>
    <s v="S01068"/>
    <s v="Diebold-Opteva 760 ATM Outdoor"/>
    <s v="1760RH120581"/>
    <s v="1149"/>
    <s v="Budapest"/>
    <s v="Nagy Lajos Kir. útja 173."/>
    <s v="ok"/>
    <n v="2"/>
    <n v="2"/>
    <x v="6"/>
    <e v="#N/A"/>
    <n v="0"/>
    <n v="2"/>
  </r>
  <r>
    <x v="2"/>
    <s v="S01075_ENA"/>
    <s v="Diebold-Opteva 760 ATM Outdoor"/>
    <s v="1760R3320552"/>
    <s v="1062"/>
    <s v="Budapest"/>
    <s v="Váci út 1-3."/>
    <s v="ok"/>
    <n v="2"/>
    <n v="2"/>
    <x v="13"/>
    <e v="#N/A"/>
    <n v="0"/>
    <n v="2"/>
  </r>
  <r>
    <x v="2"/>
    <s v="S01076_ENA"/>
    <s v="Diebold-Opteva 720 ATM Indoor"/>
    <s v="1720F3320044"/>
    <s v="1085"/>
    <s v="Budapest"/>
    <s v="József krt. 86."/>
    <s v="ok"/>
    <n v="2"/>
    <n v="2"/>
    <x v="13"/>
    <n v="1"/>
    <n v="1"/>
    <n v="1"/>
  </r>
  <r>
    <x v="2"/>
    <s v="S01079_ENA"/>
    <s v="Diebold-Opteva 760 ATM Outdoor"/>
    <s v="1760RH120529"/>
    <s v="2030"/>
    <s v="Érd"/>
    <s v="Budai út 13."/>
    <s v="ok"/>
    <n v="2"/>
    <n v="2"/>
    <x v="15"/>
    <n v="1"/>
    <n v="1"/>
    <n v="1"/>
  </r>
  <r>
    <x v="2"/>
    <s v="S01082_ENA"/>
    <s v="Diebold-Opteva 720 ATM Indoor"/>
    <s v="1720F3320052"/>
    <s v="1021"/>
    <s v="Budapest"/>
    <s v="Hüvösvölgyi út 138."/>
    <s v="ok"/>
    <n v="2"/>
    <n v="2"/>
    <x v="0"/>
    <n v="1"/>
    <n v="1"/>
    <n v="1"/>
  </r>
  <r>
    <x v="2"/>
    <s v="S01083"/>
    <s v="Diebold-Opteva 720 ATM Indoor"/>
    <s v="1720FH121725"/>
    <s v="1173"/>
    <s v="Budapest"/>
    <s v="Pesti út 5-7."/>
    <s v="ok"/>
    <n v="2"/>
    <n v="2"/>
    <x v="10"/>
    <n v="1"/>
    <n v="1"/>
    <n v="1"/>
  </r>
  <r>
    <x v="2"/>
    <s v="S01084_ENA"/>
    <s v="Diebold-Opteva 720 ATM Indoor"/>
    <s v="1720FH120187"/>
    <s v="1066"/>
    <s v="Budapest"/>
    <s v="Teréz krt. 24."/>
    <s v="ok"/>
    <n v="2"/>
    <n v="2"/>
    <x v="13"/>
    <e v="#N/A"/>
    <n v="0"/>
    <n v="2"/>
  </r>
  <r>
    <x v="2"/>
    <s v="S01090_ENA"/>
    <s v="Diebold-Opteva 760 ATM Outdoor"/>
    <s v="1760R3320417"/>
    <s v="1106"/>
    <s v="Budapest"/>
    <s v="Örs vezér tere 25."/>
    <s v="ok"/>
    <n v="2"/>
    <n v="2"/>
    <x v="17"/>
    <n v="1"/>
    <n v="1"/>
    <n v="1"/>
  </r>
  <r>
    <x v="2"/>
    <s v="S01091"/>
    <s v="Diebold-Opteva 760 ATM Outdoor"/>
    <s v="1760RH120945"/>
    <s v="2120"/>
    <s v="Dunakeszi"/>
    <s v="Verseny u. 4."/>
    <s v="ok"/>
    <n v="2"/>
    <n v="2"/>
    <x v="14"/>
    <e v="#N/A"/>
    <n v="0"/>
    <n v="2"/>
  </r>
  <r>
    <x v="2"/>
    <s v="S01095_ENA"/>
    <s v="Diebold-Opteva 720 ATM Indoor"/>
    <s v="1720F3320046"/>
    <s v="2600"/>
    <s v="Vác"/>
    <s v="Széchenyi u. 14."/>
    <s v="ok"/>
    <n v="2"/>
    <n v="2"/>
    <x v="6"/>
    <n v="1"/>
    <n v="1"/>
    <n v="1"/>
  </r>
  <r>
    <x v="2"/>
    <s v="S01098"/>
    <s v="Diebold-Opteva 760 ATM Outdoor"/>
    <s v="1760RH120552"/>
    <s v="2740"/>
    <s v="Abony"/>
    <s v="Kossuth Lajos tér 18."/>
    <s v="ok"/>
    <n v="2"/>
    <n v="2"/>
    <x v="11"/>
    <e v="#N/A"/>
    <n v="0"/>
    <n v="2"/>
  </r>
  <r>
    <x v="2"/>
    <s v="S01099_ENA"/>
    <s v="Diebold-Opteva 760 ATM Outdoor"/>
    <s v="1760RH120547"/>
    <s v="1032"/>
    <s v="Budapest"/>
    <s v="Bécsi út 154."/>
    <s v="ok"/>
    <n v="2"/>
    <n v="2"/>
    <x v="0"/>
    <e v="#N/A"/>
    <n v="0"/>
    <n v="2"/>
  </r>
  <r>
    <x v="2"/>
    <s v="S01100"/>
    <s v="OPT562 1GIG-DVD-UPS-LAN-A6-CEN3(4HIGH)"/>
    <s v="1562RH126040"/>
    <s v="1055"/>
    <s v="Budapest"/>
    <s v="Kossuth Lajos tér 13-15"/>
    <s v="ok"/>
    <n v="2"/>
    <n v="2"/>
    <x v="13"/>
    <e v="#N/A"/>
    <n v="0"/>
    <n v="2"/>
  </r>
  <r>
    <x v="2"/>
    <s v="S01102"/>
    <s v="Diebold-Opteva 720 ATM Indoor"/>
    <s v="1720FH120197"/>
    <s v="2040"/>
    <s v="Budaörs"/>
    <s v="Gervay Mihály u. 9-11."/>
    <s v="ok"/>
    <n v="2"/>
    <n v="2"/>
    <x v="17"/>
    <e v="#N/A"/>
    <n v="0"/>
    <n v="2"/>
  </r>
  <r>
    <x v="2"/>
    <s v="S01104_ENA"/>
    <s v="Diebold-Opteva 760 ATM Outdoor"/>
    <s v="1760RH120617"/>
    <s v="1116"/>
    <s v="Budapest"/>
    <s v="Fehérvári út 130."/>
    <s v="ok"/>
    <n v="2"/>
    <n v="2"/>
    <x v="17"/>
    <n v="1"/>
    <n v="1"/>
    <n v="1"/>
  </r>
  <r>
    <x v="2"/>
    <s v="S01106"/>
    <s v="OPT562 1GIG-DVD-UPS-LAN-A6-CEN3(4HIGH)"/>
    <s v="1562RH143036"/>
    <s v="1091"/>
    <s v="Budapest"/>
    <s v="Üllői út 121."/>
    <s v="ok"/>
    <n v="2"/>
    <n v="2"/>
    <x v="17"/>
    <e v="#N/A"/>
    <n v="0"/>
    <n v="2"/>
  </r>
  <r>
    <x v="2"/>
    <s v="S01107_ENA"/>
    <s v="Diebold-Opteva 760 ATM Outdoor"/>
    <s v="1760R3320530"/>
    <s v="1138"/>
    <s v="Budapest"/>
    <s v="Népfürdő u. 24-26."/>
    <s v="ok"/>
    <n v="2"/>
    <n v="2"/>
    <x v="14"/>
    <n v="1"/>
    <n v="1"/>
    <n v="1"/>
  </r>
  <r>
    <x v="2"/>
    <s v="S01111"/>
    <s v="Diebold-Opteva 520 ATM Indoor"/>
    <s v="1520FCF00225"/>
    <s v="1212"/>
    <s v="Budapest"/>
    <s v="II. Rákóczi Ferenc út 154-170."/>
    <s v="ok"/>
    <n v="2"/>
    <n v="2"/>
    <x v="15"/>
    <e v="#N/A"/>
    <n v="0"/>
    <n v="2"/>
  </r>
  <r>
    <x v="2"/>
    <s v="S01113_ENA"/>
    <s v="Diebold-Opteva 720 ATM Indoor"/>
    <s v="1720F3320042"/>
    <s v="2440"/>
    <s v="Százhalombatta"/>
    <s v="Szent István tér 9."/>
    <s v="ok"/>
    <n v="2"/>
    <n v="2"/>
    <x v="7"/>
    <e v="#N/A"/>
    <n v="0"/>
    <n v="2"/>
  </r>
  <r>
    <x v="2"/>
    <s v="S01114"/>
    <s v="OPT562 1GIG-DVD-UPS-LAN-A6-CEN3(4HIGH)"/>
    <s v="1562RH143032"/>
    <s v="1094"/>
    <s v="Budapest"/>
    <s v="Ferenc körút 25."/>
    <s v="ok"/>
    <n v="2"/>
    <n v="2"/>
    <x v="17"/>
    <e v="#N/A"/>
    <n v="0"/>
    <n v="2"/>
  </r>
  <r>
    <x v="2"/>
    <s v="S01116_ENA"/>
    <s v="Diebold-Opteva 720 ATM Indoor"/>
    <s v="1720F3320060"/>
    <s v="2040"/>
    <s v="Budaörs"/>
    <s v="Szabadság u. 27."/>
    <s v="ok"/>
    <n v="2"/>
    <n v="2"/>
    <x v="17"/>
    <n v="1"/>
    <n v="1"/>
    <n v="1"/>
  </r>
  <r>
    <x v="2"/>
    <s v="S01117"/>
    <s v="Diebold-Opteva 720 ATM Indoor"/>
    <s v="1720FH121912"/>
    <s v="1097"/>
    <s v="Budapest"/>
    <s v="Koppány u. 2-4."/>
    <s v="ok"/>
    <n v="2"/>
    <n v="2"/>
    <x v="17"/>
    <e v="#N/A"/>
    <n v="0"/>
    <n v="2"/>
  </r>
  <r>
    <x v="2"/>
    <s v="S01118_ENA"/>
    <s v="Diebold-Opteva 720 ATM Indoor"/>
    <s v="1720FH120244"/>
    <s v="2120"/>
    <s v="Dunakeszi"/>
    <s v="Fő út 24."/>
    <s v="ok"/>
    <n v="2"/>
    <n v="2"/>
    <x v="14"/>
    <n v="1"/>
    <n v="1"/>
    <n v="1"/>
  </r>
  <r>
    <x v="2"/>
    <s v="S01125_ENA"/>
    <s v="Diebold-Opteva 760 ATM Outdoor"/>
    <s v="1760RH120610"/>
    <s v="1042"/>
    <s v="Budapest"/>
    <s v="Árpád út 68."/>
    <s v="ok"/>
    <n v="2"/>
    <n v="2"/>
    <x v="0"/>
    <n v="1"/>
    <n v="1"/>
    <n v="1"/>
  </r>
  <r>
    <x v="2"/>
    <s v="S01129"/>
    <s v="Diebold-Opteva 522 Lobby Cash Dispenser"/>
    <s v="1522FH106944"/>
    <s v="1087"/>
    <s v="Budapest"/>
    <s v="Kerepesi út 9."/>
    <s v="ok"/>
    <n v="2"/>
    <n v="2"/>
    <x v="13"/>
    <n v="1"/>
    <n v="1"/>
    <n v="1"/>
  </r>
  <r>
    <x v="2"/>
    <s v="S01136"/>
    <s v="Diebold-Opteva 520 ATM Indoor"/>
    <s v="1520FH121651"/>
    <s v="1239"/>
    <s v="Budapest"/>
    <s v="Bevásárló u. 2."/>
    <s v="ok"/>
    <n v="2"/>
    <n v="2"/>
    <x v="15"/>
    <e v="#N/A"/>
    <n v="0"/>
    <n v="2"/>
  </r>
  <r>
    <x v="2"/>
    <s v="S01137_ENA"/>
    <s v="Diebold-Opteva 720 ATM Indoor"/>
    <s v="1720FH120185"/>
    <s v="1039"/>
    <s v="Budapest"/>
    <s v="Heltai Jenő tér 15."/>
    <s v="ok"/>
    <n v="2"/>
    <n v="2"/>
    <x v="0"/>
    <e v="#N/A"/>
    <n v="0"/>
    <n v="2"/>
  </r>
  <r>
    <x v="2"/>
    <s v="S01139_ENA"/>
    <s v="Diebold-Opteva 760 ATM Outdoor"/>
    <s v="1760R3320535"/>
    <s v="1134"/>
    <s v="Budapest"/>
    <s v="Váci út 33."/>
    <s v="ok"/>
    <n v="2"/>
    <n v="2"/>
    <x v="14"/>
    <n v="1"/>
    <n v="1"/>
    <n v="1"/>
  </r>
  <r>
    <x v="2"/>
    <s v="S01141"/>
    <s v="Diebold-Opteva 760 ATM Outdoor"/>
    <s v="1760RH120946"/>
    <s v="2346"/>
    <s v="Ócsa"/>
    <s v="Szabadság tér 1."/>
    <s v="ok"/>
    <n v="2"/>
    <n v="2"/>
    <x v="15"/>
    <n v="1"/>
    <n v="1"/>
    <n v="1"/>
  </r>
  <r>
    <x v="2"/>
    <s v="S01142_ENA"/>
    <s v="Diebold-Opteva 720 ATM Indoor"/>
    <s v="1720FH121350"/>
    <s v="2330"/>
    <s v="Dunaharaszti"/>
    <s v="Dózsa György út 27."/>
    <s v="ok"/>
    <n v="2"/>
    <n v="2"/>
    <x v="15"/>
    <n v="1"/>
    <n v="1"/>
    <n v="1"/>
  </r>
  <r>
    <x v="2"/>
    <s v="S01145"/>
    <s v="Diebold-Opteva 720 ATM Indoor"/>
    <s v="1720FH121346"/>
    <s v="2120"/>
    <s v="Dunakeszi"/>
    <s v="Nádas u. 6."/>
    <s v="ok"/>
    <n v="2"/>
    <n v="2"/>
    <x v="14"/>
    <n v="1"/>
    <n v="1"/>
    <n v="1"/>
  </r>
  <r>
    <x v="2"/>
    <s v="S01146"/>
    <s v="Diebold-Opteva 520 ATM Indoor"/>
    <s v="1520FCF00099"/>
    <s v="2234"/>
    <s v="Maglód"/>
    <s v="Esterházy János u. 1."/>
    <s v="ok"/>
    <n v="2"/>
    <n v="2"/>
    <x v="10"/>
    <e v="#N/A"/>
    <n v="0"/>
    <n v="2"/>
  </r>
  <r>
    <x v="2"/>
    <s v="S01148"/>
    <s v="Diebold-Opteva 760 ATM Outdoor"/>
    <s v="1760RH120556"/>
    <s v="2700"/>
    <s v="Cegléd"/>
    <s v="Kossuth tér 5."/>
    <s v="ok"/>
    <n v="2"/>
    <n v="2"/>
    <x v="6"/>
    <e v="#N/A"/>
    <n v="0"/>
    <n v="2"/>
  </r>
  <r>
    <x v="2"/>
    <s v="S01151"/>
    <s v="Diebold-Opteva 522 Lobby Cash Dispenser"/>
    <s v="1522FH106943"/>
    <s v="1138"/>
    <s v="Budapest"/>
    <s v="Népfürdő u. 24-26."/>
    <s v="ok"/>
    <n v="2"/>
    <n v="2"/>
    <x v="14"/>
    <e v="#N/A"/>
    <n v="0"/>
    <n v="2"/>
  </r>
  <r>
    <x v="2"/>
    <s v="S01152"/>
    <s v="Diebold-Opteva 760 ATM Outdoor"/>
    <s v="1760RH120971"/>
    <s v="1125"/>
    <s v="Budapest"/>
    <s v="Nógrádi u. 39. (CBA áruház)"/>
    <s v="ok"/>
    <n v="2"/>
    <n v="2"/>
    <x v="0"/>
    <e v="#N/A"/>
    <n v="0"/>
    <n v="2"/>
  </r>
  <r>
    <x v="2"/>
    <s v="S01153"/>
    <s v="Diebold-Opteva 520 ATM Indoor"/>
    <s v="1520FCF00089"/>
    <s v="1037"/>
    <s v="Budapest"/>
    <s v="Kunigunda u. 62-64."/>
    <s v="ok"/>
    <n v="2"/>
    <n v="2"/>
    <x v="0"/>
    <e v="#N/A"/>
    <n v="0"/>
    <n v="2"/>
  </r>
  <r>
    <x v="2"/>
    <s v="S01155"/>
    <s v="Diebold-Opteva 720 ATM Indoor"/>
    <s v="1720FH121360"/>
    <s v="2700"/>
    <s v="Cegléd"/>
    <s v="Malomtószél utca 20. (Tesco)"/>
    <s v="ok"/>
    <n v="2"/>
    <n v="2"/>
    <x v="6"/>
    <e v="#N/A"/>
    <n v="0"/>
    <n v="2"/>
  </r>
  <r>
    <x v="2"/>
    <s v="S01157"/>
    <s v="Diebold-Opteva 720 ATM Indoor"/>
    <s v="1720FH121362"/>
    <s v="1117"/>
    <s v="Budapest"/>
    <s v="Október 23. u. 8-10."/>
    <s v="ok"/>
    <n v="2"/>
    <n v="2"/>
    <x v="17"/>
    <e v="#N/A"/>
    <n v="0"/>
    <n v="2"/>
  </r>
  <r>
    <x v="2"/>
    <s v="S01158"/>
    <s v="Diebold-Opteva 760 ATM Outdoor"/>
    <s v="1760RH120976"/>
    <s v="1095"/>
    <s v="Budapest"/>
    <s v="Komor Marcell u. 1."/>
    <s v="ok"/>
    <n v="2"/>
    <n v="2"/>
    <x v="17"/>
    <n v="1"/>
    <n v="1"/>
    <n v="1"/>
  </r>
  <r>
    <x v="2"/>
    <s v="S01159"/>
    <s v="Diebold-Opteva 520 ATM Indoor"/>
    <s v="1520FH122419"/>
    <s v="1054"/>
    <s v="Budapest"/>
    <s v="Szabadság tér"/>
    <s v="ok"/>
    <n v="2"/>
    <n v="2"/>
    <x v="13"/>
    <e v="#N/A"/>
    <n v="0"/>
    <n v="2"/>
  </r>
  <r>
    <x v="2"/>
    <s v="S01160"/>
    <s v="Diebold-Opteva 720 ATM Indoor"/>
    <s v="1720FH121727"/>
    <s v="2220"/>
    <s v="Vecsés"/>
    <s v="Fő út 246-248"/>
    <s v="ok"/>
    <n v="2"/>
    <n v="2"/>
    <x v="15"/>
    <e v="#N/A"/>
    <n v="0"/>
    <n v="2"/>
  </r>
  <r>
    <x v="2"/>
    <s v="S01161"/>
    <s v="Diebold-Opteva 522 Lobby Cash Dispenser"/>
    <s v="1522FH100277"/>
    <s v="1196"/>
    <s v="Budapest"/>
    <s v="Ady Endre út 42-44."/>
    <s v="ok"/>
    <n v="2"/>
    <n v="2"/>
    <x v="10"/>
    <e v="#N/A"/>
    <n v="0"/>
    <n v="2"/>
  </r>
  <r>
    <x v="2"/>
    <s v="S01162"/>
    <s v="Diebold-Opteva 522 Lobby Cash Dispenser"/>
    <s v="1522FH100275"/>
    <s v="1163"/>
    <s v="Budapest"/>
    <s v="Rákosi út 142-146."/>
    <s v="ok"/>
    <n v="2"/>
    <n v="2"/>
    <x v="6"/>
    <e v="#N/A"/>
    <n v="0"/>
    <n v="2"/>
  </r>
  <r>
    <x v="2"/>
    <s v="S01163"/>
    <s v="Diebold-Opteva 522 Lobby Cash Dispenser"/>
    <s v="1522FH100278"/>
    <s v="1039"/>
    <s v="Budapest"/>
    <s v="Pablo Neruda 1-2."/>
    <s v="ok"/>
    <n v="2"/>
    <n v="2"/>
    <x v="0"/>
    <e v="#N/A"/>
    <n v="0"/>
    <n v="2"/>
  </r>
  <r>
    <x v="2"/>
    <s v="S01164"/>
    <s v="Diebold-Opteva 522 Lobby Cash Dispenser"/>
    <s v="1522FH100280"/>
    <s v="1074"/>
    <s v="Budapest"/>
    <s v="Rákóczi út 20."/>
    <s v="ok"/>
    <n v="2"/>
    <n v="2"/>
    <x v="13"/>
    <e v="#N/A"/>
    <n v="0"/>
    <n v="2"/>
  </r>
  <r>
    <x v="2"/>
    <s v="S01165"/>
    <s v="Diebold-Opteva 720 ATM Indoor"/>
    <s v="1720FH121721"/>
    <s v="1204"/>
    <s v="Budapest"/>
    <s v="Mártírok útja 281."/>
    <s v="ok"/>
    <n v="2"/>
    <n v="2"/>
    <x v="15"/>
    <e v="#N/A"/>
    <n v="0"/>
    <n v="2"/>
  </r>
  <r>
    <x v="2"/>
    <s v="S01166"/>
    <s v="Diebold-Opteva 520 ATM Indoor"/>
    <s v="1520FH120090"/>
    <s v="1138"/>
    <s v="Budapest"/>
    <s v="Gács utca 3."/>
    <s v="ok"/>
    <n v="2"/>
    <n v="2"/>
    <x v="14"/>
    <e v="#N/A"/>
    <n v="0"/>
    <n v="2"/>
  </r>
  <r>
    <x v="2"/>
    <s v="S01167"/>
    <s v="Diebold-Opteva 720 ATM Indoor"/>
    <s v="1720FH121722"/>
    <s v="1214"/>
    <s v="Budapest"/>
    <s v="Rákóczi Ferenc út 191"/>
    <s v="ok"/>
    <n v="2"/>
    <n v="2"/>
    <x v="15"/>
    <n v="1"/>
    <n v="1"/>
    <n v="1"/>
  </r>
  <r>
    <x v="2"/>
    <s v="S01168_ENA"/>
    <s v="Diebold-Opteva 720 ATM Indoor"/>
    <s v="1720FH121719"/>
    <s v="1087"/>
    <s v="Budapest"/>
    <s v="Kerepesi út 9-11."/>
    <s v="ok"/>
    <n v="2"/>
    <n v="2"/>
    <x v="13"/>
    <e v="#N/A"/>
    <n v="0"/>
    <n v="2"/>
  </r>
  <r>
    <x v="2"/>
    <s v="S01169"/>
    <s v="Diebold-Opteva 522 Lobby Cash Dispenser"/>
    <s v="1522FH105474"/>
    <s v="1083"/>
    <s v="Budapest"/>
    <s v="Futó u. 37-43."/>
    <s v="ok"/>
    <n v="2"/>
    <n v="2"/>
    <x v="13"/>
    <e v="#N/A"/>
    <n v="0"/>
    <n v="2"/>
  </r>
  <r>
    <x v="2"/>
    <s v="S01170"/>
    <s v="Diebold-Opteva 520 ATM Indoor"/>
    <s v="1520FCF00235"/>
    <s v="1076"/>
    <s v="Budapest"/>
    <s v="Garay tér 20"/>
    <s v="ok"/>
    <n v="2"/>
    <n v="2"/>
    <x v="13"/>
    <e v="#N/A"/>
    <n v="0"/>
    <n v="2"/>
  </r>
  <r>
    <x v="2"/>
    <s v="S01173"/>
    <s v="Diebold-Opteva 522 Lobby Cash Dispenser"/>
    <s v="1522FH105478"/>
    <s v="1062"/>
    <s v="Budapest"/>
    <s v="Teréz krt 55-57."/>
    <s v="ok"/>
    <n v="2"/>
    <n v="2"/>
    <x v="13"/>
    <e v="#N/A"/>
    <n v="0"/>
    <n v="2"/>
  </r>
  <r>
    <x v="2"/>
    <s v="S01174"/>
    <s v="Diebold-Opteva 522 Lobby Cash Dispenser"/>
    <s v="1522FH105479"/>
    <s v="1143"/>
    <s v="Budapest"/>
    <s v="Erzsébet királyné útja 125."/>
    <s v="ok"/>
    <n v="2"/>
    <n v="2"/>
    <x v="14"/>
    <e v="#N/A"/>
    <n v="0"/>
    <n v="2"/>
  </r>
  <r>
    <x v="2"/>
    <s v="S01175"/>
    <s v="Diebold-Opteva 522 Lobby Cash Dispenser"/>
    <s v="1522FH105485"/>
    <s v="2750"/>
    <s v="Nagykőrös"/>
    <s v="Ceglédi u. 28."/>
    <s v="ok"/>
    <n v="2"/>
    <n v="2"/>
    <x v="11"/>
    <e v="#N/A"/>
    <n v="0"/>
    <n v="2"/>
  </r>
  <r>
    <x v="2"/>
    <s v="S01176"/>
    <s v="Diebold-Opteva 522 Lobby Cash Dispenser"/>
    <s v="1522FH105486"/>
    <s v="1131"/>
    <s v="Budapest"/>
    <s v="Reitter Ferenc u. 132."/>
    <s v="ok"/>
    <n v="2"/>
    <n v="2"/>
    <x v="14"/>
    <e v="#N/A"/>
    <n v="0"/>
    <n v="2"/>
  </r>
  <r>
    <x v="2"/>
    <s v="S01177"/>
    <s v="Diebold-Opteva 522 Lobby Cash Dispenser"/>
    <s v="1522FH105487"/>
    <s v="2600"/>
    <s v="Vác"/>
    <s v="Deres u.2."/>
    <s v="ok"/>
    <n v="2"/>
    <n v="2"/>
    <x v="6"/>
    <e v="#N/A"/>
    <n v="0"/>
    <n v="2"/>
  </r>
  <r>
    <x v="2"/>
    <s v="S01178"/>
    <s v="Diebold-Opteva 522 Lobby Cash Dispenser"/>
    <s v="1522FH105488"/>
    <s v="2230"/>
    <s v="Gyömrő"/>
    <s v="Mendei u. 2."/>
    <s v="ok"/>
    <n v="2"/>
    <n v="2"/>
    <x v="10"/>
    <e v="#N/A"/>
    <n v="0"/>
    <n v="2"/>
  </r>
  <r>
    <x v="2"/>
    <s v="S01179"/>
    <s v="OPT562 1GIG-DVD-UPS-LAN-A6-CEN3(4HIGH)"/>
    <s v="1562RH140526"/>
    <s v="2330"/>
    <s v="Dunaharaszti"/>
    <s v="Fő u 56."/>
    <s v="ok"/>
    <n v="2"/>
    <n v="2"/>
    <x v="15"/>
    <e v="#N/A"/>
    <n v="0"/>
    <n v="2"/>
  </r>
  <r>
    <x v="2"/>
    <s v="S01180"/>
    <s v="OPT562 1GIG-DVD-UPS-LAN-A6-CEN3(4HIGH)"/>
    <s v="1562RH140524"/>
    <s v="1045"/>
    <s v="Budapest"/>
    <s v="Árpád u. 183-185."/>
    <s v="ok"/>
    <n v="2"/>
    <n v="2"/>
    <x v="14"/>
    <e v="#N/A"/>
    <n v="0"/>
    <n v="2"/>
  </r>
  <r>
    <x v="2"/>
    <s v="S01181"/>
    <s v="Diebold-Opteva 760 ATM Outdoor"/>
    <s v="1760R3320543"/>
    <s v="1181"/>
    <s v="Budapest"/>
    <s v="Darus u. 5."/>
    <s v="ok"/>
    <n v="2"/>
    <n v="2"/>
    <x v="15"/>
    <e v="#N/A"/>
    <n v="0"/>
    <n v="2"/>
  </r>
  <r>
    <x v="2"/>
    <s v="S01182"/>
    <s v="OPT562 1GIG-DVD-UPS-LAN-A6-CEN3(4HIGH)"/>
    <s v="1562RH143038"/>
    <s v="1033"/>
    <s v="Budapest"/>
    <s v="Köles utca 1."/>
    <s v="ok"/>
    <n v="2"/>
    <n v="2"/>
    <x v="0"/>
    <e v="#N/A"/>
    <n v="0"/>
    <n v="2"/>
  </r>
  <r>
    <x v="2"/>
    <s v="S01183"/>
    <s v="OPT562 1GIG-DVD-UPS-LAN-A6-CEN3(4HIGH)"/>
    <s v="1562RH140525"/>
    <s v="1156"/>
    <s v="Budapest"/>
    <s v="Nyírpalota u. 2."/>
    <s v="ok"/>
    <n v="2"/>
    <n v="2"/>
    <x v="14"/>
    <n v="1"/>
    <n v="1"/>
    <n v="1"/>
  </r>
  <r>
    <x v="2"/>
    <s v="S01184"/>
    <s v="Diebold-Opteva 760 ATM Outdoor"/>
    <s v="1760R3320534"/>
    <s v="1173"/>
    <s v="Budapest"/>
    <s v="Pesti út 169."/>
    <s v="ok"/>
    <n v="2"/>
    <n v="2"/>
    <x v="10"/>
    <e v="#N/A"/>
    <n v="0"/>
    <n v="2"/>
  </r>
  <r>
    <x v="2"/>
    <s v="S01186"/>
    <s v="OPT562 1GIG-DVD-UPS-LAN-A6-CEN3(4HIGH)"/>
    <s v="1562RH126085"/>
    <s v="1182"/>
    <s v="Budapest"/>
    <s v="Üllői út 525."/>
    <s v="ok"/>
    <n v="2"/>
    <n v="2"/>
    <x v="15"/>
    <e v="#N/A"/>
    <n v="0"/>
    <n v="2"/>
  </r>
  <r>
    <x v="2"/>
    <s v="S01187"/>
    <s v="OPT562 1GIG-DVD-UPS-LAN-A6-CEN3(4HIGH)"/>
    <s v="1562RH140497"/>
    <s v="2030"/>
    <s v="Érd"/>
    <s v="Diósdi u. 46."/>
    <s v="ok"/>
    <n v="2"/>
    <n v="2"/>
    <x v="15"/>
    <e v="#N/A"/>
    <n v="0"/>
    <n v="2"/>
  </r>
  <r>
    <x v="2"/>
    <s v="S01188"/>
    <s v="OPT562 1GIG-DVD-UPS-LAN-A6-CEN3(4HIGH)"/>
    <s v="1562RH127143"/>
    <s v="2340"/>
    <s v="Kiskunlacháza"/>
    <s v="Dózsa György u. 168."/>
    <s v="ok"/>
    <n v="2"/>
    <n v="2"/>
    <x v="15"/>
    <n v="1"/>
    <n v="1"/>
    <n v="1"/>
  </r>
  <r>
    <x v="2"/>
    <s v="S01190"/>
    <s v="Diebold-Opteva 760 ATM Outdoor"/>
    <s v="1760RH120941"/>
    <s v="2144"/>
    <s v="Kerepes"/>
    <s v="Szabadság u. 248."/>
    <s v="ok"/>
    <n v="2"/>
    <n v="2"/>
    <x v="10"/>
    <e v="#N/A"/>
    <n v="0"/>
    <n v="2"/>
  </r>
  <r>
    <x v="2"/>
    <s v="S01191"/>
    <s v="OPT562 1GIG-DVD-UPS-LAN-A6-CEN3(4HIGH)"/>
    <s v="1562RCF01073"/>
    <s v="2370"/>
    <s v="Dabas"/>
    <s v="Szent István tér 1/c"/>
    <s v="ok"/>
    <n v="2"/>
    <n v="2"/>
    <x v="15"/>
    <e v="#N/A"/>
    <n v="0"/>
    <n v="2"/>
  </r>
  <r>
    <x v="2"/>
    <s v="S01192_ENA"/>
    <s v="Diebold-Opteva 720 ATM Indoor"/>
    <s v="1720FH121914"/>
    <s v="1191"/>
    <s v="Budapest"/>
    <s v="Vak Bottyán u. 75."/>
    <s v="ok"/>
    <n v="2"/>
    <n v="2"/>
    <x v="10"/>
    <n v="1"/>
    <n v="1"/>
    <n v="1"/>
  </r>
  <r>
    <x v="2"/>
    <s v="S01193"/>
    <s v="Diebold-Opteva 520 ATM Indoor"/>
    <s v="1520FH121652"/>
    <s v="2030"/>
    <s v="Érd"/>
    <s v="Budafoki út 2-4."/>
    <s v="ok"/>
    <n v="2"/>
    <n v="2"/>
    <x v="15"/>
    <e v="#N/A"/>
    <n v="0"/>
    <n v="2"/>
  </r>
  <r>
    <x v="2"/>
    <s v="S01194"/>
    <s v="Diebold-Opteva 522 Lobby Cash Dispenser"/>
    <s v="1522FH106938"/>
    <s v="2100"/>
    <s v="Gödöllő"/>
    <s v="Thegze Lajos utca 2."/>
    <s v="ok"/>
    <n v="2"/>
    <n v="2"/>
    <x v="10"/>
    <n v="1"/>
    <n v="1"/>
    <n v="1"/>
  </r>
  <r>
    <x v="2"/>
    <s v="S01195_ENA"/>
    <s v="Diebold-Opteva 760 ATM Outdoor"/>
    <s v="1760RH125414"/>
    <s v="1211"/>
    <s v="Budapest"/>
    <s v="Kossuth Lajos utca 70-86."/>
    <s v="ok"/>
    <n v="2"/>
    <n v="2"/>
    <x v="15"/>
    <n v="1"/>
    <n v="1"/>
    <n v="1"/>
  </r>
  <r>
    <x v="2"/>
    <s v="S01197"/>
    <s v="Diebold-Opteva 522 Lobby Cash Dispenser"/>
    <s v="1522FH106940"/>
    <s v="2040"/>
    <s v="Budaörs"/>
    <s v="Kinizsi út 1-3."/>
    <s v="ok"/>
    <n v="2"/>
    <n v="2"/>
    <x v="17"/>
    <e v="#N/A"/>
    <n v="0"/>
    <n v="2"/>
  </r>
  <r>
    <x v="2"/>
    <s v="S01198"/>
    <s v="OPT562 1GIG-DVD-UPS-LAN-A6-CEN3(4HIGH)"/>
    <s v="1562RH126039"/>
    <s v="2200"/>
    <s v="Monor"/>
    <s v="Ady Endre u. 57-59."/>
    <s v="ok"/>
    <n v="2"/>
    <n v="2"/>
    <x v="15"/>
    <e v="#N/A"/>
    <n v="0"/>
    <n v="2"/>
  </r>
  <r>
    <x v="2"/>
    <s v="S01199"/>
    <s v="Diebold-Opteva 760 ATM Outdoor"/>
    <s v="1760RH121545"/>
    <s v="1631"/>
    <s v="Budapest"/>
    <s v="Jókai Mór utca 2/B."/>
    <s v="ok"/>
    <n v="2"/>
    <n v="2"/>
    <x v="10"/>
    <e v="#N/A"/>
    <n v="0"/>
    <n v="2"/>
  </r>
  <r>
    <x v="2"/>
    <s v="S01200"/>
    <s v="OPT562 1GIG-DVD-UPS-LAN-A6-CEN3(4HIGH)"/>
    <s v="1562RH143043"/>
    <s v="2440"/>
    <s v="Százhalombatta"/>
    <s v="Szent László út 17."/>
    <s v="ok"/>
    <n v="2"/>
    <n v="2"/>
    <x v="7"/>
    <e v="#N/A"/>
    <n v="0"/>
    <n v="2"/>
  </r>
  <r>
    <x v="2"/>
    <s v="S01201_ENA"/>
    <s v="Diebold-Opteva 720 ATM Indoor"/>
    <s v="1720F3320039"/>
    <s v="1173"/>
    <s v="Budapest"/>
    <s v="Kaszáló u. 45."/>
    <s v="ok"/>
    <n v="2"/>
    <n v="2"/>
    <x v="10"/>
    <n v="1"/>
    <n v="1"/>
    <n v="1"/>
  </r>
  <r>
    <x v="2"/>
    <s v="S01203"/>
    <s v="Diebold-Opteva 520 ATM Indoor"/>
    <s v="1520FCF00236"/>
    <s v="1191"/>
    <s v="Budapest"/>
    <s v="Üllői út 201."/>
    <s v="ok"/>
    <n v="2"/>
    <n v="2"/>
    <x v="10"/>
    <e v="#N/A"/>
    <n v="0"/>
    <n v="2"/>
  </r>
  <r>
    <x v="2"/>
    <s v="S01206_ENA"/>
    <s v="Diebold-Opteva 760 ATM Outdoor"/>
    <s v="1760RH120949"/>
    <s v="2310"/>
    <s v="Szigetszentmiklós"/>
    <s v="Háros u. 120."/>
    <s v="ok"/>
    <n v="2"/>
    <n v="2"/>
    <x v="15"/>
    <n v="1"/>
    <n v="1"/>
    <n v="1"/>
  </r>
  <r>
    <x v="2"/>
    <s v="S01207"/>
    <s v="Diebold-Opteva 760 ATM Outdoor"/>
    <s v="1760R3320554"/>
    <s v="1054"/>
    <s v="Budapest"/>
    <s v="Károly körút 24."/>
    <s v="ok"/>
    <n v="2"/>
    <n v="2"/>
    <x v="13"/>
    <e v="#N/A"/>
    <n v="0"/>
    <n v="2"/>
  </r>
  <r>
    <x v="2"/>
    <s v="S01208"/>
    <s v="Diebold-Opteva 760 ATM Outdoor"/>
    <s v="1760RH120932"/>
    <s v="1048"/>
    <s v="Budapest"/>
    <s v="Óceánárok utca 3-5."/>
    <s v="ok"/>
    <n v="2"/>
    <n v="2"/>
    <x v="14"/>
    <e v="#N/A"/>
    <n v="0"/>
    <n v="2"/>
  </r>
  <r>
    <x v="2"/>
    <s v="S01209_ENA"/>
    <s v="Diebold-Opteva 720 ATM Indoor"/>
    <s v="1720FH123705"/>
    <s v="1054"/>
    <s v="Budapest"/>
    <s v="Szabadság tér 14."/>
    <s v="ok"/>
    <n v="2"/>
    <n v="2"/>
    <x v="13"/>
    <n v="1"/>
    <n v="1"/>
    <n v="1"/>
  </r>
  <r>
    <x v="2"/>
    <s v="S01210_ENA"/>
    <s v="Diebold-Opteva 720 ATM Indoor"/>
    <s v="1720FH120199"/>
    <s v="1152"/>
    <s v="Budapest"/>
    <s v="Szentmihályi út 137."/>
    <s v="ok"/>
    <n v="2"/>
    <n v="2"/>
    <x v="14"/>
    <n v="1"/>
    <n v="1"/>
    <n v="1"/>
  </r>
  <r>
    <x v="2"/>
    <s v="S01211"/>
    <s v="OPT562 1GIG-DVD-UPS-LAN-A6-CEN3(4HIGH)"/>
    <s v="1562RCF01068"/>
    <s v="2000"/>
    <s v="Szentendre"/>
    <s v="Dunakanyar krt. 46."/>
    <s v="ok"/>
    <n v="2"/>
    <n v="2"/>
    <x v="14"/>
    <e v="#N/A"/>
    <n v="0"/>
    <n v="2"/>
  </r>
  <r>
    <x v="2"/>
    <s v="S01212"/>
    <s v="Diebold-Opteva 520 ATM Indoor"/>
    <s v="1520FCF00224"/>
    <s v="1222"/>
    <s v="Budapest"/>
    <s v="Nagytétényi út 35."/>
    <s v="ok"/>
    <n v="2"/>
    <n v="2"/>
    <x v="17"/>
    <e v="#N/A"/>
    <n v="0"/>
    <n v="2"/>
  </r>
  <r>
    <x v="2"/>
    <s v="S01213_ENA"/>
    <s v="Diebold-Opteva 760 ATM Outdoor"/>
    <s v="1760R3320524"/>
    <s v="1051"/>
    <s v="Budapest"/>
    <s v="Vörösmarty tér 4."/>
    <s v="ok"/>
    <n v="2"/>
    <n v="2"/>
    <x v="13"/>
    <e v="#N/A"/>
    <n v="0"/>
    <n v="2"/>
  </r>
  <r>
    <x v="2"/>
    <s v="S01214"/>
    <s v="Diebold-Opteva 760 ATM Outdoor"/>
    <s v="1760R3320572"/>
    <s v="1051"/>
    <s v="Budapest"/>
    <s v="Vörösmarty tér 4."/>
    <s v="ok"/>
    <n v="2"/>
    <n v="2"/>
    <x v="13"/>
    <n v="1"/>
    <n v="1"/>
    <n v="1"/>
  </r>
  <r>
    <x v="2"/>
    <s v="S01215_ENA"/>
    <s v="Diebold-Opteva 720 ATM Indoor"/>
    <s v="1720F3320067"/>
    <s v="1123"/>
    <s v="Budapest"/>
    <s v="Alkotás u. 53."/>
    <s v="ok"/>
    <n v="2"/>
    <n v="2"/>
    <x v="0"/>
    <n v="1"/>
    <n v="1"/>
    <n v="1"/>
  </r>
  <r>
    <x v="2"/>
    <s v="S01216_ENA"/>
    <s v="Diebold-Opteva 760 ATM Outdoor"/>
    <s v="1760RH120939"/>
    <s v="1024"/>
    <s v="Budapest"/>
    <s v="Lövőház u. 2-6."/>
    <s v="ok"/>
    <n v="2"/>
    <n v="2"/>
    <x v="0"/>
    <n v="1"/>
    <n v="1"/>
    <n v="1"/>
  </r>
  <r>
    <x v="2"/>
    <s v="S01217"/>
    <s v="Diebold-Opteva 520 ATM Indoor"/>
    <s v="1520F3305919"/>
    <s v="1114"/>
    <s v="Budapest"/>
    <s v="Bartók Béla út 43-47."/>
    <s v="ok"/>
    <n v="2"/>
    <n v="2"/>
    <x v="17"/>
    <n v="1"/>
    <n v="1"/>
    <n v="1"/>
  </r>
  <r>
    <x v="2"/>
    <s v="S01218_ENA"/>
    <s v="Diebold-Opteva 720 ATM Indoor"/>
    <s v="1720FH123699"/>
    <s v="1114"/>
    <s v="Budapest"/>
    <s v="Bartók Béla út 43-47."/>
    <s v="ok"/>
    <n v="2"/>
    <n v="2"/>
    <x v="17"/>
    <n v="1"/>
    <n v="1"/>
    <n v="1"/>
  </r>
  <r>
    <x v="2"/>
    <s v="S01219"/>
    <s v="OPT562 1GIG-DVD-UPS-LAN-A6-CEN3(4HIGH)"/>
    <s v="1562RH143031"/>
    <s v="1103"/>
    <s v="Budapest"/>
    <s v="Kőér utca 2/a"/>
    <s v="ok"/>
    <n v="2"/>
    <n v="2"/>
    <x v="17"/>
    <e v="#N/A"/>
    <n v="0"/>
    <n v="2"/>
  </r>
  <r>
    <x v="2"/>
    <s v="S01220"/>
    <s v="OPT562 1GIG-DVD-UPS-LAN-A6-CEN3(4HIGH)"/>
    <s v="1562RH143034"/>
    <s v="1135"/>
    <s v="Budapest"/>
    <s v="Lehel u. 64."/>
    <s v="ok"/>
    <n v="2"/>
    <n v="2"/>
    <x v="14"/>
    <e v="#N/A"/>
    <n v="0"/>
    <n v="2"/>
  </r>
  <r>
    <x v="2"/>
    <s v="S01221"/>
    <s v="Diebold-Opteva 520 ATM Indoor"/>
    <s v="1520FCF00921"/>
    <s v="1066"/>
    <s v="Budapest"/>
    <s v="Teréz krt. 24."/>
    <s v="ok"/>
    <n v="2"/>
    <n v="2"/>
    <x v="13"/>
    <n v="1"/>
    <n v="1"/>
    <n v="1"/>
  </r>
  <r>
    <x v="2"/>
    <s v="S01222_ENA"/>
    <s v="Diebold-Opteva 720 ATM Indoor"/>
    <s v="1720FH121348"/>
    <s v="1066"/>
    <s v="Budapest"/>
    <s v="Teréz krt. 24."/>
    <s v="ok"/>
    <n v="2"/>
    <n v="2"/>
    <x v="13"/>
    <n v="1"/>
    <n v="1"/>
    <n v="1"/>
  </r>
  <r>
    <x v="2"/>
    <s v="S01223_ENA"/>
    <s v="Diebold-Opteva 720 ATM Indoor"/>
    <s v="1720FH121359"/>
    <s v="1066"/>
    <s v="Budapest"/>
    <s v="Teréz krt. 24."/>
    <s v="ok"/>
    <n v="2"/>
    <n v="2"/>
    <x v="13"/>
    <e v="#N/A"/>
    <n v="0"/>
    <n v="2"/>
  </r>
  <r>
    <x v="2"/>
    <s v="S01224"/>
    <s v="OPT562 1GIG-DVD-UPS-LAN-A6-CEN3(4HIGH)"/>
    <s v="1562RH143045"/>
    <s v="1085"/>
    <s v="Budapest"/>
    <s v="József krt. 27."/>
    <s v="ok"/>
    <n v="2"/>
    <n v="2"/>
    <x v="13"/>
    <e v="#N/A"/>
    <n v="0"/>
    <n v="2"/>
  </r>
  <r>
    <x v="2"/>
    <s v="S01225"/>
    <s v="OPT562 1GIG-DVD-UPS-LAN-A6-CEN3(4HIGH)"/>
    <s v="1562RH143037"/>
    <s v="1145"/>
    <s v="Budapest"/>
    <s v="Erzsébet királyné útja 30/b"/>
    <s v="ok"/>
    <n v="2"/>
    <n v="2"/>
    <x v="14"/>
    <e v="#N/A"/>
    <n v="0"/>
    <n v="2"/>
  </r>
  <r>
    <x v="2"/>
    <s v="S01226"/>
    <s v="Diebold-Opteva 520 ATM Indoor"/>
    <s v="1520FCF00922"/>
    <s v="1097"/>
    <s v="Budapest"/>
    <s v="Könyves Kálmán krt. 36."/>
    <s v="ok"/>
    <n v="2"/>
    <n v="2"/>
    <x v="17"/>
    <e v="#N/A"/>
    <n v="0"/>
    <n v="2"/>
  </r>
  <r>
    <x v="2"/>
    <s v="S01227"/>
    <s v="Diebold-Opteva 520 ATM Indoor"/>
    <s v="1520F3305873"/>
    <s v="1123"/>
    <s v="Budapest"/>
    <s v="Alkotás u. 55-61."/>
    <s v="ok"/>
    <n v="2"/>
    <n v="2"/>
    <x v="0"/>
    <e v="#N/A"/>
    <n v="0"/>
    <n v="2"/>
  </r>
  <r>
    <x v="2"/>
    <s v="S01228"/>
    <s v="OPT562 1GIG-DVD-UPS-LAN-A6-CEN3(4HIGH)"/>
    <s v="1562RH127310"/>
    <s v="1087"/>
    <s v="Budapest"/>
    <s v="Hungária krt. 40-44."/>
    <s v="ok"/>
    <n v="2"/>
    <n v="2"/>
    <x v="13"/>
    <e v="#N/A"/>
    <n v="0"/>
    <n v="2"/>
  </r>
  <r>
    <x v="2"/>
    <s v="S01229"/>
    <s v="OPT562 1GIG-DVD-UPS-LAN-A6-CEN3(4HIGH)"/>
    <s v="1562RH127302"/>
    <s v="1088"/>
    <s v="Budapest"/>
    <s v="Rákóczi út 1-3."/>
    <s v="ok"/>
    <n v="2"/>
    <n v="2"/>
    <x v="13"/>
    <e v="#N/A"/>
    <n v="0"/>
    <n v="2"/>
  </r>
  <r>
    <x v="2"/>
    <s v="S01230_ENA"/>
    <s v="Diebold-Opteva 760 ATM Outdoor"/>
    <s v="1760R3320586"/>
    <s v="1134"/>
    <s v="Budapest"/>
    <s v="Váci út 33."/>
    <s v="ok"/>
    <n v="2"/>
    <n v="2"/>
    <x v="14"/>
    <n v="1"/>
    <n v="1"/>
    <n v="1"/>
  </r>
  <r>
    <x v="2"/>
    <s v="S01231"/>
    <s v="Diebold-Opteva 760 ATM Outdoor"/>
    <s v="1760RH120565"/>
    <s v="1111"/>
    <s v="Budapest"/>
    <s v="Stoczek utca 4."/>
    <s v="ok"/>
    <n v="2"/>
    <n v="1"/>
    <x v="17"/>
    <e v="#N/A"/>
    <n v="0"/>
    <n v="1"/>
  </r>
  <r>
    <x v="2"/>
    <s v="S01232_ENA"/>
    <s v="Diebold-Opteva 760 ATM Outdoor"/>
    <s v="1760RH125412"/>
    <s v="1011"/>
    <s v="Budapest"/>
    <s v="Krisztina tér 2."/>
    <s v="ok"/>
    <e v="#N/A"/>
    <e v="#N/A"/>
    <x v="18"/>
    <e v="#N/A"/>
    <n v="0"/>
    <e v="#N/A"/>
  </r>
  <r>
    <x v="2"/>
    <s v="S02001"/>
    <s v="Diebold-Opteva 760 ATM Outdoor"/>
    <s v="1760R3320546"/>
    <s v="7601"/>
    <s v="Pécs"/>
    <s v="Rákóczi u. 19."/>
    <s v="ok"/>
    <n v="2"/>
    <n v="2"/>
    <x v="12"/>
    <n v="1"/>
    <n v="1"/>
    <n v="1"/>
  </r>
  <r>
    <x v="2"/>
    <s v="S02002_ENA"/>
    <s v="Diebold-Opteva 720 ATM Indoor"/>
    <s v="1720F3320047"/>
    <s v="8900"/>
    <s v="Zalaegerszeg"/>
    <s v="Ispotály köz 2."/>
    <s v="ok"/>
    <n v="2"/>
    <n v="2"/>
    <x v="9"/>
    <n v="1"/>
    <n v="1"/>
    <n v="1"/>
  </r>
  <r>
    <x v="2"/>
    <s v="S02003"/>
    <s v="Diebold-Opteva 760 ATM Outdoor"/>
    <s v="1760RH120937"/>
    <s v="7400"/>
    <s v="Kaposvár"/>
    <s v="Csokonai Vitéz M. u. 8."/>
    <s v="ok"/>
    <n v="2"/>
    <n v="2"/>
    <x v="12"/>
    <n v="1"/>
    <n v="1"/>
    <n v="1"/>
  </r>
  <r>
    <x v="2"/>
    <s v="S02006"/>
    <s v="Diebold-Opteva 720 ATM Indoor"/>
    <s v="1720FH120182"/>
    <s v="7030"/>
    <s v="Paks"/>
    <s v="1. Porta"/>
    <s v="ok"/>
    <n v="2"/>
    <n v="2"/>
    <x v="7"/>
    <n v="1"/>
    <n v="1"/>
    <n v="1"/>
  </r>
  <r>
    <x v="2"/>
    <s v="S02007"/>
    <s v="Diebold-Opteva 760 ATM Outdoor"/>
    <s v="1760RH120579"/>
    <s v="7030"/>
    <s v="Paks"/>
    <s v="Barátság u.2."/>
    <s v="ok"/>
    <n v="2"/>
    <n v="2"/>
    <x v="7"/>
    <n v="1"/>
    <n v="1"/>
    <n v="1"/>
  </r>
  <r>
    <x v="2"/>
    <s v="S02008"/>
    <s v="Diebold-Opteva 760 ATM Outdoor"/>
    <s v="1760RH120608"/>
    <s v="8900"/>
    <s v="Zalaegerszeg"/>
    <s v="Köztársaság u. 65-67."/>
    <s v="ok"/>
    <n v="2"/>
    <n v="2"/>
    <x v="9"/>
    <e v="#N/A"/>
    <n v="0"/>
    <n v="2"/>
  </r>
  <r>
    <x v="2"/>
    <s v="S02011"/>
    <s v="Diebold-Opteva 760 ATM Outdoor"/>
    <s v="1760RH120944"/>
    <s v="7100"/>
    <s v="Szekszárd"/>
    <s v="Pollack M. u. 2-6."/>
    <s v="ok"/>
    <n v="2"/>
    <n v="2"/>
    <x v="7"/>
    <e v="#N/A"/>
    <n v="0"/>
    <n v="2"/>
  </r>
  <r>
    <x v="2"/>
    <s v="S02019"/>
    <s v="OPT562 1GIG-DVD-UPS-LAN-A6-CEN3(4HIGH)"/>
    <s v="1562RCF01067"/>
    <s v="8600"/>
    <s v="Siófok"/>
    <s v="Mártírok útja 11."/>
    <s v="ok"/>
    <n v="2"/>
    <n v="2"/>
    <x v="4"/>
    <e v="#N/A"/>
    <n v="0"/>
    <n v="2"/>
  </r>
  <r>
    <x v="2"/>
    <s v="S02020"/>
    <s v="Diebold-Opteva 760 ATM Outdoor"/>
    <s v="1760RH120577"/>
    <s v="7633"/>
    <s v="Pécs"/>
    <s v="Ybl Miklós u. 8."/>
    <s v="ok"/>
    <n v="2"/>
    <n v="2"/>
    <x v="12"/>
    <e v="#N/A"/>
    <n v="0"/>
    <n v="2"/>
  </r>
  <r>
    <x v="2"/>
    <s v="S02026"/>
    <s v="Diebold-Opteva 720 ATM Indoor"/>
    <s v="1720F3320065"/>
    <s v="7631"/>
    <s v="Pécs"/>
    <s v="Megyeri u. 76."/>
    <s v="ok"/>
    <n v="2"/>
    <n v="2"/>
    <x v="12"/>
    <n v="1"/>
    <n v="1"/>
    <n v="1"/>
  </r>
  <r>
    <x v="2"/>
    <s v="S02031"/>
    <s v="Diebold-Opteva 760 ATM Outdoor"/>
    <s v="1760R3320584"/>
    <s v="8640"/>
    <s v="Fonyód"/>
    <s v="Ady u. 1."/>
    <s v="ok"/>
    <n v="2"/>
    <n v="2"/>
    <x v="9"/>
    <n v="1"/>
    <n v="1"/>
    <n v="1"/>
  </r>
  <r>
    <x v="2"/>
    <s v="S02032"/>
    <s v="Diebold-Opteva 760 ATM Outdoor"/>
    <s v="1760R3320557"/>
    <s v="8638"/>
    <s v="Balatonlelle"/>
    <s v="Ady Endre u. 3."/>
    <s v="ok"/>
    <n v="2"/>
    <n v="2"/>
    <x v="9"/>
    <n v="1"/>
    <n v="1"/>
    <n v="1"/>
  </r>
  <r>
    <x v="2"/>
    <s v="S02035"/>
    <s v="Diebold-Opteva 760 ATM Outdoor"/>
    <s v="1760RH120537"/>
    <s v="8749"/>
    <s v="Zalakaros"/>
    <s v="Gyógyfürdő tér 3."/>
    <s v="ok"/>
    <n v="2"/>
    <n v="2"/>
    <x v="9"/>
    <e v="#N/A"/>
    <n v="0"/>
    <n v="2"/>
  </r>
  <r>
    <x v="2"/>
    <s v="S02037"/>
    <s v="Diebold-Opteva 720 ATM Indoor"/>
    <s v="1720F3320063"/>
    <s v="8800"/>
    <s v="Nagykanizsa"/>
    <s v="Európa Tanács u. 2."/>
    <s v="ok"/>
    <n v="2"/>
    <n v="2"/>
    <x v="9"/>
    <n v="1"/>
    <n v="1"/>
    <n v="1"/>
  </r>
  <r>
    <x v="2"/>
    <s v="S02041"/>
    <s v="Diebold-Opteva 760 ATM Outdoor"/>
    <s v="1760RH120578"/>
    <s v="7900"/>
    <s v="Szigetvár"/>
    <s v="József A. u. 27-31."/>
    <s v="ok"/>
    <n v="2"/>
    <n v="2"/>
    <x v="12"/>
    <e v="#N/A"/>
    <n v="0"/>
    <n v="2"/>
  </r>
  <r>
    <x v="2"/>
    <s v="S02044"/>
    <s v="Diebold-Opteva 760 ATM Outdoor"/>
    <s v="1760RH120607"/>
    <s v="8600"/>
    <s v="Siófok"/>
    <s v="Fő út 186-188."/>
    <s v="ok"/>
    <n v="2"/>
    <n v="2"/>
    <x v="4"/>
    <e v="#N/A"/>
    <n v="0"/>
    <n v="2"/>
  </r>
  <r>
    <x v="2"/>
    <s v="S02047"/>
    <s v="Diebold-Opteva 760 ATM Outdoor"/>
    <s v="1760R3320559"/>
    <s v="7100"/>
    <s v="Szekszárd"/>
    <s v="Arany J. u. 17-21."/>
    <s v="ok"/>
    <n v="2"/>
    <n v="2"/>
    <x v="7"/>
    <e v="#N/A"/>
    <n v="0"/>
    <n v="2"/>
  </r>
  <r>
    <x v="2"/>
    <s v="S02048_ENA"/>
    <s v="Diebold-Opteva 720 ATM Indoor"/>
    <s v="1720FH121723"/>
    <s v="8400"/>
    <s v="Ajka"/>
    <s v="Szabadság tér 4/a"/>
    <s v="ok"/>
    <n v="2"/>
    <n v="2"/>
    <x v="4"/>
    <n v="1"/>
    <n v="1"/>
    <n v="1"/>
  </r>
  <r>
    <x v="2"/>
    <s v="S02052_ENA"/>
    <s v="Diebold-Opteva 720 ATM Indoor"/>
    <s v="1720FH123703"/>
    <s v="7700"/>
    <s v="Mohács"/>
    <s v="Szabadság út 16."/>
    <s v="ok"/>
    <n v="2"/>
    <n v="2"/>
    <x v="12"/>
    <n v="1"/>
    <n v="1"/>
    <n v="1"/>
  </r>
  <r>
    <x v="2"/>
    <s v="S02053"/>
    <s v="Diebold-Opteva 760 ATM Outdoor"/>
    <s v="1760R3320539"/>
    <s v="7400"/>
    <s v="Kaposvár"/>
    <s v="Teleki u.15"/>
    <s v="ok"/>
    <n v="2"/>
    <n v="2"/>
    <x v="12"/>
    <n v="1"/>
    <n v="1"/>
    <n v="1"/>
  </r>
  <r>
    <x v="2"/>
    <s v="S02058"/>
    <s v="Diebold-Opteva 720 ATM Indoor"/>
    <s v="1720FH121344"/>
    <s v="8800"/>
    <s v="Nagykanizsa"/>
    <s v="Kalmár u 6."/>
    <s v="ok"/>
    <n v="2"/>
    <n v="2"/>
    <x v="9"/>
    <n v="1"/>
    <n v="1"/>
    <n v="1"/>
  </r>
  <r>
    <x v="2"/>
    <s v="S02059"/>
    <s v="Diebold-Opteva 760 ATM Outdoor"/>
    <s v="1760RH120967"/>
    <s v="8600"/>
    <s v="Siófok"/>
    <s v="Szent László u. 183"/>
    <s v="ok"/>
    <n v="2"/>
    <n v="2"/>
    <x v="4"/>
    <e v="#N/A"/>
    <n v="0"/>
    <n v="2"/>
  </r>
  <r>
    <x v="2"/>
    <s v="S02060"/>
    <s v="Diebold-Opteva 760 ATM Outdoor"/>
    <s v="1760RH120969"/>
    <s v="7570"/>
    <s v="Barcs"/>
    <s v="Erkel Ferenc u. 1. Spar Áruház"/>
    <s v="ok"/>
    <n v="2"/>
    <n v="2"/>
    <x v="12"/>
    <e v="#N/A"/>
    <n v="0"/>
    <n v="2"/>
  </r>
  <r>
    <x v="2"/>
    <s v="S02061"/>
    <s v="Diebold-Opteva 720 ATM Indoor"/>
    <s v="1720FH121354"/>
    <s v="7400"/>
    <s v="Kaposvár"/>
    <s v="Guba Sándor u. 40."/>
    <s v="ok"/>
    <n v="2"/>
    <n v="2"/>
    <x v="12"/>
    <e v="#N/A"/>
    <n v="0"/>
    <n v="2"/>
  </r>
  <r>
    <x v="2"/>
    <s v="S02062_ENA"/>
    <s v="Diebold-Opteva 720 ATM Indoor"/>
    <s v="1720FH121351"/>
    <s v="8800"/>
    <s v="Nagykanizsa"/>
    <s v="Fő u. 2."/>
    <s v="ok"/>
    <n v="2"/>
    <n v="2"/>
    <x v="9"/>
    <n v="1"/>
    <n v="1"/>
    <n v="1"/>
  </r>
  <r>
    <x v="2"/>
    <s v="S02063_ENA"/>
    <s v="Diebold-Opteva 720 ATM Indoor"/>
    <s v="1720FH123707"/>
    <s v="7030"/>
    <s v="Paks"/>
    <s v="Dózsa György út 64."/>
    <s v="ok"/>
    <n v="2"/>
    <n v="2"/>
    <x v="7"/>
    <n v="1"/>
    <n v="1"/>
    <n v="1"/>
  </r>
  <r>
    <x v="2"/>
    <s v="S02064"/>
    <s v="Diebold-Opteva 720 ATM Indoor"/>
    <s v="1720FH121363"/>
    <s v="8800"/>
    <s v="Nagykanizsa"/>
    <s v="Táborhely u. 4."/>
    <s v="ok"/>
    <n v="2"/>
    <n v="2"/>
    <x v="9"/>
    <n v="1"/>
    <n v="1"/>
    <n v="1"/>
  </r>
  <r>
    <x v="2"/>
    <s v="S02065"/>
    <s v="Diebold-Opteva 520 ATM Indoor"/>
    <s v="1520F3305872"/>
    <s v="7634"/>
    <s v="Pécs"/>
    <s v="Makay I. út 5."/>
    <s v="ok"/>
    <n v="2"/>
    <n v="2"/>
    <x v="12"/>
    <e v="#N/A"/>
    <n v="0"/>
    <n v="2"/>
  </r>
  <r>
    <x v="2"/>
    <s v="S02066"/>
    <s v="Diebold-Opteva 522 Lobby Cash Dispenser"/>
    <s v="1522FH100276"/>
    <s v="7150"/>
    <s v="Bonyhád"/>
    <s v="Völgység u. 8"/>
    <s v="ok"/>
    <n v="2"/>
    <n v="2"/>
    <x v="12"/>
    <e v="#N/A"/>
    <n v="0"/>
    <n v="2"/>
  </r>
  <r>
    <x v="2"/>
    <s v="S02067"/>
    <s v="Diebold-Opteva 522 Lobby Cash Dispenser"/>
    <s v="1522FH100279"/>
    <s v="7500"/>
    <s v="Nagyatád"/>
    <s v="Szabadság u. 38."/>
    <s v="ok"/>
    <n v="2"/>
    <n v="2"/>
    <x v="12"/>
    <e v="#N/A"/>
    <n v="0"/>
    <n v="2"/>
  </r>
  <r>
    <x v="2"/>
    <s v="S02068"/>
    <s v="Diebold-Opteva 760 ATM Outdoor"/>
    <s v="1760RH121546"/>
    <s v="7400"/>
    <s v="Kaposvár"/>
    <s v="Baross Gábor út"/>
    <s v="ok"/>
    <n v="2"/>
    <n v="2"/>
    <x v="12"/>
    <n v="1"/>
    <n v="1"/>
    <n v="1"/>
  </r>
  <r>
    <x v="2"/>
    <s v="S02069"/>
    <s v="Diebold-Opteva 720 ATM Indoor"/>
    <s v="1720FH121909"/>
    <s v="8900"/>
    <s v="Zalaegerszeg"/>
    <s v="Sport u. 1."/>
    <s v="ok"/>
    <n v="2"/>
    <n v="2"/>
    <x v="9"/>
    <n v="1"/>
    <n v="1"/>
    <n v="1"/>
  </r>
  <r>
    <x v="2"/>
    <s v="S02070"/>
    <s v="Diebold-Opteva 522 Lobby Cash Dispenser"/>
    <s v="1522FH105482"/>
    <s v="7801"/>
    <s v="Siklós"/>
    <s v="Harkányi ut 55."/>
    <s v="ok"/>
    <n v="2"/>
    <n v="2"/>
    <x v="12"/>
    <e v="#N/A"/>
    <n v="0"/>
    <n v="2"/>
  </r>
  <r>
    <x v="2"/>
    <s v="S02071"/>
    <s v="OPT562 1GIG-DVD-UPS-LAN-A6-CEN3(4HIGH)"/>
    <s v="1562RH140532"/>
    <s v="7020"/>
    <s v="Dunaföldvár"/>
    <s v="Paksi u. 1."/>
    <s v="ok"/>
    <n v="2"/>
    <n v="2"/>
    <x v="7"/>
    <e v="#N/A"/>
    <n v="0"/>
    <n v="2"/>
  </r>
  <r>
    <x v="2"/>
    <s v="S02072"/>
    <s v="OPT562 1GIG-DVD-UPS-LAN-A6-CEN3(4HIGH)"/>
    <s v="1562RH140535"/>
    <s v="7815"/>
    <s v="Harkány"/>
    <s v="Ady Endre u. 1/A."/>
    <s v="ok"/>
    <n v="2"/>
    <n v="2"/>
    <x v="12"/>
    <e v="#N/A"/>
    <n v="0"/>
    <n v="2"/>
  </r>
  <r>
    <x v="2"/>
    <s v="S02073"/>
    <s v="OPT562 1GIG-DVD-UPS-LAN-A6-CEN3(4HIGH)"/>
    <s v="1562RH140531"/>
    <s v="8360"/>
    <s v="Keszthely"/>
    <s v="Bercsényi M. út 16/A"/>
    <s v="ok"/>
    <n v="2"/>
    <n v="2"/>
    <x v="9"/>
    <n v="1"/>
    <n v="1"/>
    <n v="1"/>
  </r>
  <r>
    <x v="2"/>
    <s v="S02074"/>
    <s v="OPT562 1GIG-DVD-UPS-LAN-A6-CEN3(4HIGH)"/>
    <s v="1562RH140533"/>
    <s v="7130"/>
    <s v="Tolna"/>
    <s v="Deák Ferenc u. 81"/>
    <s v="ok"/>
    <n v="2"/>
    <n v="2"/>
    <x v="7"/>
    <n v="1"/>
    <n v="1"/>
    <n v="1"/>
  </r>
  <r>
    <x v="2"/>
    <s v="S02076_ENA"/>
    <s v="Diebold-Opteva 760 ATM Outdoor"/>
    <s v="1760R3320576"/>
    <s v="7400"/>
    <s v="Kaposvár"/>
    <s v="Fő utca 2."/>
    <s v="ok"/>
    <n v="2"/>
    <n v="2"/>
    <x v="12"/>
    <e v="#N/A"/>
    <n v="0"/>
    <n v="2"/>
  </r>
  <r>
    <x v="2"/>
    <s v="S02077"/>
    <s v="OPT562 1GIG-DVD-UPS-LAN-A6-CEN3(4HIGH)"/>
    <s v="1562RH126084"/>
    <s v="7500"/>
    <s v="Nagyatád"/>
    <s v="Korányi u. 21-23."/>
    <s v="ok"/>
    <n v="2"/>
    <n v="2"/>
    <x v="12"/>
    <e v="#N/A"/>
    <n v="0"/>
    <n v="2"/>
  </r>
  <r>
    <x v="2"/>
    <s v="S02078"/>
    <s v="OPT562 1GIG-DVD-UPS-LAN-A6-CEN3(4HIGH)"/>
    <s v="1562RH143042"/>
    <s v="7400"/>
    <s v="Kaposvár"/>
    <s v="Berzsenyi u. 9."/>
    <s v="ok"/>
    <n v="2"/>
    <n v="2"/>
    <x v="12"/>
    <n v="1"/>
    <n v="1"/>
    <n v="1"/>
  </r>
  <r>
    <x v="2"/>
    <s v="S02081"/>
    <s v="Diebold-Opteva 760 ATM Outdoor"/>
    <s v="1760R3320555"/>
    <s v="7370"/>
    <s v="Sásd"/>
    <s v="Rákóczi u. 15"/>
    <s v="ok"/>
    <n v="2"/>
    <n v="2"/>
    <x v="12"/>
    <e v="#N/A"/>
    <n v="0"/>
    <n v="2"/>
  </r>
  <r>
    <x v="2"/>
    <s v="S02082"/>
    <s v="Diebold-Opteva 520 ATM Indoor"/>
    <s v="1520F3305870"/>
    <s v="8600"/>
    <s v="Siófok"/>
    <s v="Fő tér 6."/>
    <s v="ok"/>
    <n v="2"/>
    <n v="2"/>
    <x v="4"/>
    <e v="#N/A"/>
    <n v="0"/>
    <n v="2"/>
  </r>
  <r>
    <x v="2"/>
    <s v="S02083"/>
    <s v="Diebold-Opteva 760 ATM Outdoor"/>
    <s v="1760R3320549"/>
    <s v="8840"/>
    <s v="Csurgó"/>
    <s v="Petőfi tér 1/a"/>
    <s v="ok"/>
    <n v="2"/>
    <n v="2"/>
    <x v="9"/>
    <e v="#N/A"/>
    <n v="0"/>
    <n v="2"/>
  </r>
  <r>
    <x v="2"/>
    <s v="S02084_ENA"/>
    <s v="Diebold-Opteva 720 ATM Indoor"/>
    <s v="1720F3320045"/>
    <s v="8360"/>
    <s v="Keszthely"/>
    <s v="Kossuth utca 11"/>
    <s v="ok"/>
    <n v="2"/>
    <n v="2"/>
    <x v="9"/>
    <n v="1"/>
    <n v="1"/>
    <n v="1"/>
  </r>
  <r>
    <x v="2"/>
    <s v="S03001"/>
    <s v="Diebold-Opteva 760 ATM Outdoor"/>
    <s v="1760R3320580"/>
    <s v="4024"/>
    <s v="Debrecen"/>
    <s v="Vár u. 4."/>
    <s v="ok"/>
    <n v="2"/>
    <n v="2"/>
    <x v="16"/>
    <n v="1"/>
    <n v="1"/>
    <n v="1"/>
  </r>
  <r>
    <x v="2"/>
    <s v="S03002"/>
    <s v="Diebold-Opteva 760 ATM Outdoor"/>
    <s v="1760R3320562"/>
    <s v="4026"/>
    <s v="Debrecen"/>
    <s v="Bethlen G. u. 1."/>
    <s v="ok"/>
    <n v="2"/>
    <n v="2"/>
    <x v="16"/>
    <n v="1"/>
    <n v="1"/>
    <n v="1"/>
  </r>
  <r>
    <x v="2"/>
    <s v="S03003"/>
    <s v="Diebold-Opteva 760 ATM Outdoor"/>
    <s v="1760RH120540"/>
    <s v="4400"/>
    <s v="Nyíregyháza"/>
    <s v="Nyár u. 8."/>
    <s v="ok"/>
    <n v="2"/>
    <n v="2"/>
    <x v="1"/>
    <e v="#N/A"/>
    <n v="0"/>
    <n v="2"/>
  </r>
  <r>
    <x v="2"/>
    <s v="S03004"/>
    <s v="Diebold-Opteva 760 ATM Outdoor"/>
    <s v="1760RH120532"/>
    <s v="4400"/>
    <s v="Nyíregyháza"/>
    <s v="Bethlen G. u. 4."/>
    <s v="ok"/>
    <n v="2"/>
    <n v="2"/>
    <x v="1"/>
    <n v="1"/>
    <n v="1"/>
    <n v="1"/>
  </r>
  <r>
    <x v="2"/>
    <s v="S03005_ENA"/>
    <s v="Diebold-Opteva 720 ATM Indoor"/>
    <s v="1720FH121361"/>
    <s v="4625"/>
    <s v="Záhony"/>
    <s v="Ady Endre u. 27-31."/>
    <s v="ok"/>
    <n v="2"/>
    <n v="2"/>
    <x v="1"/>
    <n v="1"/>
    <n v="1"/>
    <n v="1"/>
  </r>
  <r>
    <x v="2"/>
    <s v="S03006_ENA"/>
    <s v="Diebold-Opteva 720 ATM Indoor"/>
    <s v="1720F3320062"/>
    <s v="5000"/>
    <s v="Szolnok"/>
    <s v="Baross u. 8."/>
    <s v="ok"/>
    <n v="2"/>
    <n v="2"/>
    <x v="11"/>
    <n v="1"/>
    <n v="1"/>
    <n v="1"/>
  </r>
  <r>
    <x v="2"/>
    <s v="S03007"/>
    <s v="Diebold-Opteva 760 ATM Outdoor"/>
    <s v="1760RH120950"/>
    <s v="4600"/>
    <s v="Kisvárda"/>
    <s v="Temesvári u. 17."/>
    <s v="ok"/>
    <n v="2"/>
    <n v="2"/>
    <x v="1"/>
    <n v="1"/>
    <n v="1"/>
    <n v="1"/>
  </r>
  <r>
    <x v="2"/>
    <s v="S03010"/>
    <s v="Diebold-Opteva 760 ATM Outdoor"/>
    <s v="1760R3320538"/>
    <s v="4024"/>
    <s v="Debrecen"/>
    <s v="Füredi út 98."/>
    <s v="ok"/>
    <n v="2"/>
    <n v="2"/>
    <x v="16"/>
    <n v="1"/>
    <n v="1"/>
    <n v="1"/>
  </r>
  <r>
    <x v="2"/>
    <s v="S03012_ENA"/>
    <s v="Diebold-Opteva 720 ATM Indoor"/>
    <s v="1720FH123701"/>
    <s v="4080"/>
    <s v="Hajdúnánás"/>
    <s v="Dorogi u. 10-14."/>
    <s v="ok"/>
    <n v="2"/>
    <n v="2"/>
    <x v="16"/>
    <n v="1"/>
    <n v="1"/>
    <n v="1"/>
  </r>
  <r>
    <x v="2"/>
    <s v="S03013"/>
    <s v="Diebold-Opteva 760 ATM Outdoor"/>
    <s v="1760RH120935"/>
    <s v="4200"/>
    <s v="Hajdúszoboszló"/>
    <s v="Szilfákalja u. 44."/>
    <s v="ok"/>
    <n v="2"/>
    <n v="2"/>
    <x v="16"/>
    <e v="#N/A"/>
    <n v="0"/>
    <n v="2"/>
  </r>
  <r>
    <x v="2"/>
    <s v="S03016_ENA"/>
    <s v="Diebold-Opteva 760 ATM Outdoor"/>
    <s v="1760RH120539"/>
    <s v="5100"/>
    <s v="Jászberény"/>
    <s v="Szabadság tér 10."/>
    <s v="ok"/>
    <n v="2"/>
    <n v="2"/>
    <x v="10"/>
    <e v="#N/A"/>
    <n v="0"/>
    <n v="2"/>
  </r>
  <r>
    <x v="2"/>
    <s v="S03018"/>
    <s v="Diebold-Opteva 760 ATM Outdoor"/>
    <s v="1760RH120550"/>
    <s v="4220"/>
    <s v="Hajdúböszörmény"/>
    <s v="Kossuth L. u. 3."/>
    <s v="ok"/>
    <n v="2"/>
    <n v="2"/>
    <x v="16"/>
    <e v="#N/A"/>
    <n v="0"/>
    <n v="2"/>
  </r>
  <r>
    <x v="2"/>
    <s v="S03019"/>
    <s v="Diebold-Opteva 760 ATM Outdoor"/>
    <s v="1760RH120936"/>
    <s v="4034"/>
    <s v="Debrecen"/>
    <s v="Faraktár u. 67."/>
    <s v="ok"/>
    <n v="2"/>
    <n v="2"/>
    <x v="16"/>
    <n v="1"/>
    <n v="1"/>
    <n v="1"/>
  </r>
  <r>
    <x v="2"/>
    <s v="S03020"/>
    <s v="OPT562 1GIG-DVD-UPS-LAN-A6-CEN3(4HIGH)"/>
    <s v="1562RH127305"/>
    <s v="4765"/>
    <s v="Csenger"/>
    <s v="Ady Endre u. 2."/>
    <s v="ok"/>
    <n v="2"/>
    <n v="2"/>
    <x v="1"/>
    <n v="1"/>
    <n v="1"/>
    <n v="1"/>
  </r>
  <r>
    <x v="2"/>
    <s v="S03024"/>
    <s v="Diebold-Opteva 760 ATM Outdoor"/>
    <s v="1760RH120572"/>
    <s v="5440"/>
    <s v="Kunszentmárton"/>
    <s v="Kossuth L. út 1."/>
    <s v="ok"/>
    <n v="2"/>
    <n v="2"/>
    <x v="11"/>
    <e v="#N/A"/>
    <n v="0"/>
    <n v="2"/>
  </r>
  <r>
    <x v="2"/>
    <s v="S03027"/>
    <s v="Diebold-Opteva 720 ATM Indoor"/>
    <s v="1720F3320064"/>
    <s v="4400"/>
    <s v="Nyíregyháza"/>
    <s v="Szegfű utca 75."/>
    <s v="ok"/>
    <n v="2"/>
    <n v="2"/>
    <x v="1"/>
    <e v="#N/A"/>
    <n v="0"/>
    <n v="2"/>
  </r>
  <r>
    <x v="2"/>
    <s v="S03029_IDMBD"/>
    <s v="Diebold-Opteva 720 ATM Indoor"/>
    <s v="1720FH120198"/>
    <s v="4031"/>
    <s v="Debrecen"/>
    <s v="Kishatár u. 7."/>
    <s v="ok"/>
    <n v="2"/>
    <n v="2"/>
    <x v="16"/>
    <n v="1"/>
    <n v="1"/>
    <n v="1"/>
  </r>
  <r>
    <x v="2"/>
    <s v="S03030_ENA"/>
    <s v="Diebold-Opteva 760 ATM Outdoor"/>
    <s v="1760R3320587"/>
    <s v="5300"/>
    <s v="Karcag"/>
    <s v="Kossuth tér 6."/>
    <s v="ok"/>
    <n v="2"/>
    <n v="2"/>
    <x v="16"/>
    <e v="#N/A"/>
    <n v="0"/>
    <n v="2"/>
  </r>
  <r>
    <x v="2"/>
    <s v="S03031_ENA"/>
    <s v="Diebold-Opteva 760 ATM Outdoor"/>
    <s v="1760R3320553"/>
    <s v="5200"/>
    <s v="Törökszentmiklós"/>
    <s v="Kossuth u. 125."/>
    <s v="ok"/>
    <n v="2"/>
    <n v="2"/>
    <x v="11"/>
    <n v="1"/>
    <n v="1"/>
    <n v="1"/>
  </r>
  <r>
    <x v="2"/>
    <s v="S03032_ENA"/>
    <s v="Diebold-Opteva 720 ATM Indoor"/>
    <s v="1720F3320041"/>
    <s v="4600"/>
    <s v="Kisvárda"/>
    <s v="Szent László út 26."/>
    <s v="ok"/>
    <n v="2"/>
    <n v="2"/>
    <x v="1"/>
    <n v="1"/>
    <n v="1"/>
    <n v="1"/>
  </r>
  <r>
    <x v="2"/>
    <s v="S03035"/>
    <s v="Diebold-Opteva 760 ATM Outdoor"/>
    <s v="1760RH120541"/>
    <s v="5130"/>
    <s v="Jászapáti"/>
    <s v="István király u. 3."/>
    <s v="ok"/>
    <n v="2"/>
    <n v="2"/>
    <x v="11"/>
    <e v="#N/A"/>
    <n v="0"/>
    <n v="2"/>
  </r>
  <r>
    <x v="2"/>
    <s v="S03036"/>
    <s v="OPT562 1GIG-DVD-UPS-LAN-A6-CEN3(4HIGH)"/>
    <s v="1562RH127300"/>
    <s v="4700"/>
    <s v="Mátészalka"/>
    <s v="Kossuth u. 47."/>
    <s v="ok"/>
    <n v="2"/>
    <n v="2"/>
    <x v="1"/>
    <n v="1"/>
    <n v="1"/>
    <n v="1"/>
  </r>
  <r>
    <x v="2"/>
    <s v="S03037"/>
    <s v="Diebold-Opteva 760 ATM Outdoor"/>
    <s v="1760RH120551"/>
    <s v="4030"/>
    <s v="Debrecen"/>
    <s v="Vágóhíd u. 3."/>
    <s v="ok"/>
    <n v="2"/>
    <n v="2"/>
    <x v="16"/>
    <e v="#N/A"/>
    <n v="0"/>
    <n v="2"/>
  </r>
  <r>
    <x v="2"/>
    <s v="S03038_ENA"/>
    <s v="Diebold-Opteva 760 ATM Outdoor"/>
    <s v="1760R3320581"/>
    <s v="4024"/>
    <s v="Debrecen"/>
    <s v="Vár u. 4."/>
    <s v="ok"/>
    <n v="2"/>
    <n v="2"/>
    <x v="16"/>
    <n v="1"/>
    <n v="1"/>
    <n v="1"/>
  </r>
  <r>
    <x v="2"/>
    <s v="S03040_ENA"/>
    <s v="Diebold-Opteva 720 ATM Indoor"/>
    <s v="1720FH123698"/>
    <s v="4220"/>
    <s v="Hajdúböszörmény"/>
    <s v="Szent István tér.1"/>
    <s v="ok"/>
    <n v="2"/>
    <n v="2"/>
    <x v="16"/>
    <n v="1"/>
    <n v="1"/>
    <n v="1"/>
  </r>
  <r>
    <x v="2"/>
    <s v="S03041"/>
    <s v="Diebold-Opteva 760 ATM Outdoor"/>
    <s v="1760RH120538"/>
    <s v="4080"/>
    <s v="Hajdúnánás"/>
    <s v="Kossuth u. 4."/>
    <s v="ok"/>
    <n v="2"/>
    <n v="2"/>
    <x v="16"/>
    <e v="#N/A"/>
    <n v="0"/>
    <n v="2"/>
  </r>
  <r>
    <x v="2"/>
    <s v="S03045_ENA"/>
    <s v="Diebold-Opteva 760 ATM Outdoor"/>
    <s v="1760RH125410"/>
    <s v="4300"/>
    <s v="Nyírbátor"/>
    <s v="Szabadság tér 10."/>
    <s v="ok"/>
    <n v="2"/>
    <n v="2"/>
    <x v="1"/>
    <n v="1"/>
    <n v="1"/>
    <n v="1"/>
  </r>
  <r>
    <x v="2"/>
    <s v="S03047"/>
    <s v="Diebold-Opteva 760 ATM Outdoor"/>
    <s v="1760RH120568"/>
    <s v="4900"/>
    <s v="Fehérgyarmat"/>
    <s v="Kossuth Lajos tér 16."/>
    <s v="ok"/>
    <n v="2"/>
    <n v="2"/>
    <x v="1"/>
    <n v="1"/>
    <n v="1"/>
    <n v="1"/>
  </r>
  <r>
    <x v="2"/>
    <s v="S03048"/>
    <s v="Diebold-Opteva 760 ATM Outdoor"/>
    <s v="1760RH120948"/>
    <s v="4028"/>
    <s v="Debrecen"/>
    <s v="Kassai út 26."/>
    <s v="ok"/>
    <n v="2"/>
    <n v="2"/>
    <x v="16"/>
    <n v="1"/>
    <n v="1"/>
    <n v="1"/>
  </r>
  <r>
    <x v="2"/>
    <s v="S03050"/>
    <s v="OPT562 1GIG-DVD-UPS-LAN-A6-CEN3(4HIGH)"/>
    <s v="1562RH140502"/>
    <s v="4032"/>
    <s v="Debrecen"/>
    <s v="Móricz Zsigmond körút 22."/>
    <s v="ok"/>
    <n v="2"/>
    <n v="2"/>
    <x v="16"/>
    <n v="1"/>
    <n v="1"/>
    <n v="1"/>
  </r>
  <r>
    <x v="2"/>
    <s v="S03051_ENA"/>
    <s v="Diebold-Opteva 720 ATM Indoor"/>
    <s v="1720FH121352"/>
    <s v="4700"/>
    <s v="Mátészalka"/>
    <s v="Kölcsey u. 15."/>
    <s v="ok"/>
    <n v="2"/>
    <n v="2"/>
    <x v="1"/>
    <n v="1"/>
    <n v="1"/>
    <n v="1"/>
  </r>
  <r>
    <x v="2"/>
    <s v="S03052"/>
    <s v="Diebold-Opteva 760 ATM Outdoor"/>
    <s v="1760RH120972"/>
    <s v="5350"/>
    <s v="Tiszafüred"/>
    <s v="Kossuth tér 1."/>
    <s v="ok"/>
    <n v="2"/>
    <n v="2"/>
    <x v="16"/>
    <n v="1"/>
    <n v="1"/>
    <n v="1"/>
  </r>
  <r>
    <x v="2"/>
    <s v="S03053"/>
    <s v="Diebold-Opteva 760 ATM Outdoor"/>
    <s v="1760R3320570"/>
    <s v="4031"/>
    <s v="Debrecen"/>
    <s v="Határ u. 1/D"/>
    <s v="ok"/>
    <n v="2"/>
    <n v="2"/>
    <x v="16"/>
    <e v="#N/A"/>
    <n v="0"/>
    <n v="2"/>
  </r>
  <r>
    <x v="2"/>
    <s v="S03054"/>
    <s v="Diebold-Opteva 522 Lobby Cash Dispenser"/>
    <s v="1522FH105477"/>
    <s v="4300"/>
    <s v="Nyírbátor"/>
    <s v="Debreceni út 71."/>
    <s v="ok"/>
    <n v="2"/>
    <n v="2"/>
    <x v="1"/>
    <n v="1"/>
    <n v="1"/>
    <n v="1"/>
  </r>
  <r>
    <x v="2"/>
    <s v="S03055"/>
    <s v="Diebold-Opteva 522 Lobby Cash Dispenser"/>
    <s v="1522FH105481"/>
    <s v="5100"/>
    <s v="Jászberény"/>
    <s v="Nagykátai út 2/a"/>
    <s v="ok"/>
    <n v="2"/>
    <n v="2"/>
    <x v="10"/>
    <e v="#N/A"/>
    <n v="0"/>
    <n v="2"/>
  </r>
  <r>
    <x v="2"/>
    <s v="S03056"/>
    <s v="Diebold-Opteva 720 ATM Indoor"/>
    <s v="1720FH121908"/>
    <s v="4031"/>
    <s v="Debrecen"/>
    <s v="Kishegyesi út 1-11."/>
    <s v="ok"/>
    <n v="2"/>
    <n v="2"/>
    <x v="16"/>
    <e v="#N/A"/>
    <n v="0"/>
    <n v="2"/>
  </r>
  <r>
    <x v="2"/>
    <s v="S03057"/>
    <s v="Diebold-Opteva 562r 3 High-Standard ATM"/>
    <s v="562RRH100421"/>
    <s v="4400"/>
    <s v="Nyíregyháza"/>
    <s v="Sóstói út 31/b"/>
    <s v="ok"/>
    <n v="2"/>
    <n v="2"/>
    <x v="1"/>
    <e v="#N/A"/>
    <n v="0"/>
    <n v="2"/>
  </r>
  <r>
    <x v="2"/>
    <s v="S03058"/>
    <s v="OPT562 1GIG-DVD-UPS-LAN-A6-CEN3(4HIGH)"/>
    <s v="1562RH127318"/>
    <s v="4400"/>
    <s v="Nyíregyháza"/>
    <s v="Szt. István út 68."/>
    <s v="ok"/>
    <n v="2"/>
    <n v="2"/>
    <x v="1"/>
    <e v="#N/A"/>
    <n v="0"/>
    <n v="2"/>
  </r>
  <r>
    <x v="2"/>
    <s v="S03061"/>
    <s v="OPT562 1GIG-DVD-UPS-LAN-A6-CEN3(4HIGH)"/>
    <s v="1520FCF00245"/>
    <s v="5310"/>
    <s v="Kisújszállás"/>
    <s v="Deák Ferenc u. 13-17."/>
    <s v="ok"/>
    <n v="2"/>
    <n v="2"/>
    <x v="11"/>
    <n v="1"/>
    <n v="1"/>
    <n v="1"/>
  </r>
  <r>
    <x v="2"/>
    <s v="S03062"/>
    <s v="OPT562 1GIG-DVD-UPS-LAN-A6-CEN3(4HIGH)"/>
    <s v="1562RH140530"/>
    <s v="4150"/>
    <s v="Püspökladány"/>
    <s v="Kossuth L. u. 11-17."/>
    <s v="ok"/>
    <n v="2"/>
    <n v="2"/>
    <x v="16"/>
    <e v="#N/A"/>
    <n v="0"/>
    <n v="2"/>
  </r>
  <r>
    <x v="2"/>
    <s v="S03063"/>
    <s v="OPT562 1GIG-DVD-UPS-LAN-A6-CEN3(4HIGH)"/>
    <s v="1562RH127301"/>
    <s v="4031"/>
    <s v="Debrecen"/>
    <s v="Derék u. 68/b"/>
    <s v="ok"/>
    <n v="2"/>
    <n v="2"/>
    <x v="16"/>
    <e v="#N/A"/>
    <n v="0"/>
    <n v="2"/>
  </r>
  <r>
    <x v="2"/>
    <s v="S03064_ENA"/>
    <s v="Diebold-Opteva 720 ATM Indoor"/>
    <s v="1720FH120242"/>
    <s v="4024"/>
    <s v="Debrecen"/>
    <s v="Piac utca 32."/>
    <s v="ok"/>
    <n v="2"/>
    <n v="2"/>
    <x v="16"/>
    <n v="1"/>
    <n v="1"/>
    <n v="1"/>
  </r>
  <r>
    <x v="2"/>
    <s v="S03065_ENA"/>
    <s v="Diebold-Opteva 760 ATM Outdoor"/>
    <s v="1760R3320550"/>
    <s v="4400"/>
    <s v="Nyíregyháza"/>
    <s v="Nagy Imre tér 1."/>
    <s v="ok"/>
    <n v="2"/>
    <n v="2"/>
    <x v="1"/>
    <n v="1"/>
    <n v="1"/>
    <n v="1"/>
  </r>
  <r>
    <x v="2"/>
    <s v="S03066_ENA"/>
    <s v="Diebold-Opteva 760 ATM Outdoor"/>
    <s v="1760R3320528"/>
    <s v="4400"/>
    <s v="Nyíregyháza"/>
    <s v="Országzászló tér 10."/>
    <s v="ok"/>
    <n v="2"/>
    <n v="2"/>
    <x v="1"/>
    <n v="1"/>
    <n v="1"/>
    <n v="1"/>
  </r>
  <r>
    <x v="2"/>
    <s v="S03067_ENA"/>
    <s v="Diebold-Opteva 760 ATM Outdoor"/>
    <s v="1760RH120531"/>
    <s v="4200"/>
    <s v="Hajdúszoboszló"/>
    <s v="Szilfákalja 49."/>
    <s v="ok"/>
    <n v="2"/>
    <n v="2"/>
    <x v="16"/>
    <n v="1"/>
    <n v="1"/>
    <n v="1"/>
  </r>
  <r>
    <x v="2"/>
    <s v="S03068"/>
    <s v="OPT562 1GIG-DVD-UPS-LAN-A6-CEN3(4HIGH)"/>
    <s v="1562RH127313"/>
    <s v="5000"/>
    <s v="Szolnok"/>
    <s v="Ady Endre út 15."/>
    <s v="ok"/>
    <n v="2"/>
    <n v="1"/>
    <x v="11"/>
    <n v="1"/>
    <n v="1"/>
    <n v="0"/>
  </r>
  <r>
    <x v="2"/>
    <s v="S04003"/>
    <s v="Diebold-Opteva 760 ATM Outdoor"/>
    <s v="1760RH120604"/>
    <s v="3580"/>
    <s v="Tiszaújváros"/>
    <s v="Ipartelep"/>
    <s v="ok"/>
    <n v="2"/>
    <n v="2"/>
    <x v="2"/>
    <n v="1"/>
    <n v="1"/>
    <n v="1"/>
  </r>
  <r>
    <x v="2"/>
    <s v="S04005_ENA"/>
    <s v="Diebold-Opteva 720 ATM Indoor"/>
    <s v="1720FH121907"/>
    <s v="3200"/>
    <s v="Gyöngyös"/>
    <s v="Mikszáth Kálmán u. 4."/>
    <s v="ok"/>
    <n v="2"/>
    <n v="2"/>
    <x v="10"/>
    <n v="1"/>
    <n v="1"/>
    <n v="1"/>
  </r>
  <r>
    <x v="2"/>
    <s v="S04006"/>
    <s v="Diebold-Opteva 760 ATM Outdoor"/>
    <s v="1760RH120606"/>
    <s v="3422"/>
    <s v="Bükkábrány"/>
    <s v="3 sz. főút"/>
    <s v="ok"/>
    <n v="2"/>
    <n v="2"/>
    <x v="2"/>
    <e v="#N/A"/>
    <n v="0"/>
    <n v="2"/>
  </r>
  <r>
    <x v="2"/>
    <s v="S04007"/>
    <s v="Diebold-Opteva 720 ATM Indoor"/>
    <s v="1720FH120192"/>
    <s v="3271"/>
    <s v="Gyöngyös"/>
    <s v="Erőmű út 11."/>
    <s v="ok"/>
    <n v="2"/>
    <n v="2"/>
    <x v="6"/>
    <n v="1"/>
    <n v="1"/>
    <n v="1"/>
  </r>
  <r>
    <x v="2"/>
    <s v="S04008"/>
    <s v="OPT562 1GIG-DVD-UPS-LAN-A6-CEN3(4HIGH)"/>
    <s v="1562RH143041"/>
    <s v="3271"/>
    <s v="Gyöngyös"/>
    <s v="Erőmű út 11."/>
    <s v="ok"/>
    <n v="2"/>
    <n v="2"/>
    <x v="6"/>
    <n v="1"/>
    <n v="1"/>
    <n v="1"/>
  </r>
  <r>
    <x v="2"/>
    <s v="S04009"/>
    <s v="Diebold-Opteva 760 ATM Outdoor"/>
    <s v="1760RH120573"/>
    <s v="3525"/>
    <s v="Miskolc"/>
    <s v="Kazinczy F. u. 16."/>
    <s v="ok"/>
    <n v="2"/>
    <n v="2"/>
    <x v="2"/>
    <e v="#N/A"/>
    <n v="0"/>
    <n v="2"/>
  </r>
  <r>
    <x v="2"/>
    <s v="S04011_ENA"/>
    <s v="Diebold-Opteva 760 ATM Outdoor"/>
    <s v="1760R3320589"/>
    <s v="3950"/>
    <s v="Sárospatak"/>
    <s v="Rákóczi u. 40."/>
    <s v="ok"/>
    <n v="2"/>
    <n v="2"/>
    <x v="1"/>
    <n v="1"/>
    <n v="1"/>
    <n v="1"/>
  </r>
  <r>
    <x v="2"/>
    <s v="S04013"/>
    <s v="Diebold-Opteva 562r 3 High-Standard ATM"/>
    <s v="562RRH100419"/>
    <s v="3502"/>
    <s v="Miskolc"/>
    <s v="Kandó Kálmán tér 1."/>
    <s v="ok"/>
    <n v="2"/>
    <n v="2"/>
    <x v="2"/>
    <e v="#N/A"/>
    <n v="0"/>
    <n v="2"/>
  </r>
  <r>
    <x v="2"/>
    <s v="S04014"/>
    <s v="Diebold-Opteva 760 ATM Outdoor"/>
    <s v="1760R3320577"/>
    <s v="3530"/>
    <s v="Miskolc"/>
    <s v="Szemere Bertalan u. 1."/>
    <s v="ok"/>
    <n v="2"/>
    <n v="2"/>
    <x v="2"/>
    <e v="#N/A"/>
    <n v="0"/>
    <n v="2"/>
  </r>
  <r>
    <x v="2"/>
    <s v="S04015"/>
    <s v="Diebold-Opteva 760 ATM Outdoor"/>
    <s v="1760RH120575"/>
    <s v="3580"/>
    <s v="Tiszaújváros"/>
    <s v="Bethlen Gábor út 9."/>
    <s v="ok"/>
    <n v="2"/>
    <n v="2"/>
    <x v="2"/>
    <n v="1"/>
    <n v="1"/>
    <n v="1"/>
  </r>
  <r>
    <x v="2"/>
    <s v="S04017"/>
    <s v="OPT562 1GIG-DVD-UPS-LAN-A6-CEN3(4HIGH)"/>
    <s v="1562RH126087"/>
    <s v="3200"/>
    <s v="Gyöngyös"/>
    <s v="Koháry út 3."/>
    <s v="ok"/>
    <n v="2"/>
    <n v="2"/>
    <x v="6"/>
    <n v="1"/>
    <n v="1"/>
    <n v="1"/>
  </r>
  <r>
    <x v="2"/>
    <s v="S04021"/>
    <s v="OPT562 1GIG-DVD-UPS-LAN-A6-CEN3(4HIGH)"/>
    <s v="1562RH127303"/>
    <s v="3529"/>
    <s v="Miskolc"/>
    <s v="Szent Gy. út 23."/>
    <s v="ok"/>
    <n v="2"/>
    <n v="2"/>
    <x v="2"/>
    <e v="#N/A"/>
    <n v="0"/>
    <n v="2"/>
  </r>
  <r>
    <x v="2"/>
    <s v="S04022"/>
    <s v="Diebold-Opteva 760 ATM Outdoor"/>
    <s v="1760RH120574"/>
    <s v="3533"/>
    <s v="Miskolc"/>
    <s v="Andrássy u. 43."/>
    <s v="ok"/>
    <n v="2"/>
    <n v="2"/>
    <x v="2"/>
    <e v="#N/A"/>
    <n v="0"/>
    <n v="2"/>
  </r>
  <r>
    <x v="2"/>
    <s v="S04023"/>
    <s v="OPT562 1GIG-DVD-UPS-LAN-A6-CEN3(4HIGH)"/>
    <s v="1562RH126083"/>
    <s v="3530"/>
    <s v="Miskolc"/>
    <s v="Szemere Bertalan u. 13."/>
    <s v="ok"/>
    <n v="2"/>
    <n v="2"/>
    <x v="2"/>
    <e v="#N/A"/>
    <n v="0"/>
    <n v="2"/>
  </r>
  <r>
    <x v="2"/>
    <s v="S04025"/>
    <s v="Diebold-Opteva 720 ATM Indoor"/>
    <s v="1720F3320054"/>
    <s v="3525"/>
    <s v="Miskolc"/>
    <s v="Szentpáli u. 2-6."/>
    <s v="ok"/>
    <n v="2"/>
    <n v="2"/>
    <x v="2"/>
    <e v="#N/A"/>
    <n v="0"/>
    <n v="2"/>
  </r>
  <r>
    <x v="2"/>
    <s v="S04030"/>
    <s v="Diebold-Opteva 760 ATM Outdoor"/>
    <s v="1760RH120943"/>
    <s v="3780"/>
    <s v="Edelény"/>
    <s v="Hősök tere 8."/>
    <s v="ok"/>
    <n v="2"/>
    <n v="2"/>
    <x v="2"/>
    <e v="#N/A"/>
    <n v="0"/>
    <n v="2"/>
  </r>
  <r>
    <x v="2"/>
    <s v="S04031"/>
    <s v="Diebold-Opteva 720 ATM Indoor"/>
    <s v="1720FH120191"/>
    <s v="3574"/>
    <s v="Bőcs"/>
    <s v="Rákóczi út 81."/>
    <s v="ok"/>
    <n v="2"/>
    <n v="2"/>
    <x v="2"/>
    <e v="#N/A"/>
    <n v="0"/>
    <n v="2"/>
  </r>
  <r>
    <x v="2"/>
    <s v="S04033"/>
    <s v="Diebold-Opteva 760 ATM Outdoor"/>
    <s v="1760R3320544"/>
    <s v="3900"/>
    <s v="Szerencs"/>
    <s v="Rákóczi út 124."/>
    <s v="ok"/>
    <n v="2"/>
    <n v="2"/>
    <x v="1"/>
    <e v="#N/A"/>
    <n v="0"/>
    <n v="2"/>
  </r>
  <r>
    <x v="2"/>
    <s v="S04034"/>
    <s v="Diebold-Opteva 760 ATM Outdoor"/>
    <s v="1760R3320558"/>
    <s v="3600"/>
    <s v="Ózd"/>
    <s v="Munkás út 1."/>
    <s v="ok"/>
    <n v="2"/>
    <n v="2"/>
    <x v="2"/>
    <e v="#N/A"/>
    <n v="0"/>
    <n v="2"/>
  </r>
  <r>
    <x v="2"/>
    <s v="S04035_ENA"/>
    <s v="Diebold-Opteva 720 ATM Indoor"/>
    <s v="1720FH123712"/>
    <s v="3580"/>
    <s v="Tiszaújváros"/>
    <s v="Bethlen Gábor utca 5/b"/>
    <s v="ok"/>
    <n v="2"/>
    <n v="2"/>
    <x v="2"/>
    <e v="#N/A"/>
    <n v="0"/>
    <n v="2"/>
  </r>
  <r>
    <x v="2"/>
    <s v="S04036_ENA"/>
    <s v="Diebold-Opteva 720 ATM Indoor"/>
    <s v="1720FH120196"/>
    <s v="2660"/>
    <s v="Balassagyarmat"/>
    <s v="Rákóczi Fejedelem út 34-36."/>
    <s v="ok"/>
    <n v="2"/>
    <n v="2"/>
    <x v="6"/>
    <n v="1"/>
    <n v="1"/>
    <n v="1"/>
  </r>
  <r>
    <x v="2"/>
    <s v="S04038"/>
    <s v="Diebold-Opteva 760 ATM Outdoor"/>
    <s v="1760RH120951"/>
    <s v="3100"/>
    <s v="Salgótarján"/>
    <s v="Gorkij krt."/>
    <s v="ok"/>
    <n v="2"/>
    <n v="2"/>
    <x v="10"/>
    <e v="#N/A"/>
    <n v="0"/>
    <n v="2"/>
  </r>
  <r>
    <x v="2"/>
    <s v="S04040_ENA"/>
    <s v="Diebold-Opteva 720 ATM Indoor"/>
    <s v="1720FH123709"/>
    <s v="3700"/>
    <s v="Kazincbarcika"/>
    <s v="Egressy u.44."/>
    <s v="ok"/>
    <n v="2"/>
    <n v="2"/>
    <x v="2"/>
    <e v="#N/A"/>
    <n v="0"/>
    <n v="2"/>
  </r>
  <r>
    <x v="2"/>
    <s v="S04043"/>
    <s v="Diebold-Opteva 720 ATM Indoor"/>
    <s v="1720FH121345"/>
    <s v="3527"/>
    <s v="Miskolc"/>
    <s v="József Attila u. 87."/>
    <s v="ok"/>
    <n v="2"/>
    <n v="2"/>
    <x v="2"/>
    <e v="#N/A"/>
    <n v="0"/>
    <n v="2"/>
  </r>
  <r>
    <x v="2"/>
    <s v="S04044"/>
    <s v="Diebold-Opteva 760 ATM Outdoor"/>
    <s v="1760RH120968"/>
    <s v="3400"/>
    <s v="Mezőkövesd"/>
    <s v="Egri út 1."/>
    <s v="ok"/>
    <n v="2"/>
    <n v="2"/>
    <x v="2"/>
    <e v="#N/A"/>
    <n v="0"/>
    <n v="2"/>
  </r>
  <r>
    <x v="2"/>
    <s v="S04045"/>
    <s v="Diebold-Opteva 760 ATM Outdoor"/>
    <s v="1760RH120973"/>
    <s v="3060"/>
    <s v="Pásztó"/>
    <s v="Fő utca 83-87"/>
    <s v="ok"/>
    <n v="2"/>
    <n v="2"/>
    <x v="10"/>
    <e v="#N/A"/>
    <n v="0"/>
    <n v="2"/>
  </r>
  <r>
    <x v="2"/>
    <s v="S04046"/>
    <s v="Diebold-Opteva 760 ATM Outdoor"/>
    <s v="1760R3320593"/>
    <s v="2651"/>
    <s v="Rétság"/>
    <s v="Rákóczi u. 39-41"/>
    <s v="ok"/>
    <n v="2"/>
    <n v="2"/>
    <x v="6"/>
    <e v="#N/A"/>
    <n v="0"/>
    <n v="2"/>
  </r>
  <r>
    <x v="2"/>
    <s v="S04047"/>
    <s v="Diebold-Opteva 720 ATM Indoor"/>
    <s v="1720FH121728"/>
    <s v="3200"/>
    <s v="Gyöngyös"/>
    <s v="Vásár u. 2."/>
    <s v="ok"/>
    <n v="2"/>
    <n v="2"/>
    <x v="10"/>
    <e v="#N/A"/>
    <n v="0"/>
    <n v="2"/>
  </r>
  <r>
    <x v="2"/>
    <s v="S04048"/>
    <s v="Diebold-Opteva 522 Lobby Cash Dispenser"/>
    <s v="1522FH105483"/>
    <s v="3600"/>
    <s v="Ózd"/>
    <s v="Brassói út 3."/>
    <s v="ok"/>
    <n v="2"/>
    <n v="2"/>
    <x v="2"/>
    <e v="#N/A"/>
    <n v="0"/>
    <n v="2"/>
  </r>
  <r>
    <x v="2"/>
    <s v="S04050"/>
    <s v="OPT562 1GIG-DVD-UPS-LAN-A6-CEN3(4HIGH)"/>
    <s v="1562RH140500"/>
    <s v="3792"/>
    <s v="Sajóbábony"/>
    <s v="Gyártelep Hrsz: 024/145"/>
    <s v="ok"/>
    <n v="2"/>
    <n v="2"/>
    <x v="2"/>
    <e v="#N/A"/>
    <n v="0"/>
    <n v="2"/>
  </r>
  <r>
    <x v="2"/>
    <s v="S04051"/>
    <s v="OPT562 1GIG-DVD-UPS-LAN-A6-CEN3(4HIGH)"/>
    <s v="1760RH120562"/>
    <s v="3100"/>
    <s v="Salgótarján"/>
    <s v="Bem u. 2-3."/>
    <s v="ok"/>
    <n v="2"/>
    <n v="2"/>
    <x v="10"/>
    <e v="#N/A"/>
    <n v="0"/>
    <n v="2"/>
  </r>
  <r>
    <x v="2"/>
    <s v="S04052"/>
    <s v="Diebold-Opteva 520 ATM Indoor"/>
    <s v="1520FH121648"/>
    <s v="3300"/>
    <s v="Eger"/>
    <s v="Rákóczi út 100."/>
    <s v="ok"/>
    <n v="2"/>
    <n v="2"/>
    <x v="2"/>
    <e v="#N/A"/>
    <n v="0"/>
    <n v="2"/>
  </r>
  <r>
    <x v="2"/>
    <s v="S04053"/>
    <s v="OPT562 1GIG-DVD-UPS-LAN-A6-CEN3(4HIGH)"/>
    <s v="1562RH143049"/>
    <s v="3900"/>
    <s v="Szerencs"/>
    <s v="Rákóczi u. 94."/>
    <s v="ok"/>
    <n v="2"/>
    <n v="2"/>
    <x v="1"/>
    <e v="#N/A"/>
    <n v="0"/>
    <n v="2"/>
  </r>
  <r>
    <x v="2"/>
    <s v="S04054_ENA"/>
    <s v="Diebold-Opteva 760 ATM Outdoor"/>
    <s v="1760R3320568"/>
    <s v="3300"/>
    <s v="Eger"/>
    <s v="Dobó tér 1."/>
    <s v="ok"/>
    <n v="2"/>
    <n v="2"/>
    <x v="2"/>
    <e v="#N/A"/>
    <n v="0"/>
    <n v="2"/>
  </r>
  <r>
    <x v="2"/>
    <s v="S04055"/>
    <s v="Diebold-Opteva 520 ATM Indoor"/>
    <s v="1520FCF00090"/>
    <s v="3526"/>
    <s v="Miskolc"/>
    <s v="Szentpéteri kapu 103."/>
    <s v="ok"/>
    <n v="2"/>
    <n v="2"/>
    <x v="2"/>
    <e v="#N/A"/>
    <n v="0"/>
    <n v="2"/>
  </r>
  <r>
    <x v="2"/>
    <s v="S04056_ENA"/>
    <s v="Diebold-Opteva 760 ATM Outdoor"/>
    <s v="1760R3320594"/>
    <s v="3530"/>
    <s v="Miskolc"/>
    <s v="Corvin u. 1-3."/>
    <s v="ok"/>
    <n v="2"/>
    <n v="2"/>
    <x v="2"/>
    <n v="1"/>
    <n v="1"/>
    <n v="1"/>
  </r>
  <r>
    <x v="2"/>
    <s v="S06003"/>
    <s v="OPT562 1GIG-DVD-UPS-LAN-A6-CEN3(4HIGH)"/>
    <s v="1562RCF01072"/>
    <s v="9022"/>
    <s v="Győr"/>
    <s v="Teleki László u. 26."/>
    <s v="ok"/>
    <n v="2"/>
    <n v="2"/>
    <x v="19"/>
    <e v="#N/A"/>
    <n v="0"/>
    <n v="2"/>
  </r>
  <r>
    <x v="2"/>
    <s v="S06007"/>
    <s v="Diebold-Opteva 760 ATM Outdoor"/>
    <s v="1760RH120611"/>
    <s v="8200"/>
    <s v="Veszprém"/>
    <s v="Kossuth L. u. 19."/>
    <s v="ok"/>
    <n v="2"/>
    <n v="2"/>
    <x v="4"/>
    <e v="#N/A"/>
    <n v="0"/>
    <n v="2"/>
  </r>
  <r>
    <x v="2"/>
    <s v="S06011"/>
    <s v="Diebold-Opteva 760 ATM Outdoor"/>
    <s v="1760R3320585"/>
    <s v="8060"/>
    <s v="Mór"/>
    <s v="Dózsa Gy. u. 1."/>
    <s v="ok"/>
    <n v="2"/>
    <n v="2"/>
    <x v="4"/>
    <n v="1"/>
    <n v="1"/>
    <n v="1"/>
  </r>
  <r>
    <x v="2"/>
    <s v="S06012"/>
    <s v="Diebold-Opteva 760 ATM Outdoor"/>
    <s v="1760RH120605"/>
    <s v="8220"/>
    <s v="Balatonalmádi"/>
    <s v="Petőfi S. u. 19."/>
    <s v="ok"/>
    <n v="2"/>
    <n v="2"/>
    <x v="4"/>
    <e v="#N/A"/>
    <n v="0"/>
    <n v="2"/>
  </r>
  <r>
    <x v="2"/>
    <s v="S06015"/>
    <s v="Diebold-Opteva 520 ATM Indoor"/>
    <s v="1520FH120092"/>
    <s v="9027"/>
    <s v="Győr"/>
    <s v="Vasvári Pál u. 1/a."/>
    <s v="ok"/>
    <n v="2"/>
    <n v="2"/>
    <x v="19"/>
    <e v="#N/A"/>
    <n v="0"/>
    <n v="2"/>
  </r>
  <r>
    <x v="2"/>
    <s v="S06016"/>
    <s v="OPT562 1GIG-DVD-UPS-LAN-A6-CEN3(4HIGH)"/>
    <s v="1562RCF01070"/>
    <s v="2462"/>
    <s v="Martonvásár"/>
    <s v="Budai út 13."/>
    <s v="ok"/>
    <n v="2"/>
    <n v="2"/>
    <x v="7"/>
    <e v="#N/A"/>
    <n v="0"/>
    <n v="2"/>
  </r>
  <r>
    <x v="2"/>
    <s v="S06017"/>
    <s v="Diebold-Opteva 760 ATM Outdoor"/>
    <s v="1760R3320551"/>
    <s v="2800"/>
    <s v="Tatabánya"/>
    <s v="Dózsakert u. 57."/>
    <s v="ok"/>
    <n v="2"/>
    <n v="2"/>
    <x v="19"/>
    <e v="#N/A"/>
    <n v="0"/>
    <n v="2"/>
  </r>
  <r>
    <x v="2"/>
    <s v="S06023"/>
    <s v="Diebold-Opteva 760 ATM Outdoor"/>
    <s v="1760R3320527"/>
    <s v="8100"/>
    <s v="Várpalota"/>
    <s v="Szent István út 28."/>
    <s v="ok"/>
    <n v="2"/>
    <n v="2"/>
    <x v="4"/>
    <n v="1"/>
    <n v="1"/>
    <n v="1"/>
  </r>
  <r>
    <x v="2"/>
    <s v="S06025_IDMBD"/>
    <s v="Diebold-Opteva 760 ATM Outdoor"/>
    <s v="1760RH120576"/>
    <s v="9024"/>
    <s v="Győr"/>
    <s v="Lajta u.13"/>
    <s v="ok"/>
    <n v="2"/>
    <n v="2"/>
    <x v="19"/>
    <e v="#N/A"/>
    <n v="0"/>
    <n v="2"/>
  </r>
  <r>
    <x v="2"/>
    <s v="S06026"/>
    <s v="OPT562 1GIG-DVD-UPS-LAN-A6-CEN3(4HIGH)"/>
    <s v="1562RH127309"/>
    <s v="9200"/>
    <s v="Mosonmagyaróvár"/>
    <s v="Erkel Ferenc utca 3."/>
    <s v="ok"/>
    <n v="2"/>
    <n v="2"/>
    <x v="19"/>
    <e v="#N/A"/>
    <n v="0"/>
    <n v="2"/>
  </r>
  <r>
    <x v="2"/>
    <s v="S06029"/>
    <s v="Diebold-Opteva 760 ATM Outdoor"/>
    <s v="1760R3320575"/>
    <s v="9400"/>
    <s v="Sopron"/>
    <s v="Lackner K. u. 27"/>
    <s v="ok"/>
    <n v="2"/>
    <n v="2"/>
    <x v="8"/>
    <e v="#N/A"/>
    <n v="0"/>
    <n v="2"/>
  </r>
  <r>
    <x v="2"/>
    <s v="S06030_ENA"/>
    <s v="Diebold-Opteva 720 ATM Indoor"/>
    <s v="1720F3320050"/>
    <s v="8200"/>
    <s v="Veszprém"/>
    <s v="Budapest út 20-28."/>
    <s v="ok"/>
    <n v="2"/>
    <n v="2"/>
    <x v="4"/>
    <n v="1"/>
    <n v="1"/>
    <n v="1"/>
  </r>
  <r>
    <x v="2"/>
    <s v="S06031"/>
    <s v="Diebold-Opteva 760 ATM Outdoor"/>
    <s v="1760RH120543"/>
    <s v="8500"/>
    <s v="Pápa"/>
    <s v="Várkert u. 5."/>
    <s v="ok"/>
    <n v="2"/>
    <n v="2"/>
    <x v="8"/>
    <n v="1"/>
    <n v="1"/>
    <n v="1"/>
  </r>
  <r>
    <x v="2"/>
    <s v="S06032_ENA"/>
    <s v="Diebold-Opteva 720 ATM Indoor"/>
    <s v="1720FH123702"/>
    <s v="9600"/>
    <s v="Sárvár"/>
    <s v="Batthyány u. 20."/>
    <s v="ok"/>
    <n v="2"/>
    <n v="2"/>
    <x v="8"/>
    <e v="#N/A"/>
    <n v="0"/>
    <n v="2"/>
  </r>
  <r>
    <x v="2"/>
    <s v="S06033"/>
    <s v="Diebold-Opteva 520 ATM Indoor"/>
    <s v="1520FCF00085"/>
    <s v="9022"/>
    <s v="Győr"/>
    <s v="Árpád út 42."/>
    <s v="ok"/>
    <n v="2"/>
    <n v="2"/>
    <x v="19"/>
    <n v="1"/>
    <n v="1"/>
    <n v="1"/>
  </r>
  <r>
    <x v="2"/>
    <s v="S06034_ENA"/>
    <s v="Diebold-Opteva 720 ATM Indoor"/>
    <s v="1720FH120247"/>
    <s v="8100"/>
    <s v="Várpalota"/>
    <s v="Szent István út 7-9."/>
    <s v="ok"/>
    <n v="2"/>
    <n v="2"/>
    <x v="4"/>
    <n v="1"/>
    <n v="1"/>
    <n v="1"/>
  </r>
  <r>
    <x v="2"/>
    <s v="S06036_ENA"/>
    <s v="Diebold-Opteva 760 ATM Outdoor"/>
    <s v="1760R3320578"/>
    <s v="2900"/>
    <s v="Komárom"/>
    <s v="Gyár u. 2-6."/>
    <s v="ok"/>
    <n v="2"/>
    <n v="2"/>
    <x v="19"/>
    <e v="#N/A"/>
    <n v="0"/>
    <n v="2"/>
  </r>
  <r>
    <x v="2"/>
    <s v="S06040_ENA"/>
    <s v="Diebold-Opteva 720 ATM Indoor"/>
    <s v="1720FH120183"/>
    <s v="9700"/>
    <s v="Szombathely"/>
    <s v="Mártírok tere 12."/>
    <s v="ok"/>
    <n v="2"/>
    <n v="2"/>
    <x v="8"/>
    <n v="1"/>
    <n v="1"/>
    <n v="1"/>
  </r>
  <r>
    <x v="2"/>
    <s v="S06041_ENA"/>
    <s v="Diebold-Opteva 760 ATM Outdoor"/>
    <s v="1760R3320542"/>
    <s v="8200"/>
    <s v="Veszprém"/>
    <s v="Ádám Iván u. 2."/>
    <s v="ok"/>
    <n v="2"/>
    <n v="2"/>
    <x v="4"/>
    <n v="1"/>
    <n v="1"/>
    <n v="1"/>
  </r>
  <r>
    <x v="2"/>
    <s v="S06043"/>
    <s v="OPT562 1GIG-DVD-UPS-LAN-A6-CEN3(4HIGH)"/>
    <s v="1562RH126088"/>
    <s v="2400"/>
    <s v="Dunaújváros"/>
    <s v="Piac tér 116"/>
    <s v="ok"/>
    <n v="2"/>
    <n v="2"/>
    <x v="7"/>
    <n v="1"/>
    <n v="1"/>
    <n v="1"/>
  </r>
  <r>
    <x v="2"/>
    <s v="S06044"/>
    <s v="Diebold-Opteva 520 ATM Indoor"/>
    <s v="1520FH121650"/>
    <s v="2890"/>
    <s v="Tata"/>
    <s v="Ring u. 1"/>
    <s v="ok"/>
    <n v="2"/>
    <n v="2"/>
    <x v="19"/>
    <e v="#N/A"/>
    <n v="0"/>
    <n v="2"/>
  </r>
  <r>
    <x v="2"/>
    <s v="S06045"/>
    <s v="OPT562 1GIG-DVD-UPS-LAN-A6-CEN3(4HIGH)"/>
    <s v="1562RH127314"/>
    <s v="9900"/>
    <s v="Körmend"/>
    <s v="Szabadság tér 3."/>
    <s v="ok"/>
    <n v="2"/>
    <n v="2"/>
    <x v="8"/>
    <e v="#N/A"/>
    <n v="0"/>
    <n v="2"/>
  </r>
  <r>
    <x v="2"/>
    <s v="S06047"/>
    <s v="Diebold-Opteva 720 ATM Indoor"/>
    <s v="1720FH120246"/>
    <s v="9700"/>
    <s v="Szombathely"/>
    <s v="Varasd u. 1."/>
    <s v="ok"/>
    <n v="2"/>
    <n v="2"/>
    <x v="8"/>
    <n v="1"/>
    <n v="1"/>
    <n v="1"/>
  </r>
  <r>
    <x v="2"/>
    <s v="S06051"/>
    <s v="Diebold-Opteva 760 ATM Outdoor"/>
    <s v="1760RH120964"/>
    <s v="2500"/>
    <s v="Esztergom"/>
    <s v="Baross Gábor út 24."/>
    <s v="ok"/>
    <n v="2"/>
    <n v="2"/>
    <x v="14"/>
    <e v="#N/A"/>
    <n v="0"/>
    <n v="2"/>
  </r>
  <r>
    <x v="2"/>
    <s v="S06053"/>
    <s v="Diebold-Opteva 760 ATM Outdoor"/>
    <s v="1760RH120966"/>
    <s v="2451"/>
    <s v="Ercsi"/>
    <s v="Dózsa György út Spar"/>
    <s v="ok"/>
    <n v="2"/>
    <n v="2"/>
    <x v="7"/>
    <e v="#N/A"/>
    <n v="0"/>
    <n v="2"/>
  </r>
  <r>
    <x v="2"/>
    <s v="S06054_ENA"/>
    <s v="Diebold-Opteva 760 ATM Outdoor"/>
    <s v="1760RH120970"/>
    <s v="8420"/>
    <s v="Zirc"/>
    <s v="Rákóczi tér 16."/>
    <s v="ok"/>
    <n v="2"/>
    <n v="2"/>
    <x v="4"/>
    <e v="#N/A"/>
    <n v="0"/>
    <n v="2"/>
  </r>
  <r>
    <x v="2"/>
    <s v="S06056"/>
    <s v="Diebold-Opteva 720 ATM Indoor"/>
    <s v="1720F3320058"/>
    <s v="9700"/>
    <s v="Szombathely"/>
    <s v="Körmendi út 52-54"/>
    <s v="ok"/>
    <n v="2"/>
    <n v="2"/>
    <x v="8"/>
    <e v="#N/A"/>
    <n v="0"/>
    <n v="2"/>
  </r>
  <r>
    <x v="2"/>
    <s v="S06057"/>
    <s v="Diebold-Opteva 760 ATM Outdoor"/>
    <s v="1760RH120582"/>
    <s v="2900"/>
    <s v="Komárom"/>
    <s v="Igmánd u. 16."/>
    <s v="ok"/>
    <n v="2"/>
    <n v="2"/>
    <x v="19"/>
    <e v="#N/A"/>
    <n v="0"/>
    <n v="2"/>
  </r>
  <r>
    <x v="2"/>
    <s v="S06058"/>
    <s v="Diebold-Opteva 720 ATM Indoor"/>
    <s v="1720FH121724"/>
    <s v="8000"/>
    <s v="Székesfehérvár"/>
    <s v="Aszalvölgyi út 1"/>
    <s v="ok"/>
    <n v="2"/>
    <n v="2"/>
    <x v="4"/>
    <n v="1"/>
    <n v="1"/>
    <n v="1"/>
  </r>
  <r>
    <x v="2"/>
    <s v="S06059"/>
    <s v="Diebold-Opteva 720 ATM Indoor"/>
    <s v="1720FH121910"/>
    <s v="2840"/>
    <s v="Oroszlány"/>
    <s v="Környei út 3-5."/>
    <s v="ok"/>
    <n v="2"/>
    <n v="2"/>
    <x v="19"/>
    <e v="#N/A"/>
    <n v="0"/>
    <n v="2"/>
  </r>
  <r>
    <x v="2"/>
    <s v="S06060"/>
    <s v="Diebold-Opteva 522 Lobby Cash Dispenser"/>
    <s v="1522FH105480"/>
    <s v="7000"/>
    <s v="Sárbogárd"/>
    <s v="Ady Endre út 19."/>
    <s v="ok"/>
    <n v="2"/>
    <n v="2"/>
    <x v="7"/>
    <e v="#N/A"/>
    <n v="0"/>
    <n v="2"/>
  </r>
  <r>
    <x v="2"/>
    <s v="S06061"/>
    <s v="OPT562 1GIG-DVD-UPS-LAN-A6-CEN3(4HIGH)"/>
    <s v="1562RH140534"/>
    <s v="9200"/>
    <s v="Mosonmagyaróvár"/>
    <s v="Szent István király u.84."/>
    <s v="ok"/>
    <n v="2"/>
    <n v="2"/>
    <x v="19"/>
    <e v="#N/A"/>
    <n v="0"/>
    <n v="2"/>
  </r>
  <r>
    <x v="2"/>
    <s v="S06062_ENA"/>
    <s v="Diebold-Opteva 720 ATM Indoor"/>
    <s v="1720F3320053"/>
    <s v="9200"/>
    <s v="Mosonmagyaróvár"/>
    <s v="Fő u. 26."/>
    <s v="ok"/>
    <n v="2"/>
    <n v="2"/>
    <x v="19"/>
    <n v="1"/>
    <n v="1"/>
    <n v="1"/>
  </r>
  <r>
    <x v="2"/>
    <s v="S06063"/>
    <s v="Diebold-Opteva 522 Lobby Cash Dispenser"/>
    <s v="1522FH105489"/>
    <s v="2060"/>
    <s v="Bicske"/>
    <s v="Spar út 0326/1. hrsz."/>
    <s v="ok"/>
    <n v="2"/>
    <n v="2"/>
    <x v="19"/>
    <n v="1"/>
    <n v="1"/>
    <n v="1"/>
  </r>
  <r>
    <x v="2"/>
    <s v="S06064"/>
    <s v="OPT562 1GIG-DVD-UPS-LAN-A6-CEN3(4HIGH)"/>
    <s v="1562RH140523"/>
    <s v="2060"/>
    <s v="Bicske"/>
    <s v="Kossuth tér"/>
    <s v="ok"/>
    <n v="2"/>
    <n v="2"/>
    <x v="19"/>
    <n v="1"/>
    <n v="1"/>
    <n v="1"/>
  </r>
  <r>
    <x v="2"/>
    <s v="S06067"/>
    <s v="OPT562 1GIG-DVD-UPS-LAN-A6-CEN3(4HIGH)"/>
    <s v="1562RH140498"/>
    <s v="9022"/>
    <s v="Győr"/>
    <s v="Fehérvári út 20."/>
    <s v="ok"/>
    <n v="2"/>
    <n v="2"/>
    <x v="19"/>
    <e v="#N/A"/>
    <n v="0"/>
    <n v="2"/>
  </r>
  <r>
    <x v="2"/>
    <s v="S06068"/>
    <s v="OPT562 1GIG-DVD-UPS-LAN-A6-CEN3(4HIGH)"/>
    <s v="1562RH140527"/>
    <s v="9330"/>
    <s v="Kapuvár"/>
    <s v="Győri út"/>
    <s v="ok"/>
    <n v="2"/>
    <n v="2"/>
    <x v="8"/>
    <e v="#N/A"/>
    <n v="0"/>
    <n v="2"/>
  </r>
  <r>
    <x v="2"/>
    <s v="S06069"/>
    <s v="Diebold-Opteva 720 ATM Indoor"/>
    <s v="1720FH121913"/>
    <s v="8000"/>
    <s v="Székesfehérvár"/>
    <s v="Balatoni út 44-46."/>
    <s v="ok"/>
    <n v="2"/>
    <n v="2"/>
    <x v="4"/>
    <n v="1"/>
    <n v="1"/>
    <n v="1"/>
  </r>
  <r>
    <x v="2"/>
    <s v="S06070"/>
    <s v="OPT562 1GIG-DVD-UPS-LAN-A6-CEN3(4HIGH)"/>
    <s v="1562RH142720"/>
    <s v="9400"/>
    <s v="Sopron"/>
    <s v="Kodály tér 16."/>
    <s v="ok"/>
    <n v="2"/>
    <n v="2"/>
    <x v="8"/>
    <n v="1"/>
    <n v="1"/>
    <n v="1"/>
  </r>
  <r>
    <x v="2"/>
    <s v="S06071"/>
    <s v="OPT562 1GIG-DVD-UPS-LAN-A6-CEN3(4HIGH)"/>
    <s v="1562RH143040"/>
    <s v="2851"/>
    <s v="Környe"/>
    <s v="Kőhíd utca 1."/>
    <s v="ok"/>
    <n v="2"/>
    <n v="2"/>
    <x v="19"/>
    <e v="#N/A"/>
    <n v="0"/>
    <n v="2"/>
  </r>
  <r>
    <x v="2"/>
    <s v="S06072"/>
    <s v="Diebold-Opteva 760 ATM Outdoor"/>
    <s v="1760RH125413"/>
    <s v="9400"/>
    <s v="Sopron"/>
    <s v="Bánfalvi u. 12."/>
    <s v="ok"/>
    <n v="2"/>
    <n v="2"/>
    <x v="8"/>
    <n v="1"/>
    <n v="1"/>
    <n v="1"/>
  </r>
  <r>
    <x v="2"/>
    <s v="S06073_ENA"/>
    <s v="Diebold-Opteva 760 ATM Outdoor"/>
    <s v="1760RH121547"/>
    <s v="2500"/>
    <s v="Esztergom"/>
    <s v="Petőfi Sándor u. 2"/>
    <s v="ok"/>
    <n v="2"/>
    <n v="2"/>
    <x v="14"/>
    <e v="#N/A"/>
    <n v="0"/>
    <n v="2"/>
  </r>
  <r>
    <x v="2"/>
    <s v="S06074"/>
    <s v="Diebold-Opteva 520 ATM Indoor"/>
    <s v="1520F3305879"/>
    <s v="8230"/>
    <s v="Balatonfüred"/>
    <s v="Széchenyi út 55."/>
    <s v="ok"/>
    <n v="2"/>
    <n v="2"/>
    <x v="4"/>
    <n v="1"/>
    <n v="1"/>
    <n v="1"/>
  </r>
  <r>
    <x v="2"/>
    <s v="S06076"/>
    <s v="Diebold-Opteva 760 ATM Outdoor"/>
    <s v="1760RH120942"/>
    <s v="8300"/>
    <s v="Tapolca"/>
    <s v="Deák Ferenc utca 2-4."/>
    <s v="ok"/>
    <n v="2"/>
    <n v="2"/>
    <x v="9"/>
    <e v="#N/A"/>
    <n v="0"/>
    <n v="2"/>
  </r>
  <r>
    <x v="2"/>
    <s v="S06077"/>
    <s v="Diebold-Opteva 520 ATM Indoor"/>
    <s v="1520FCF00241"/>
    <s v="8500"/>
    <s v="Pápa"/>
    <s v="Vaszari út 101."/>
    <s v="ok"/>
    <n v="2"/>
    <n v="2"/>
    <x v="8"/>
    <e v="#N/A"/>
    <n v="0"/>
    <n v="2"/>
  </r>
  <r>
    <x v="2"/>
    <s v="S06078"/>
    <s v="Diebold-Opteva 520 ATM Indoor"/>
    <s v="1520FH120088"/>
    <s v="9400"/>
    <s v="Sopron"/>
    <s v="Selmeci út 15-17"/>
    <s v="ok"/>
    <n v="2"/>
    <n v="2"/>
    <x v="8"/>
    <e v="#N/A"/>
    <n v="0"/>
    <n v="2"/>
  </r>
  <r>
    <x v="2"/>
    <s v="S06079"/>
    <s v="OPT562 1GIG-DVD-UPS-LAN-A6-CEN3(4HIGH)"/>
    <s v="1562RCF01076"/>
    <s v="2510"/>
    <s v="Dorog"/>
    <s v="Eötvös József u. 39."/>
    <s v="ok"/>
    <n v="2"/>
    <n v="2"/>
    <x v="14"/>
    <e v="#N/A"/>
    <n v="0"/>
    <n v="2"/>
  </r>
  <r>
    <x v="2"/>
    <s v="S06080"/>
    <s v="Diebold-Opteva 520 ATM Indoor"/>
    <s v="1520FCF00088"/>
    <s v="9022"/>
    <s v="Győr"/>
    <s v="Árpád út 42."/>
    <s v="ok"/>
    <n v="2"/>
    <n v="2"/>
    <x v="19"/>
    <n v="1"/>
    <n v="1"/>
    <n v="1"/>
  </r>
  <r>
    <x v="2"/>
    <s v="S06081_ENA"/>
    <s v="Diebold-Opteva 720 ATM Indoor"/>
    <s v="1720FH121358"/>
    <s v="9022"/>
    <s v="Győr"/>
    <s v="Árpád út 42."/>
    <s v="ok"/>
    <n v="2"/>
    <n v="2"/>
    <x v="19"/>
    <n v="1"/>
    <n v="1"/>
    <n v="1"/>
  </r>
  <r>
    <x v="2"/>
    <s v="S06082_ENA"/>
    <s v="Diebold-Opteva 720 ATM Indoor"/>
    <s v="1720F3320049"/>
    <s v="9022"/>
    <s v="Győr"/>
    <s v="Árpád út 42."/>
    <s v="ok"/>
    <n v="2"/>
    <n v="2"/>
    <x v="19"/>
    <n v="1"/>
    <n v="1"/>
    <n v="1"/>
  </r>
  <r>
    <x v="2"/>
    <s v="S06083"/>
    <s v="OPT562 1GIG-DVD-UPS-LAN-A6-CEN3(4HIGH)"/>
    <s v="1562RH143033"/>
    <s v="9011"/>
    <s v="Győr"/>
    <s v="Egressy Béni út 80."/>
    <s v="ok"/>
    <n v="2"/>
    <n v="2"/>
    <x v="19"/>
    <e v="#N/A"/>
    <n v="0"/>
    <n v="2"/>
  </r>
  <r>
    <x v="2"/>
    <s v="S06084_ENA"/>
    <s v="Diebold-Opteva 760 ATM Outdoor"/>
    <s v="1760R3320541"/>
    <s v="8000"/>
    <s v="Székesfehérvár"/>
    <s v="Palotai út 4."/>
    <s v="ok"/>
    <n v="2"/>
    <n v="2"/>
    <x v="4"/>
    <n v="1"/>
    <n v="1"/>
    <n v="1"/>
  </r>
  <r>
    <x v="2"/>
    <s v="S08001_ENA"/>
    <s v="Diebold-Opteva 760 ATM Outdoor"/>
    <s v="1760R3320571"/>
    <s v="6720"/>
    <s v="Szeged"/>
    <s v="Széchenyi tér 17."/>
    <s v="ok"/>
    <n v="2"/>
    <n v="2"/>
    <x v="3"/>
    <n v="1"/>
    <n v="1"/>
    <n v="1"/>
  </r>
  <r>
    <x v="2"/>
    <s v="S08002"/>
    <s v="OPT562 1GIG-DVD-UPS-LAN-A6-CEN3(4HIGH)"/>
    <s v="1562RH126082"/>
    <s v="6720"/>
    <s v="Szeged"/>
    <s v="Tisza L. krt. 41."/>
    <s v="ok"/>
    <n v="2"/>
    <n v="2"/>
    <x v="3"/>
    <n v="1"/>
    <n v="1"/>
    <n v="1"/>
  </r>
  <r>
    <x v="2"/>
    <s v="S08005"/>
    <s v="Diebold-Opteva 562r 3 High-Standard ATM"/>
    <s v="562RRH100420"/>
    <s v="6400"/>
    <s v="Kiskunhalas"/>
    <s v="Kossuth L. u. 27."/>
    <s v="ok"/>
    <n v="2"/>
    <n v="2"/>
    <x v="7"/>
    <n v="1"/>
    <n v="1"/>
    <n v="1"/>
  </r>
  <r>
    <x v="2"/>
    <s v="S08012"/>
    <s v="Diebold-Opteva 760 ATM Outdoor"/>
    <s v="1760RH120580"/>
    <s v="6430"/>
    <s v="Bácsalmás"/>
    <s v="Szent János u. 15."/>
    <s v="ok"/>
    <n v="2"/>
    <n v="2"/>
    <x v="7"/>
    <n v="1"/>
    <n v="1"/>
    <n v="1"/>
  </r>
  <r>
    <x v="2"/>
    <s v="S08015_ENA"/>
    <s v="Diebold-Opteva 760 ATM Outdoor"/>
    <s v="1760R3320574"/>
    <s v="6720"/>
    <s v="Szeged"/>
    <s v="Széchenyi tér 17."/>
    <s v="ok"/>
    <n v="2"/>
    <n v="2"/>
    <x v="3"/>
    <n v="1"/>
    <n v="1"/>
    <n v="1"/>
  </r>
  <r>
    <x v="2"/>
    <s v="S08016"/>
    <s v="Diebold-Opteva 760 ATM Outdoor"/>
    <s v="1760R3320566"/>
    <s v="6721"/>
    <s v="Szeged"/>
    <s v="Fő fasor 16-20."/>
    <s v="ok"/>
    <n v="2"/>
    <n v="2"/>
    <x v="3"/>
    <n v="1"/>
    <n v="1"/>
    <n v="1"/>
  </r>
  <r>
    <x v="2"/>
    <s v="S08024"/>
    <s v="Diebold-Opteva 760 ATM Outdoor"/>
    <s v="1760RH120615"/>
    <s v="6500"/>
    <s v="Baja"/>
    <s v="Tóth Kálmán tér 1."/>
    <s v="ok"/>
    <n v="2"/>
    <n v="2"/>
    <x v="12"/>
    <n v="1"/>
    <n v="1"/>
    <n v="1"/>
  </r>
  <r>
    <x v="2"/>
    <s v="S08026_ENA"/>
    <s v="Diebold-Opteva 720 ATM Indoor"/>
    <s v="1720FH123710"/>
    <s v="5540"/>
    <s v="Szarvas"/>
    <s v="Szabadság u. 32."/>
    <s v="ok"/>
    <n v="2"/>
    <n v="2"/>
    <x v="11"/>
    <n v="1"/>
    <n v="1"/>
    <n v="1"/>
  </r>
  <r>
    <x v="2"/>
    <s v="S08028"/>
    <s v="OPT562 1GIG-DVD-UPS-LAN-A6-CEN3(4HIGH)"/>
    <s v="1562RH143044"/>
    <s v="5630"/>
    <s v="Békés"/>
    <s v="Széchenyi tér 4/2."/>
    <s v="ok"/>
    <n v="2"/>
    <n v="2"/>
    <x v="3"/>
    <e v="#N/A"/>
    <n v="0"/>
    <n v="2"/>
  </r>
  <r>
    <x v="2"/>
    <s v="S08032_ENA"/>
    <s v="Diebold-Opteva 720 ATM Indoor"/>
    <s v="1720F3320056"/>
    <s v="5900"/>
    <s v="Orosháza"/>
    <s v="Kossuth L. u. 2."/>
    <s v="ok"/>
    <n v="2"/>
    <n v="2"/>
    <x v="3"/>
    <e v="#N/A"/>
    <n v="0"/>
    <n v="2"/>
  </r>
  <r>
    <x v="2"/>
    <s v="S08033_ENA"/>
    <s v="Diebold-Opteva 720 ATM Indoor"/>
    <s v="1720F3320068"/>
    <s v="6400"/>
    <s v="Kiskunhalas"/>
    <s v="Bethlen G. tér 4."/>
    <s v="ok"/>
    <n v="2"/>
    <n v="2"/>
    <x v="7"/>
    <n v="1"/>
    <n v="1"/>
    <n v="1"/>
  </r>
  <r>
    <x v="2"/>
    <s v="S08034_ENA"/>
    <s v="Diebold-Opteva 760 ATM Outdoor"/>
    <s v="1760RH120542"/>
    <s v="5600"/>
    <s v="Békéscsaba"/>
    <s v="Andrássy út 20."/>
    <s v="ok"/>
    <n v="2"/>
    <n v="2"/>
    <x v="3"/>
    <n v="1"/>
    <n v="1"/>
    <n v="1"/>
  </r>
  <r>
    <x v="2"/>
    <s v="S08035_ENA"/>
    <s v="Diebold-Opteva 720 ATM Indoor"/>
    <s v="1720F3320040"/>
    <s v="6800"/>
    <s v="Hódmezővásárhely"/>
    <s v="Andrássy út 2-4."/>
    <s v="ok"/>
    <n v="2"/>
    <n v="2"/>
    <x v="3"/>
    <n v="2"/>
    <n v="2"/>
    <n v="0"/>
  </r>
  <r>
    <x v="2"/>
    <s v="S08036"/>
    <s v="OPT562 1GIG-DVD-UPS-LAN-A6-CEN3(4HIGH)"/>
    <s v="1562RCF01069"/>
    <s v="6900"/>
    <s v="Makó"/>
    <s v="Széchenyi tér 7."/>
    <s v="ok"/>
    <n v="2"/>
    <n v="2"/>
    <x v="3"/>
    <e v="#N/A"/>
    <n v="0"/>
    <n v="2"/>
  </r>
  <r>
    <x v="2"/>
    <s v="S08037_ENA"/>
    <s v="Diebold-Opteva 720 ATM Indoor"/>
    <s v="1720F3320048"/>
    <s v="6100"/>
    <s v="Kiskunfélegyháza"/>
    <s v="Mártírok útja 1."/>
    <s v="ok"/>
    <n v="2"/>
    <n v="2"/>
    <x v="11"/>
    <e v="#N/A"/>
    <n v="0"/>
    <n v="2"/>
  </r>
  <r>
    <x v="2"/>
    <s v="S08039"/>
    <s v="Diebold-Opteva 520 ATM Indoor"/>
    <s v="1520FH121649"/>
    <s v="5600"/>
    <s v="Békéscsaba"/>
    <s v="Andrássy út 37-43."/>
    <s v="ok"/>
    <n v="2"/>
    <n v="2"/>
    <x v="3"/>
    <e v="#N/A"/>
    <n v="0"/>
    <n v="2"/>
  </r>
  <r>
    <x v="2"/>
    <s v="S08040"/>
    <s v="Diebold-Opteva 720 ATM Indoor"/>
    <s v="1720FH121347"/>
    <s v="6725"/>
    <s v="Szeged"/>
    <s v="Szabadkai út 7."/>
    <s v="ok"/>
    <n v="2"/>
    <n v="2"/>
    <x v="3"/>
    <e v="#N/A"/>
    <n v="0"/>
    <n v="2"/>
  </r>
  <r>
    <x v="2"/>
    <s v="S08041"/>
    <s v="Diebold-Opteva 760 ATM Outdoor"/>
    <s v="1760RH120940"/>
    <s v="6000"/>
    <s v="Kecskemét"/>
    <s v="Akadémia körút"/>
    <s v="ok"/>
    <n v="2"/>
    <n v="2"/>
    <x v="11"/>
    <e v="#N/A"/>
    <n v="0"/>
    <n v="2"/>
  </r>
  <r>
    <x v="2"/>
    <s v="S08042"/>
    <s v="Diebold-Opteva 760 ATM Outdoor"/>
    <s v="1760R3320579"/>
    <s v="6760"/>
    <s v="Kistelek"/>
    <s v="Petőfi u. 4."/>
    <s v="ok"/>
    <n v="2"/>
    <n v="2"/>
    <x v="3"/>
    <e v="#N/A"/>
    <n v="0"/>
    <n v="2"/>
  </r>
  <r>
    <x v="2"/>
    <s v="S08043"/>
    <s v="Diebold-Opteva 720 ATM Indoor"/>
    <s v="1720FH121356"/>
    <s v="6000"/>
    <s v="Kecskemét"/>
    <s v="Korona u. 2."/>
    <s v="ok"/>
    <n v="2"/>
    <n v="2"/>
    <x v="11"/>
    <e v="#N/A"/>
    <n v="0"/>
    <n v="2"/>
  </r>
  <r>
    <x v="2"/>
    <s v="S08044"/>
    <s v="Diebold-Opteva 720 ATM Indoor"/>
    <s v="1720FH121720"/>
    <s v="6000"/>
    <s v="Kecskemét"/>
    <s v="Talfája 1"/>
    <s v="ok"/>
    <n v="2"/>
    <n v="2"/>
    <x v="11"/>
    <e v="#N/A"/>
    <n v="0"/>
    <n v="2"/>
  </r>
  <r>
    <x v="2"/>
    <s v="S08045"/>
    <s v="Diebold-Opteva 720 ATM Indoor"/>
    <s v="1720FH121726"/>
    <s v="6500"/>
    <s v="Baja"/>
    <s v="Gránátos u. 11."/>
    <s v="ok"/>
    <n v="2"/>
    <n v="2"/>
    <x v="12"/>
    <e v="#N/A"/>
    <n v="0"/>
    <n v="2"/>
  </r>
  <r>
    <x v="2"/>
    <s v="S08046"/>
    <s v="Diebold-Opteva 520 ATM Indoor"/>
    <s v="1520FH124919"/>
    <s v="5540"/>
    <s v="Szarvas"/>
    <s v="Csabai út 9."/>
    <s v="ok"/>
    <n v="2"/>
    <n v="2"/>
    <x v="11"/>
    <e v="#N/A"/>
    <n v="0"/>
    <n v="2"/>
  </r>
  <r>
    <x v="2"/>
    <s v="S08047"/>
    <s v="Diebold-Opteva 720 ATM Indoor"/>
    <s v="1720FH121364"/>
    <s v="6800"/>
    <s v="Hódmezővásárhely"/>
    <s v="Hódtó u. 17-19."/>
    <s v="ok"/>
    <n v="2"/>
    <n v="2"/>
    <x v="3"/>
    <n v="1"/>
    <n v="1"/>
    <n v="1"/>
  </r>
  <r>
    <x v="2"/>
    <s v="S08048"/>
    <s v="OPT562 1GIG-DVD-UPS-LAN-A6-CEN3(4HIGH)"/>
    <s v="1562RH127317"/>
    <s v="5820"/>
    <s v="Mezőhegyes"/>
    <s v="Béke park 1."/>
    <s v="ok"/>
    <n v="2"/>
    <n v="2"/>
    <x v="3"/>
    <e v="#N/A"/>
    <n v="0"/>
    <n v="2"/>
  </r>
  <r>
    <x v="2"/>
    <s v="S08049"/>
    <s v="OPT562 1GIG-DVD-UPS-LAN-A6-CEN3(4HIGH)"/>
    <s v="1562RH140501"/>
    <s v="6600"/>
    <s v="Szentes"/>
    <s v="Sima F. u. 44."/>
    <s v="ok"/>
    <n v="2"/>
    <n v="2"/>
    <x v="11"/>
    <e v="#N/A"/>
    <n v="0"/>
    <n v="2"/>
  </r>
  <r>
    <x v="2"/>
    <s v="S08050"/>
    <s v="OPT562 1GIG-DVD-UPS-LAN-A6-CEN3(4HIGH)"/>
    <s v="1562RH140499"/>
    <s v="5900"/>
    <s v="Orosháza"/>
    <s v="Könd u. 47-49."/>
    <s v="ok"/>
    <n v="2"/>
    <n v="2"/>
    <x v="3"/>
    <n v="1"/>
    <n v="1"/>
    <n v="1"/>
  </r>
  <r>
    <x v="2"/>
    <s v="S08051"/>
    <s v="OPT562 1GIG-DVD-UPS-LAN-A6-CEN3(4HIGH)"/>
    <s v="1562RCF01074"/>
    <s v="6722"/>
    <s v="Szeged"/>
    <s v="Rákóczi tér 1."/>
    <s v="ok"/>
    <n v="2"/>
    <n v="2"/>
    <x v="3"/>
    <e v="#N/A"/>
    <n v="0"/>
    <n v="2"/>
  </r>
  <r>
    <x v="2"/>
    <s v="S08052"/>
    <s v="Diebold-Opteva 760 ATM Outdoor"/>
    <s v="1760RH121548"/>
    <s v="6726"/>
    <s v="Szeged"/>
    <s v="Torontál tér 1."/>
    <s v="ok"/>
    <n v="2"/>
    <n v="2"/>
    <x v="3"/>
    <n v="1"/>
    <n v="1"/>
    <n v="1"/>
  </r>
  <r>
    <x v="2"/>
    <s v="S08053_ENA"/>
    <s v="Diebold-Opteva 760 ATM Outdoor"/>
    <s v="1760RH120533"/>
    <s v="6600"/>
    <s v="Szentes"/>
    <s v="Kossuth Lajos u 14."/>
    <s v="ok"/>
    <n v="2"/>
    <n v="2"/>
    <x v="11"/>
    <e v="#N/A"/>
    <n v="0"/>
    <n v="2"/>
  </r>
  <r>
    <x v="2"/>
    <s v="S08054"/>
    <s v="OPT562 1GIG-DVD-UPS-LAN-A6-CEN3(4HIGH)"/>
    <s v="1562RH140528"/>
    <s v="6050"/>
    <s v="Lajosmizse"/>
    <s v="Dózsa György u. 20-22."/>
    <s v="ok"/>
    <n v="2"/>
    <n v="2"/>
    <x v="15"/>
    <e v="#N/A"/>
    <n v="0"/>
    <n v="2"/>
  </r>
  <r>
    <x v="2"/>
    <s v="S08055"/>
    <s v="OPT562 1GIG-DVD-UPS-LAN-A6-CEN3(4HIGH)"/>
    <s v="1562RH140529"/>
    <s v="5650"/>
    <s v="Mezőberény"/>
    <s v="Kossuth tér 2."/>
    <s v="ok"/>
    <n v="2"/>
    <n v="2"/>
    <x v="11"/>
    <e v="#N/A"/>
    <n v="0"/>
    <n v="2"/>
  </r>
  <r>
    <x v="2"/>
    <s v="S08056"/>
    <s v="OPT562 1GIG-DVD-UPS-LAN-A6-CEN3(4HIGH)"/>
    <s v="1562RH143046"/>
    <s v="5520"/>
    <s v="Szeghalom"/>
    <s v="Ady E. u. 10-12."/>
    <s v="ok"/>
    <n v="2"/>
    <n v="2"/>
    <x v="16"/>
    <e v="#N/A"/>
    <n v="0"/>
    <n v="2"/>
  </r>
  <r>
    <x v="2"/>
    <s v="S08057"/>
    <s v="OPT562 1GIG-DVD-UPS-LAN-A6-CEN3(4HIGH)"/>
    <s v="1562RH143047"/>
    <s v="6060"/>
    <s v="Tiszakécske"/>
    <s v="Szolnoki út 8."/>
    <s v="ok"/>
    <n v="2"/>
    <n v="2"/>
    <x v="11"/>
    <e v="#N/A"/>
    <n v="0"/>
    <n v="2"/>
  </r>
  <r>
    <x v="2"/>
    <s v="S08058"/>
    <s v="Diebold-Opteva 720 ATM Indoor"/>
    <s v="1720FH120245"/>
    <s v="6800"/>
    <s v="Hódmezővásárhely"/>
    <s v="Kossuth tér 1."/>
    <s v="ok"/>
    <n v="2"/>
    <n v="2"/>
    <x v="3"/>
    <n v="1"/>
    <n v="1"/>
    <n v="1"/>
  </r>
  <r>
    <x v="2"/>
    <s v="S08059_ENA"/>
    <s v="Diebold-Opteva 760 ATM Outdoor"/>
    <s v="1760RH120527"/>
    <s v="6300"/>
    <s v="Kalocsa"/>
    <s v="Szent István király u. 37."/>
    <s v="ok"/>
    <n v="2"/>
    <n v="2"/>
    <x v="7"/>
    <e v="#N/A"/>
    <n v="0"/>
    <n v="2"/>
  </r>
  <r>
    <x v="2"/>
    <s v="S08062"/>
    <s v="Diebold-Opteva 520 ATM Indoor"/>
    <s v="1520FCF00239"/>
    <s v="5600"/>
    <s v="Békéscsaba"/>
    <s v="Szarvasi út 68."/>
    <s v="ok"/>
    <n v="2"/>
    <n v="2"/>
    <x v="3"/>
    <e v="#N/A"/>
    <n v="0"/>
    <n v="2"/>
  </r>
  <r>
    <x v="2"/>
    <s v="S08063"/>
    <s v="Diebold-Opteva 520 ATM Indoor"/>
    <s v="1520FCF00232"/>
    <s v="6000"/>
    <s v="Kecskemét"/>
    <s v="Kisfaludy u. 6."/>
    <s v="ok"/>
    <n v="2"/>
    <n v="1"/>
    <x v="11"/>
    <n v="1"/>
    <n v="1"/>
    <n v="0"/>
  </r>
  <r>
    <x v="2"/>
    <s v="S08064"/>
    <s v="Diebold-Opteva 520 ATM Indoor"/>
    <s v="1520FH120094"/>
    <s v="6000"/>
    <s v="Kecskemét"/>
    <s v="Kisfaludy u. 6."/>
    <s v="ok"/>
    <n v="2"/>
    <n v="2"/>
    <x v="11"/>
    <n v="1"/>
    <n v="1"/>
    <n v="1"/>
  </r>
  <r>
    <x v="2"/>
    <s v="S08065_ENA"/>
    <s v="Diebold-Opteva 720 ATM Indoor"/>
    <s v="1720F3320051"/>
    <s v="6000"/>
    <s v="Kecskemét"/>
    <s v="Kisfaludy u. 6."/>
    <s v="ok"/>
    <n v="2"/>
    <n v="2"/>
    <x v="11"/>
    <n v="1"/>
    <n v="1"/>
    <n v="1"/>
  </r>
  <r>
    <x v="2"/>
    <s v="S08066_ENA"/>
    <s v="Diebold-Opteva 720 ATM Indoor"/>
    <s v="1720FH121357"/>
    <s v="6000"/>
    <s v="Kecskemét"/>
    <s v="Kisfaludy u. 6."/>
    <s v="ok"/>
    <n v="2"/>
    <n v="1"/>
    <x v="11"/>
    <n v="1"/>
    <n v="1"/>
    <n v="0"/>
  </r>
  <r>
    <x v="2"/>
    <s v="S09100"/>
    <s v="Diebold-Opteva 520 ATM Indoor"/>
    <s v="1520FCF00925"/>
    <s v="1117"/>
    <s v="Budapest"/>
    <s v="Magyar tudósok körútja 2."/>
    <s v="ok"/>
    <n v="2"/>
    <n v="2"/>
    <x v="17"/>
    <e v="#N/A"/>
    <n v="0"/>
    <n v="2"/>
  </r>
  <r>
    <x v="2"/>
    <s v="S09108_ENA"/>
    <s v="Diebold-Opteva 760 ATM Outdoor"/>
    <s v="1760R3320531"/>
    <s v="1111"/>
    <s v="Budapest"/>
    <s v="Egry József u. 2."/>
    <s v="ok"/>
    <n v="2"/>
    <n v="2"/>
    <x v="17"/>
    <e v="#N/A"/>
    <n v="0"/>
    <n v="2"/>
  </r>
  <r>
    <x v="2"/>
    <s v="S09109_IDMBD_ENA"/>
    <s v="Diebold-Opteva 760 ATM Outdoor"/>
    <s v="1760R3320548"/>
    <s v="1023"/>
    <s v="Budapest"/>
    <s v="Margit krt. 87-89."/>
    <s v="ok"/>
    <n v="2"/>
    <n v="2"/>
    <x v="0"/>
    <e v="#N/A"/>
    <n v="0"/>
    <n v="2"/>
  </r>
  <r>
    <x v="2"/>
    <s v="S09110_ENA"/>
    <s v="Diebold-Opteva 760 ATM Outdoor"/>
    <s v="1760R3320588"/>
    <s v="1073"/>
    <s v="Budapest"/>
    <s v="Erzsébet krt. 8."/>
    <s v="ok"/>
    <n v="2"/>
    <n v="2"/>
    <x v="13"/>
    <n v="1"/>
    <n v="1"/>
    <n v="1"/>
  </r>
  <r>
    <x v="2"/>
    <s v="S09112_ENA"/>
    <s v="Diebold-Opteva 760 ATM Outdoor"/>
    <s v="1760RH125411"/>
    <s v="1082"/>
    <s v="Budapest"/>
    <s v="Baross u. 1."/>
    <s v="ok"/>
    <n v="2"/>
    <n v="2"/>
    <x v="13"/>
    <e v="#N/A"/>
    <n v="0"/>
    <n v="2"/>
  </r>
  <r>
    <x v="2"/>
    <s v="S09115_ENA"/>
    <s v="Diebold-Opteva 720 ATM Indoor"/>
    <s v="1720FH120186"/>
    <s v="1149"/>
    <s v="Budapest"/>
    <s v="Gizella u. 59."/>
    <s v="ok"/>
    <n v="2"/>
    <n v="2"/>
    <x v="14"/>
    <e v="#N/A"/>
    <n v="0"/>
    <n v="2"/>
  </r>
  <r>
    <x v="2"/>
    <s v="S09116"/>
    <s v="OPT562 1GIG-DVD-UPS-LAN-A6-CEN3(4HIGH)"/>
    <s v="1562RCF01075"/>
    <s v="1106"/>
    <s v="Budapest"/>
    <s v="Örs Vezér tere 25."/>
    <s v="ok"/>
    <n v="2"/>
    <n v="2"/>
    <x v="17"/>
    <e v="#N/A"/>
    <n v="0"/>
    <n v="2"/>
  </r>
  <r>
    <x v="2"/>
    <s v="S09120_ENA"/>
    <s v="Diebold-Opteva 720 ATM Indoor"/>
    <s v="1720FH120193"/>
    <s v="1203"/>
    <s v="Budapest"/>
    <s v="Kossuth Lajos u. 21-29 ."/>
    <s v="ok"/>
    <n v="2"/>
    <n v="2"/>
    <x v="15"/>
    <n v="1"/>
    <n v="1"/>
    <n v="1"/>
  </r>
  <r>
    <x v="2"/>
    <s v="S09121_ENA"/>
    <s v="Diebold-Opteva 760 ATM Outdoor"/>
    <s v="1760R3320565"/>
    <s v="1011"/>
    <s v="Budapest"/>
    <s v="Krisztina tér 2."/>
    <s v="ok"/>
    <n v="2"/>
    <n v="2"/>
    <x v="13"/>
    <e v="#N/A"/>
    <n v="0"/>
    <n v="2"/>
  </r>
  <r>
    <x v="2"/>
    <s v="S09123_ENA"/>
    <s v="Diebold-Opteva 760 ATM Outdoor"/>
    <s v="1760R3320532"/>
    <s v="1102"/>
    <s v="Budapest"/>
    <s v="Kőrösi Csoma sétány 9/b"/>
    <s v="ok"/>
    <n v="2"/>
    <n v="2"/>
    <x v="17"/>
    <e v="#N/A"/>
    <n v="0"/>
    <n v="2"/>
  </r>
  <r>
    <x v="2"/>
    <s v="S09125"/>
    <s v="Diebold-Opteva 520 ATM Indoor"/>
    <s v="1520FCF00565"/>
    <s v="1033"/>
    <s v="Budapest"/>
    <s v="Flórián tér 3."/>
    <s v="ok"/>
    <n v="2"/>
    <n v="2"/>
    <x v="0"/>
    <n v="1"/>
    <n v="1"/>
    <n v="1"/>
  </r>
  <r>
    <x v="2"/>
    <s v="S09127"/>
    <s v="Diebold-Opteva 520 ATM Indoor"/>
    <s v="1520FCF00924"/>
    <s v="1024"/>
    <s v="Budapest"/>
    <s v="Margit krt. 87-89."/>
    <s v="ok"/>
    <n v="2"/>
    <n v="2"/>
    <x v="0"/>
    <e v="#N/A"/>
    <n v="0"/>
    <n v="2"/>
  </r>
  <r>
    <x v="2"/>
    <s v="S09128"/>
    <s v="Diebold-Opteva 520 ATM Indoor"/>
    <s v="1520FCF00228"/>
    <s v="1111"/>
    <s v="Budapest"/>
    <s v="Műegyetem rakpart 3."/>
    <s v="ok"/>
    <n v="2"/>
    <n v="2"/>
    <x v="17"/>
    <e v="#N/A"/>
    <n v="0"/>
    <n v="2"/>
  </r>
  <r>
    <x v="2"/>
    <s v="S09130"/>
    <s v="Diebold-Opteva 522 Lobby Cash Dispenser"/>
    <s v="1522FH106947"/>
    <s v="1052"/>
    <s v="Budapest"/>
    <s v="Apáczai Csere János u. 4."/>
    <s v="ok"/>
    <n v="2"/>
    <n v="2"/>
    <x v="13"/>
    <e v="#N/A"/>
    <n v="0"/>
    <n v="2"/>
  </r>
  <r>
    <x v="2"/>
    <s v="S09131_ENA"/>
    <s v="Diebold-Opteva 720 ATM Indoor"/>
    <s v="1720FH120194"/>
    <s v="1222"/>
    <s v="Budapest"/>
    <s v="Nagytétényi út 37-43."/>
    <s v="ok"/>
    <n v="2"/>
    <n v="2"/>
    <x v="17"/>
    <e v="#N/A"/>
    <n v="0"/>
    <n v="2"/>
  </r>
  <r>
    <x v="2"/>
    <s v="S09134_ENA"/>
    <s v="Diebold-Opteva 720 ATM Indoor"/>
    <s v="1720FH120243"/>
    <s v="1114"/>
    <s v="Budapest"/>
    <s v="Bartók Béla út 43-47."/>
    <s v="ok"/>
    <n v="2"/>
    <n v="2"/>
    <x v="17"/>
    <e v="#N/A"/>
    <n v="0"/>
    <n v="2"/>
  </r>
  <r>
    <x v="2"/>
    <s v="S09135_ENA"/>
    <s v="Diebold-Opteva 720 ATM Indoor"/>
    <s v="1720FH121911"/>
    <s v="2000"/>
    <s v="Szentendre"/>
    <s v="Duna korzó 18."/>
    <s v="ok"/>
    <n v="2"/>
    <n v="2"/>
    <x v="14"/>
    <n v="1"/>
    <n v="1"/>
    <n v="1"/>
  </r>
  <r>
    <x v="2"/>
    <s v="S09137"/>
    <s v="Diebold-Opteva 520 ATM Indoor"/>
    <s v="1562RH127315"/>
    <s v="2100"/>
    <s v="Gödöllő"/>
    <s v="Szabadság tér 14."/>
    <s v="ok"/>
    <n v="2"/>
    <n v="2"/>
    <x v="10"/>
    <n v="1"/>
    <n v="1"/>
    <n v="1"/>
  </r>
  <r>
    <x v="2"/>
    <s v="S09201"/>
    <s v="OPT562 1GIG-DVD-UPS-LAN-A6-CEN3(4HIGH)"/>
    <s v="1562RCF01071"/>
    <s v="7622"/>
    <s v="Pécs"/>
    <s v="Bajcsy-Zsilinszky u. 11."/>
    <s v="ok"/>
    <n v="2"/>
    <n v="2"/>
    <x v="12"/>
    <e v="#N/A"/>
    <n v="0"/>
    <n v="2"/>
  </r>
  <r>
    <x v="2"/>
    <s v="S09203_ENA"/>
    <s v="Diebold-Opteva 720 ATM Indoor"/>
    <s v="1720FH121915"/>
    <s v="7621"/>
    <s v="Pécs"/>
    <s v="Rákóczi út 60."/>
    <s v="ok"/>
    <n v="2"/>
    <n v="2"/>
    <x v="12"/>
    <n v="1"/>
    <n v="1"/>
    <n v="1"/>
  </r>
  <r>
    <x v="2"/>
    <s v="S09206"/>
    <s v="Diebold-Opteva 760 ATM Outdoor"/>
    <s v="1760RH120938"/>
    <s v="7400"/>
    <s v="Kaposvár"/>
    <s v="Guba S. u. 38."/>
    <s v="ok"/>
    <n v="2"/>
    <n v="2"/>
    <x v="12"/>
    <e v="#N/A"/>
    <n v="0"/>
    <n v="2"/>
  </r>
  <r>
    <x v="2"/>
    <s v="S09208"/>
    <s v="Diebold-Opteva 760 ATM Outdoor"/>
    <s v="1760RH120528"/>
    <s v="8800"/>
    <s v="Nagykanizsa"/>
    <s v="Szekeres J. u. 2-8."/>
    <s v="ok"/>
    <n v="2"/>
    <n v="2"/>
    <x v="9"/>
    <e v="#N/A"/>
    <n v="0"/>
    <n v="2"/>
  </r>
  <r>
    <x v="2"/>
    <s v="S09210"/>
    <s v="Diebold-Opteva 760 ATM Outdoor"/>
    <s v="1760RH120536"/>
    <s v="8600"/>
    <s v="Siófok"/>
    <s v="Fő tér 1."/>
    <s v="ok"/>
    <n v="2"/>
    <n v="2"/>
    <x v="4"/>
    <e v="#N/A"/>
    <n v="0"/>
    <n v="2"/>
  </r>
  <r>
    <x v="2"/>
    <s v="S09211_ENA"/>
    <s v="Diebold-Opteva 760 ATM Outdoor"/>
    <s v="1760R3320547"/>
    <s v="8600"/>
    <s v="Siófok"/>
    <s v="Fő utca 172."/>
    <s v="ok"/>
    <n v="2"/>
    <n v="2"/>
    <x v="4"/>
    <n v="1"/>
    <n v="1"/>
    <n v="1"/>
  </r>
  <r>
    <x v="2"/>
    <s v="S09215"/>
    <s v="Diebold-Opteva 760 ATM Outdoor"/>
    <s v="1760RH120612"/>
    <s v="8360"/>
    <s v="Keszthely"/>
    <s v="Erzsébet Királyné útja 23."/>
    <s v="ok"/>
    <n v="2"/>
    <n v="2"/>
    <x v="9"/>
    <n v="1"/>
    <n v="1"/>
    <n v="1"/>
  </r>
  <r>
    <x v="2"/>
    <s v="S09218"/>
    <s v="Diebold-Opteva 720 ATM Indoor"/>
    <s v="1720FH120190"/>
    <s v="8372"/>
    <s v="Cserszegtomaj"/>
    <s v="Hévizi út 1."/>
    <s v="ok"/>
    <n v="2"/>
    <n v="2"/>
    <x v="9"/>
    <e v="#N/A"/>
    <n v="0"/>
    <n v="2"/>
  </r>
  <r>
    <x v="2"/>
    <s v="S09221_ENA"/>
    <s v="Diebold-Opteva 720 ATM Indoor"/>
    <s v="1720FH121353"/>
    <s v="7200"/>
    <s v="Dombóvár"/>
    <s v="Hunyadi tér 19-21."/>
    <s v="ok"/>
    <n v="2"/>
    <n v="2"/>
    <x v="12"/>
    <e v="#N/A"/>
    <n v="0"/>
    <n v="2"/>
  </r>
  <r>
    <x v="2"/>
    <s v="S09224_ENA"/>
    <s v="Diebold-Opteva 720 ATM Indoor"/>
    <s v="1720FH123704"/>
    <s v="9970"/>
    <s v="Szentgotthárd"/>
    <s v="Széchenyi u. 2."/>
    <s v="ok"/>
    <n v="2"/>
    <n v="2"/>
    <x v="8"/>
    <e v="#N/A"/>
    <n v="0"/>
    <n v="2"/>
  </r>
  <r>
    <x v="2"/>
    <s v="S09225_ENA"/>
    <s v="Diebold-Opteva 720 ATM Indoor"/>
    <s v="1720FH120195"/>
    <s v="7100"/>
    <s v="Szekszárd"/>
    <s v="Széchenyi u. 40."/>
    <s v="ok"/>
    <n v="2"/>
    <n v="2"/>
    <x v="7"/>
    <e v="#N/A"/>
    <n v="0"/>
    <n v="2"/>
  </r>
  <r>
    <x v="2"/>
    <s v="S09301"/>
    <s v="Diebold-Opteva 720 ATM Indoor"/>
    <s v="1720F3320055"/>
    <s v="4032"/>
    <s v="Debrecen"/>
    <s v="Nagyerdei krt. 98."/>
    <s v="ok"/>
    <n v="2"/>
    <n v="2"/>
    <x v="16"/>
    <e v="#N/A"/>
    <n v="0"/>
    <n v="2"/>
  </r>
  <r>
    <x v="2"/>
    <s v="S09304"/>
    <s v="Diebold-Opteva 720 ATM Indoor"/>
    <s v="1720FH120188"/>
    <s v="4031"/>
    <s v="Debrecen"/>
    <s v="Bartók Béla u. 2-26."/>
    <s v="ok"/>
    <n v="2"/>
    <n v="2"/>
    <x v="16"/>
    <n v="1"/>
    <n v="1"/>
    <n v="1"/>
  </r>
  <r>
    <x v="2"/>
    <s v="S09308"/>
    <s v="Diebold-Opteva 760 ATM Outdoor"/>
    <s v="1760R3320533"/>
    <s v="4032"/>
    <s v="Debrecen"/>
    <s v="Böszörményi út 140."/>
    <s v="ok"/>
    <n v="2"/>
    <n v="2"/>
    <x v="16"/>
    <n v="1"/>
    <n v="1"/>
    <n v="1"/>
  </r>
  <r>
    <x v="2"/>
    <s v="S09309"/>
    <s v="Diebold-Opteva 760 ATM Outdoor"/>
    <s v="1760R3320545"/>
    <s v="4026"/>
    <s v="Debrecen"/>
    <s v="Darabos u. 9-11."/>
    <s v="ok"/>
    <n v="2"/>
    <n v="2"/>
    <x v="16"/>
    <n v="1"/>
    <n v="1"/>
    <n v="1"/>
  </r>
  <r>
    <x v="2"/>
    <s v="S09310"/>
    <s v="Diebold-Opteva 520 ATM Indoor"/>
    <s v="1520FCF00913"/>
    <s v="4032"/>
    <s v="Debrecen"/>
    <s v="Egyetem tér 1."/>
    <s v="ok"/>
    <n v="2"/>
    <n v="2"/>
    <x v="16"/>
    <e v="#N/A"/>
    <n v="0"/>
    <n v="2"/>
  </r>
  <r>
    <x v="2"/>
    <s v="S09312_ENA"/>
    <s v="Diebold-Opteva 720 ATM Indoor"/>
    <s v="1720FH121355"/>
    <s v="4032"/>
    <s v="Debrecen"/>
    <s v="Egyetem tér 1."/>
    <s v="ok"/>
    <n v="2"/>
    <n v="2"/>
    <x v="16"/>
    <n v="1"/>
    <n v="1"/>
    <n v="1"/>
  </r>
  <r>
    <x v="2"/>
    <s v="S09316"/>
    <s v="Diebold-Opteva 760 ATM Outdoor"/>
    <s v="1760RH120934"/>
    <s v="5000"/>
    <s v="Szolnok"/>
    <s v="Baross u.53."/>
    <s v="ok"/>
    <n v="2"/>
    <n v="2"/>
    <x v="11"/>
    <e v="#N/A"/>
    <n v="0"/>
    <n v="2"/>
  </r>
  <r>
    <x v="2"/>
    <s v="S09319"/>
    <s v="Diebold-Opteva 760 ATM Outdoor"/>
    <s v="1760R3320560"/>
    <s v="5420"/>
    <s v="Túrkeve"/>
    <s v="Széchenyi u. 8."/>
    <s v="ok"/>
    <n v="2"/>
    <n v="2"/>
    <x v="11"/>
    <e v="#N/A"/>
    <n v="0"/>
    <n v="2"/>
  </r>
  <r>
    <x v="2"/>
    <s v="S09320_ENA"/>
    <s v="Diebold-Opteva 720 ATM Indoor"/>
    <s v="1720FH120181"/>
    <s v="2701"/>
    <s v="Cegléd"/>
    <s v="Népkör utca 2."/>
    <s v="ok"/>
    <n v="2"/>
    <n v="2"/>
    <x v="6"/>
    <e v="#N/A"/>
    <n v="0"/>
    <n v="2"/>
  </r>
  <r>
    <x v="2"/>
    <s v="S09402"/>
    <s v="OPT562 1GIG-DVD-UPS-LAN-A6-CEN3(4HIGH)"/>
    <s v="1562RH126086"/>
    <s v="3515"/>
    <s v="Miskolc"/>
    <s v="Egyetemváros A/2."/>
    <s v="ok"/>
    <n v="2"/>
    <n v="2"/>
    <x v="2"/>
    <e v="#N/A"/>
    <n v="0"/>
    <n v="2"/>
  </r>
  <r>
    <x v="2"/>
    <s v="S09405"/>
    <s v="Diebold-Opteva 760 ATM Outdoor"/>
    <s v="1760R3320556"/>
    <s v="3300"/>
    <s v="Eger"/>
    <s v="Eszterházy tér 2."/>
    <s v="ok"/>
    <n v="2"/>
    <n v="2"/>
    <x v="2"/>
    <e v="#N/A"/>
    <n v="0"/>
    <n v="2"/>
  </r>
  <r>
    <x v="2"/>
    <s v="S09408_ENA"/>
    <s v="Diebold-Opteva 760 ATM Outdoor"/>
    <s v="1760RH120613"/>
    <s v="3100"/>
    <s v="Salgótarján"/>
    <s v="Erzsébet tér 5."/>
    <s v="ok"/>
    <n v="2"/>
    <n v="2"/>
    <x v="10"/>
    <n v="1"/>
    <n v="1"/>
    <n v="1"/>
  </r>
  <r>
    <x v="2"/>
    <s v="S09409_ENA"/>
    <s v="Diebold-Opteva 720 ATM Indoor"/>
    <s v="1720FH123706"/>
    <s v="3400"/>
    <s v="Mezőkövesd"/>
    <s v="Mátyás király út 129."/>
    <s v="ok"/>
    <n v="2"/>
    <n v="2"/>
    <x v="2"/>
    <n v="1"/>
    <n v="1"/>
    <n v="1"/>
  </r>
  <r>
    <x v="2"/>
    <s v="S09411"/>
    <s v="Diebold-Opteva 520 ATM Indoor"/>
    <s v="1520FCF00233"/>
    <s v="3980"/>
    <s v="Sátoraljaújhely"/>
    <s v="Széchenyi tér 3."/>
    <s v="ok"/>
    <n v="2"/>
    <n v="2"/>
    <x v="1"/>
    <e v="#N/A"/>
    <n v="0"/>
    <n v="2"/>
  </r>
  <r>
    <x v="2"/>
    <s v="S09412_ENA"/>
    <s v="Diebold-Opteva 760 ATM Outdoor"/>
    <s v="1760R3320563"/>
    <s v="3537"/>
    <s v="Miskolc"/>
    <s v="Bajcsy-Zs. út 1-3."/>
    <s v="ok"/>
    <n v="2"/>
    <n v="2"/>
    <x v="2"/>
    <n v="1"/>
    <n v="1"/>
    <n v="1"/>
  </r>
  <r>
    <x v="2"/>
    <s v="S09600"/>
    <s v="OPT562 1GIG-DVD-UPS-LAN-A6-CEN3(4HIGH)"/>
    <s v="1562RH127306"/>
    <s v="9026"/>
    <s v="Győr"/>
    <s v="Egyetem tér 1."/>
    <s v="ok"/>
    <n v="2"/>
    <n v="2"/>
    <x v="19"/>
    <e v="#N/A"/>
    <n v="0"/>
    <n v="2"/>
  </r>
  <r>
    <x v="2"/>
    <s v="S09602_ENA"/>
    <s v="Diebold-Opteva 760 ATM Outdoor"/>
    <s v="1760R3320592"/>
    <s v="9400"/>
    <s v="Sopron"/>
    <s v="Előkapu u. 2-4"/>
    <s v="ok"/>
    <n v="2"/>
    <n v="2"/>
    <x v="8"/>
    <e v="#N/A"/>
    <n v="0"/>
    <n v="2"/>
  </r>
  <r>
    <x v="2"/>
    <s v="S09603_ENA"/>
    <s v="Diebold-Opteva 760 ATM Outdoor"/>
    <s v="1760RH120933"/>
    <s v="8000"/>
    <s v="Székesfehérvár"/>
    <s v="Palotai út 4."/>
    <s v="ok"/>
    <n v="2"/>
    <n v="2"/>
    <x v="4"/>
    <n v="2"/>
    <n v="2"/>
    <n v="0"/>
  </r>
  <r>
    <x v="2"/>
    <s v="S09604"/>
    <s v="OPT562 1GIG-DVD-UPS-LAN-A6-CEN3(4HIGH)"/>
    <s v="1562RH127308"/>
    <s v="9700"/>
    <s v="Szombathely"/>
    <s v="Puskás T. u. 5."/>
    <s v="ok"/>
    <n v="2"/>
    <n v="2"/>
    <x v="8"/>
    <e v="#N/A"/>
    <n v="0"/>
    <n v="2"/>
  </r>
  <r>
    <x v="2"/>
    <s v="S09606_ENA"/>
    <s v="Diebold-Opteva 720 ATM Indoor"/>
    <s v="1720FH120200"/>
    <s v="2800"/>
    <s v="Tatabánya"/>
    <s v="Fő tér 20."/>
    <s v="ok"/>
    <n v="2"/>
    <n v="2"/>
    <x v="19"/>
    <e v="#N/A"/>
    <n v="0"/>
    <n v="2"/>
  </r>
  <r>
    <x v="2"/>
    <s v="S09607_ENA"/>
    <s v="Diebold-Opteva 760 ATM Outdoor"/>
    <s v="1760RH120931"/>
    <s v="2890"/>
    <s v="Tata"/>
    <s v="Országgyűlés tér 3."/>
    <s v="ok"/>
    <n v="2"/>
    <n v="2"/>
    <x v="19"/>
    <e v="#N/A"/>
    <n v="0"/>
    <n v="2"/>
  </r>
  <r>
    <x v="2"/>
    <s v="S09611"/>
    <s v="Diebold-Opteva 760 ATM Outdoor"/>
    <s v="1760RH120609"/>
    <s v="8438"/>
    <s v="Veszprémvarsány"/>
    <s v="Könyves Kálmán u. 2."/>
    <s v="ok"/>
    <n v="2"/>
    <n v="2"/>
    <x v="4"/>
    <e v="#N/A"/>
    <n v="0"/>
    <n v="2"/>
  </r>
  <r>
    <x v="2"/>
    <s v="S09613"/>
    <s v="Diebold-Opteva 760 ATM Outdoor"/>
    <s v="1760R3320567"/>
    <s v="8060"/>
    <s v="Mór"/>
    <s v="Nemes u. (MOL kút 81.sz. út)"/>
    <s v="ok"/>
    <n v="2"/>
    <n v="2"/>
    <x v="4"/>
    <e v="#N/A"/>
    <n v="0"/>
    <n v="2"/>
  </r>
  <r>
    <x v="2"/>
    <s v="S09614_ENA"/>
    <s v="Diebold-Opteva 720 ATM Indoor"/>
    <s v="1720F3320061"/>
    <s v="8060"/>
    <s v="Mór"/>
    <s v="Köztársaság tér 1."/>
    <s v="ok"/>
    <n v="2"/>
    <n v="2"/>
    <x v="4"/>
    <n v="1"/>
    <n v="1"/>
    <n v="1"/>
  </r>
  <r>
    <x v="2"/>
    <s v="S09615"/>
    <s v="Diebold-Opteva 760 ATM Outdoor"/>
    <s v="1760R3320582"/>
    <s v="8500"/>
    <s v="Pápa"/>
    <s v="Kisfaludy u. 1."/>
    <s v="ok"/>
    <n v="2"/>
    <n v="2"/>
    <x v="8"/>
    <n v="1"/>
    <n v="1"/>
    <n v="1"/>
  </r>
  <r>
    <x v="2"/>
    <s v="S09616_ENA"/>
    <s v="Diebold-Opteva 720 ATM Indoor"/>
    <s v="1720F3320066"/>
    <s v="8500"/>
    <s v="Pápa"/>
    <s v="Fő tér 25-26."/>
    <s v="ok"/>
    <n v="2"/>
    <n v="2"/>
    <x v="8"/>
    <n v="1"/>
    <n v="1"/>
    <n v="1"/>
  </r>
  <r>
    <x v="2"/>
    <s v="S09617"/>
    <s v="Diebold-Opteva 520 ATM Indoor"/>
    <s v="1520FCF00911"/>
    <s v="8500"/>
    <s v="Pápa"/>
    <s v="Kisfaludy Károly utca 2."/>
    <s v="ok"/>
    <n v="2"/>
    <n v="2"/>
    <x v="8"/>
    <e v="#N/A"/>
    <n v="0"/>
    <n v="2"/>
  </r>
  <r>
    <x v="2"/>
    <s v="S09620_ENA"/>
    <s v="Diebold-Opteva 760 ATM Outdoor"/>
    <s v="1760RH120555"/>
    <s v="9730"/>
    <s v="Kőszeg"/>
    <s v="Rákóczi u. 1."/>
    <s v="ok"/>
    <n v="2"/>
    <n v="2"/>
    <x v="8"/>
    <e v="#N/A"/>
    <n v="0"/>
    <n v="2"/>
  </r>
  <r>
    <x v="2"/>
    <s v="S09621_ENA"/>
    <s v="Diebold-Opteva 720 ATM Indoor"/>
    <s v="1720FH123711"/>
    <s v="9300"/>
    <s v="Csorna"/>
    <s v="Szent István tér 29."/>
    <s v="ok"/>
    <n v="2"/>
    <n v="2"/>
    <x v="8"/>
    <e v="#N/A"/>
    <n v="0"/>
    <n v="2"/>
  </r>
  <r>
    <x v="2"/>
    <s v="S09800"/>
    <s v="Diebold-Opteva 720 ATM Indoor"/>
    <s v="1720F3320057"/>
    <s v="6725"/>
    <s v="Szeged"/>
    <s v="Tisza L. krtl. 107."/>
    <s v="ok"/>
    <n v="2"/>
    <n v="2"/>
    <x v="3"/>
    <e v="#N/A"/>
    <n v="0"/>
    <n v="2"/>
  </r>
  <r>
    <x v="2"/>
    <s v="S09801"/>
    <s v="Diebold-Opteva 760 ATM Outdoor"/>
    <s v="1760R3320564"/>
    <s v="6721"/>
    <s v="Szeged"/>
    <s v="Tisza Lajos krt. 7-9."/>
    <s v="ok"/>
    <n v="2"/>
    <n v="2"/>
    <x v="3"/>
    <e v="#N/A"/>
    <n v="0"/>
    <n v="2"/>
  </r>
  <r>
    <x v="2"/>
    <s v="S09802"/>
    <s v="Diebold-Opteva 720 ATM Indoor"/>
    <s v="1720F3320059"/>
    <s v="6722"/>
    <s v="Szeged"/>
    <s v="Egyetem u. 2."/>
    <s v="ok"/>
    <n v="2"/>
    <n v="2"/>
    <x v="3"/>
    <e v="#N/A"/>
    <n v="0"/>
    <n v="2"/>
  </r>
  <r>
    <x v="2"/>
    <s v="S09803"/>
    <s v="Diebold-Opteva 522 Lobby Cash Dispenser"/>
    <s v="1522FH106939"/>
    <s v="6720"/>
    <s v="Szeged"/>
    <s v="Kölcsey u. 13."/>
    <s v="ok"/>
    <n v="2"/>
    <n v="2"/>
    <x v="3"/>
    <n v="1"/>
    <n v="1"/>
    <n v="1"/>
  </r>
  <r>
    <x v="2"/>
    <s v="S09805_ENA"/>
    <s v="Diebold-Opteva 760 ATM Outdoor"/>
    <s v="1760RH120570"/>
    <s v="6500"/>
    <s v="Baja"/>
    <s v="Vörösmarty u. 5."/>
    <s v="ok"/>
    <n v="2"/>
    <n v="2"/>
    <x v="12"/>
    <n v="1"/>
    <n v="1"/>
    <n v="1"/>
  </r>
  <r>
    <x v="2"/>
    <s v="S09809_ENA"/>
    <s v="Diebold-Opteva 720 ATM Indoor"/>
    <s v="1720FH120184"/>
    <s v="5700"/>
    <s v="Gyula"/>
    <s v="Városház u. 16."/>
    <s v="ok"/>
    <n v="2"/>
    <n v="2"/>
    <x v="3"/>
    <n v="1"/>
    <n v="1"/>
    <n v="1"/>
  </r>
  <r>
    <x v="2"/>
    <s v="S09811"/>
    <s v="Diebold-Opteva 760 ATM Outdoor"/>
    <s v="1760RH120534"/>
    <s v="6600"/>
    <s v="Szentes"/>
    <s v="Attila út 3."/>
    <s v="ok"/>
    <n v="2"/>
    <n v="2"/>
    <x v="11"/>
    <e v="#N/A"/>
    <n v="0"/>
    <n v="2"/>
  </r>
  <r>
    <x v="2"/>
    <s v="S09812_ENA"/>
    <s v="Diebold-Opteva 760 ATM Outdoor"/>
    <s v="1760RH120564"/>
    <s v="6900"/>
    <s v="Makó"/>
    <s v="Csanád Vezér tér 5."/>
    <s v="ok"/>
    <n v="2"/>
    <n v="2"/>
    <x v="3"/>
    <n v="1"/>
    <n v="1"/>
    <n v="1"/>
  </r>
  <r>
    <x v="2"/>
    <s v="TESZTATM1"/>
    <s v="Diebold-Opteva 520 ATM Indoor"/>
    <s v="1520F3303650"/>
    <s v="1132"/>
    <s v="Budapest"/>
    <s v="Népfürdő u. 24-26."/>
    <s v="ok"/>
    <n v="0"/>
    <n v="0"/>
    <x v="14"/>
    <e v="#N/A"/>
    <n v="0"/>
    <n v="0"/>
  </r>
  <r>
    <x v="2"/>
    <s v="TESZTATM2_ENA"/>
    <s v="Diebold-Opteva 720 ATM Indoor"/>
    <s v="1720FH121349"/>
    <s v="1138"/>
    <s v="Budapest"/>
    <s v="Népfürdő u. 24-26."/>
    <s v="ok"/>
    <n v="0"/>
    <n v="0"/>
    <x v="14"/>
    <e v="#N/A"/>
    <n v="0"/>
    <n v="0"/>
  </r>
  <r>
    <x v="2"/>
    <s v="TESZTATM3"/>
    <s v="Diebold-Opteva 522 Lobby Cash Dispenser"/>
    <s v="1522FH105484"/>
    <s v="1138"/>
    <s v="Budapest"/>
    <s v="Népfürdő u. 24-26."/>
    <s v="ok"/>
    <n v="0"/>
    <n v="0"/>
    <x v="14"/>
    <e v="#N/A"/>
    <n v="0"/>
    <n v="0"/>
  </r>
  <r>
    <x v="2"/>
    <s v="TESZTATM4"/>
    <s v="Diebold-Opteva 760 ATM Outdoor"/>
    <s v="1760RH121543"/>
    <s v="1138"/>
    <s v="Budapest"/>
    <s v="Népfürdő u. 24-26."/>
    <s v="ok"/>
    <n v="0"/>
    <n v="0"/>
    <x v="14"/>
    <e v="#N/A"/>
    <n v="0"/>
    <n v="0"/>
  </r>
  <r>
    <x v="2"/>
    <s v="TESZTB1"/>
    <s v="OPT562 1GIG-DVD-UPS-LAN-A6-CEN3(4HIGH)"/>
    <s v="1562RH127316"/>
    <s v="1138"/>
    <s v="Budapest"/>
    <s v="."/>
    <s v="ok"/>
    <n v="0"/>
    <n v="0"/>
    <x v="14"/>
    <e v="#N/A"/>
    <n v="0"/>
    <n v="0"/>
  </r>
  <r>
    <x v="3"/>
    <s v="BB070500"/>
    <s v="OPT562 1GIG-DVD-UPS-LAN-A6-CEN3(4HIGH)"/>
    <s v="1562RH158140"/>
    <s v="2072"/>
    <s v="Zsámbék"/>
    <s v="Akadémia u. 1."/>
    <s v="ok"/>
    <n v="1"/>
    <n v="1"/>
    <x v="19"/>
    <e v="#N/A"/>
    <n v="0"/>
    <n v="1"/>
  </r>
  <r>
    <x v="3"/>
    <s v="BB071000"/>
    <s v="Diebold-Opteva 522 Lobby Cash Dispenser"/>
    <s v="1522FH118976"/>
    <s v="5600"/>
    <s v="Békéscsaba"/>
    <s v="Andrássy út 37-43."/>
    <s v="ok"/>
    <n v="1"/>
    <n v="1"/>
    <x v="3"/>
    <e v="#N/A"/>
    <n v="0"/>
    <n v="1"/>
  </r>
  <r>
    <x v="3"/>
    <s v="BB085100"/>
    <s v="Diebold-Opteva 378 Cash Recycler"/>
    <s v="1378FDC03839"/>
    <s v="1106"/>
    <s v="Budapest"/>
    <s v="Kerepesi út 61."/>
    <s v="ok"/>
    <n v="1"/>
    <n v="1"/>
    <x v="17"/>
    <e v="#N/A"/>
    <n v="0"/>
    <n v="1"/>
  </r>
  <r>
    <x v="3"/>
    <s v="BBF436"/>
    <s v="Diebold-Opteva 562r 3 High-Standard ATM"/>
    <s v="562RRH105883"/>
    <s v="1162"/>
    <s v="Budapest"/>
    <s v="Rákosi út 128."/>
    <s v="ok"/>
    <n v="1"/>
    <n v="1"/>
    <x v="6"/>
    <n v="1"/>
    <n v="1"/>
    <n v="0"/>
  </r>
  <r>
    <x v="3"/>
    <s v="BBF439"/>
    <s v="Diebold-Opteva 522 Lobby Cash Dispenser"/>
    <s v="1522FH118612"/>
    <s v="1203"/>
    <s v="Budapest"/>
    <s v="Török Flóris u. 70."/>
    <s v="ok"/>
    <n v="1"/>
    <n v="1"/>
    <x v="15"/>
    <n v="1"/>
    <n v="1"/>
    <n v="0"/>
  </r>
  <r>
    <x v="3"/>
    <s v="BBF463"/>
    <s v="Diebold-Opteva 562r 3 High-Standard ATM"/>
    <s v="562RRH105882"/>
    <s v="5100"/>
    <s v="Jászberény"/>
    <s v="Lehel Vezér tér 13."/>
    <s v="ok"/>
    <n v="1"/>
    <n v="1"/>
    <x v="10"/>
    <e v="#N/A"/>
    <n v="0"/>
    <n v="1"/>
  </r>
  <r>
    <x v="3"/>
    <s v="BBF610"/>
    <s v="Diebold-Opteva 562r 3 High-Standard ATM"/>
    <s v="562RRH105881"/>
    <s v="1131"/>
    <s v="Budapest"/>
    <s v="Nyugati tér 4-5."/>
    <s v="ok"/>
    <n v="1"/>
    <n v="1"/>
    <x v="14"/>
    <n v="1"/>
    <n v="1"/>
    <n v="0"/>
  </r>
  <r>
    <x v="3"/>
    <s v="BBF615"/>
    <s v="OPT562 1GIG-DVD-UPS-LAN-A6-CEN3(4HIGH)"/>
    <s v="1562RH158141"/>
    <s v="1119"/>
    <s v="Budapest"/>
    <s v="Etele út 57."/>
    <s v="ok"/>
    <n v="1"/>
    <n v="1"/>
    <x v="17"/>
    <e v="#N/A"/>
    <n v="0"/>
    <n v="1"/>
  </r>
  <r>
    <x v="3"/>
    <s v="BBF618"/>
    <s v="Diebold-Opteva 378 Cash Recycler"/>
    <s v="1378FDC04449"/>
    <s v="1138"/>
    <s v="Budapest"/>
    <s v="Váci út 193."/>
    <s v="ok"/>
    <n v="1"/>
    <n v="1"/>
    <x v="14"/>
    <n v="1"/>
    <n v="1"/>
    <n v="0"/>
  </r>
  <r>
    <x v="3"/>
    <s v="BBF70200"/>
    <s v="Diebold-Opteva 522 Lobby Cash Dispenser"/>
    <s v="1522FH118610"/>
    <s v="1138"/>
    <s v="Budapest"/>
    <s v="Váci út 117-119."/>
    <s v="ok"/>
    <n v="1"/>
    <n v="1"/>
    <x v="14"/>
    <e v="#N/A"/>
    <n v="0"/>
    <n v="1"/>
  </r>
  <r>
    <x v="3"/>
    <s v="EDHU0023"/>
    <s v="Diebold-Opteva 522 Lobby Cash Dispenser"/>
    <s v="1522FH111867"/>
    <s v="1087"/>
    <s v="Budapest"/>
    <s v="Kerepesi u. 2-4."/>
    <s v="ok"/>
    <n v="1"/>
    <n v="1"/>
    <x v="13"/>
    <e v="#N/A"/>
    <n v="0"/>
    <n v="1"/>
  </r>
  <r>
    <x v="3"/>
    <s v="EDHU0024"/>
    <s v="Diebold-Opteva 522 Lobby Cash Dispenser"/>
    <s v="1522FH111868"/>
    <s v="1013"/>
    <s v="Budapest"/>
    <s v="Krisztina krt. 37."/>
    <s v="ok"/>
    <n v="1"/>
    <n v="1"/>
    <x v="13"/>
    <e v="#N/A"/>
    <n v="0"/>
    <n v="1"/>
  </r>
  <r>
    <x v="3"/>
    <s v="EDHU0047"/>
    <s v="Diebold-Opteva 522 Lobby Cash Dispenser"/>
    <s v="1522FH108479"/>
    <s v="1051"/>
    <s v="Budapest"/>
    <s v="Széchenyi tér 7-8."/>
    <s v="ok"/>
    <n v="1"/>
    <n v="1"/>
    <x v="13"/>
    <e v="#N/A"/>
    <n v="0"/>
    <n v="1"/>
  </r>
  <r>
    <x v="3"/>
    <s v="EDHU0050"/>
    <s v="Diebold-Opteva 522 Lobby Cash Dispenser"/>
    <s v="1522FH108481"/>
    <s v="9200"/>
    <s v="Mosonmagyaróvár"/>
    <s v="Királyhidai u. 42."/>
    <s v="ok"/>
    <n v="1"/>
    <n v="1"/>
    <x v="19"/>
    <e v="#N/A"/>
    <n v="0"/>
    <n v="1"/>
  </r>
  <r>
    <x v="3"/>
    <s v="EDHU0055"/>
    <s v="Diebold-Opteva 522 Lobby Cash Dispenser"/>
    <s v="1522FH108477"/>
    <s v="9012"/>
    <s v="Győr"/>
    <s v="Királyszék u. 33."/>
    <s v="ok"/>
    <n v="1"/>
    <n v="1"/>
    <x v="19"/>
    <e v="#N/A"/>
    <n v="0"/>
    <n v="1"/>
  </r>
  <r>
    <x v="3"/>
    <s v="EDHU0067"/>
    <s v="Diebold-Opteva 522 Lobby Cash Dispenser"/>
    <s v="1522FH108478"/>
    <s v="1052"/>
    <s v="Budapest"/>
    <s v="Váci u.10."/>
    <s v="ok"/>
    <n v="1"/>
    <n v="1"/>
    <x v="13"/>
    <e v="#N/A"/>
    <n v="0"/>
    <n v="1"/>
  </r>
  <r>
    <x v="3"/>
    <s v="EDHU0069"/>
    <s v="Diebold-Opteva 522 Lobby Cash Dispenser"/>
    <s v="1522FH108475"/>
    <s v="9400"/>
    <s v="Sopron"/>
    <s v="Ipari krt. 30."/>
    <s v="ok"/>
    <n v="1"/>
    <n v="1"/>
    <x v="8"/>
    <e v="#N/A"/>
    <n v="0"/>
    <n v="1"/>
  </r>
  <r>
    <x v="3"/>
    <s v="EDHU0111"/>
    <s v="Diebold-Opteva 522 Lobby Cash Dispenser"/>
    <s v="1522FH111863"/>
    <s v="4030"/>
    <s v="Debrecen"/>
    <s v="Mikepércsi út 0493/64 hrsz."/>
    <s v="ok"/>
    <n v="1"/>
    <n v="1"/>
    <x v="16"/>
    <e v="#N/A"/>
    <n v="0"/>
    <n v="1"/>
  </r>
  <r>
    <x v="3"/>
    <s v="EDHU0116"/>
    <s v="Diebold-Opteva 522 Lobby Cash Dispenser"/>
    <s v="1522FH111864"/>
    <s v="1091"/>
    <s v="Budapest"/>
    <s v="Kálvin tér 7."/>
    <s v="ok"/>
    <n v="1"/>
    <n v="1"/>
    <x v="17"/>
    <e v="#N/A"/>
    <n v="0"/>
    <n v="1"/>
  </r>
  <r>
    <x v="3"/>
    <s v="EDHU0118"/>
    <s v="Diebold-Opteva 522 Lobby Cash Dispenser"/>
    <s v="1522FH111869"/>
    <s v="1053"/>
    <s v="Budapest"/>
    <s v="Kossuth Lajos utca 2."/>
    <s v="ok"/>
    <n v="1"/>
    <n v="1"/>
    <x v="13"/>
    <e v="#N/A"/>
    <n v="0"/>
    <n v="1"/>
  </r>
  <r>
    <x v="3"/>
    <s v="EDHU0120"/>
    <s v="Diebold-Opteva 522 Lobby Cash Dispenser"/>
    <s v="1522FH111866"/>
    <s v="1051"/>
    <s v="Budapest"/>
    <s v="Erzsébet tér"/>
    <s v="ok"/>
    <n v="1"/>
    <n v="1"/>
    <x v="13"/>
    <e v="#N/A"/>
    <n v="0"/>
    <n v="1"/>
  </r>
  <r>
    <x v="3"/>
    <s v="EDHU0163"/>
    <s v="OPT562 1GIG-DVD-UPS-LAN-A6-CEN3(4HIGH)"/>
    <s v="1562RH154061"/>
    <s v="1072"/>
    <s v="Budapest"/>
    <s v="Rákóczi u. 38."/>
    <s v="ok"/>
    <n v="1"/>
    <n v="1"/>
    <x v="13"/>
    <e v="#N/A"/>
    <n v="0"/>
    <n v="1"/>
  </r>
  <r>
    <x v="3"/>
    <s v="EDHU0164"/>
    <s v="OPT562 1GIG-DVD-UPS-LAN-A6-CEN3(4HIGH)"/>
    <s v="1562RH154062"/>
    <s v="1052"/>
    <s v="Budapest"/>
    <s v="Károly krt. 4."/>
    <s v="ok"/>
    <n v="1"/>
    <n v="1"/>
    <x v="13"/>
    <e v="#N/A"/>
    <n v="0"/>
    <n v="1"/>
  </r>
  <r>
    <x v="3"/>
    <s v="EDHU0167"/>
    <s v="Diebold-Opteva 522 Lobby Cash Dispenser"/>
    <s v="1522FH111638"/>
    <s v="1051"/>
    <s v="Budapest"/>
    <s v="Vigadó u. 2."/>
    <s v="ok"/>
    <n v="1"/>
    <n v="1"/>
    <x v="13"/>
    <e v="#N/A"/>
    <n v="0"/>
    <n v="1"/>
  </r>
  <r>
    <x v="3"/>
    <s v="EDHU0171"/>
    <s v="Diebold-Opteva 522 Lobby Cash Dispenser"/>
    <s v="1522FH111639"/>
    <s v="1073"/>
    <s v="Budapest"/>
    <s v="Erzsébet krt 27."/>
    <s v="ok"/>
    <n v="1"/>
    <n v="1"/>
    <x v="13"/>
    <n v="1"/>
    <n v="1"/>
    <n v="0"/>
  </r>
  <r>
    <x v="3"/>
    <s v="EDHU0177"/>
    <s v="OPT562 1GIG-DVD-UPS-LAN-A6-CEN3(4HIGH)"/>
    <s v="1562RH154069"/>
    <s v="8230"/>
    <s v="Balatonfüred"/>
    <s v="Széchenyi u. 8."/>
    <s v="ok"/>
    <n v="1"/>
    <n v="1"/>
    <x v="4"/>
    <e v="#N/A"/>
    <n v="0"/>
    <n v="1"/>
  </r>
  <r>
    <x v="3"/>
    <s v="EDHU0180"/>
    <s v="OPT562 1GIG-DVD-UPS-LAN-A6-CEN3(4HIGH)"/>
    <s v="1562RH154072"/>
    <s v="1014"/>
    <s v="Budapest"/>
    <s v="Dísz tér 8."/>
    <s v="ok"/>
    <n v="1"/>
    <n v="1"/>
    <x v="13"/>
    <n v="1"/>
    <n v="1"/>
    <n v="0"/>
  </r>
  <r>
    <x v="3"/>
    <s v="EDHU0182"/>
    <s v="OPT562 1GIG-DVD-UPS-LAN-A6-CEN3(4HIGH)"/>
    <s v="1562RH154081"/>
    <s v="1061"/>
    <s v="Budapest"/>
    <s v="Andrássy út 30."/>
    <s v="ok"/>
    <n v="1"/>
    <n v="1"/>
    <x v="13"/>
    <n v="1"/>
    <n v="1"/>
    <n v="0"/>
  </r>
  <r>
    <x v="3"/>
    <s v="EDHU0190"/>
    <s v="OPT562 1GIG-DVD-UPS-LAN-A6-CEN3(4HIGH)"/>
    <s v="1562RH154083"/>
    <s v="1073"/>
    <s v="Budapest"/>
    <s v="Erzsébet krt. 24."/>
    <s v="ok"/>
    <n v="1"/>
    <n v="1"/>
    <x v="13"/>
    <e v="#N/A"/>
    <n v="0"/>
    <n v="1"/>
  </r>
  <r>
    <x v="3"/>
    <s v="EDHU0194"/>
    <s v="OPT562 1GIG-DVD-UPS-LAN-A6-CEN3(4HIGH)"/>
    <s v="1562RH154214"/>
    <s v="8600"/>
    <s v="Siófok"/>
    <s v="Fő u. 156-160."/>
    <s v="ok"/>
    <n v="1"/>
    <n v="1"/>
    <x v="4"/>
    <e v="#N/A"/>
    <n v="0"/>
    <n v="1"/>
  </r>
  <r>
    <x v="3"/>
    <s v="EDHU0198"/>
    <s v="OPT562 1GIG-DVD-UPS-LAN-A6-CEN3(4HIGH)"/>
    <s v="1562RH154215"/>
    <s v="1137"/>
    <s v="Budapest"/>
    <s v="Pozsonyi u. 25."/>
    <s v="ok"/>
    <n v="1"/>
    <n v="1"/>
    <x v="14"/>
    <e v="#N/A"/>
    <n v="0"/>
    <n v="1"/>
  </r>
  <r>
    <x v="3"/>
    <s v="EDHU0199"/>
    <s v="OPT562 1GIG-DVD-UPS-LAN-A6-CEN3(4HIGH)"/>
    <s v="1562RH154444"/>
    <s v="1052"/>
    <s v="Budapest"/>
    <s v="Városház utca 14."/>
    <s v="ok"/>
    <n v="1"/>
    <n v="1"/>
    <x v="13"/>
    <n v="1"/>
    <n v="1"/>
    <n v="0"/>
  </r>
  <r>
    <x v="3"/>
    <s v="EDHU0234"/>
    <s v="OPT562 1GIG-DVD-UPS-LAN-A6-CEN3(4HIGH)"/>
    <s v="1562RH154451"/>
    <s v="1061"/>
    <s v="Budapest"/>
    <s v="Király u. 6"/>
    <s v="ok"/>
    <n v="1"/>
    <n v="1"/>
    <x v="13"/>
    <e v="#N/A"/>
    <n v="0"/>
    <n v="1"/>
  </r>
  <r>
    <x v="3"/>
    <s v="EDHU0236"/>
    <s v="OPT562 1GIG-DVD-UPS-LAN-A6-CEN3(4HIGH)"/>
    <s v="1562RH154453"/>
    <s v="1054"/>
    <s v="Budapest"/>
    <s v="Váci u. 54."/>
    <s v="ok"/>
    <n v="1"/>
    <n v="1"/>
    <x v="13"/>
    <e v="#N/A"/>
    <n v="0"/>
    <n v="1"/>
  </r>
  <r>
    <x v="3"/>
    <s v="EDHU0241"/>
    <s v="OPT562 1GIG-DVD-UPS-LAN-A6-CEN3(4HIGH)"/>
    <s v="1562RH154078"/>
    <s v="1137"/>
    <s v="Budapest"/>
    <s v="Szent István krt. 12."/>
    <s v="ok"/>
    <n v="1"/>
    <n v="1"/>
    <x v="14"/>
    <e v="#N/A"/>
    <n v="0"/>
    <n v="1"/>
  </r>
  <r>
    <x v="3"/>
    <s v="EDHU0256"/>
    <s v="Diebold-Opteva 522 Lobby Cash Dispenser"/>
    <s v="1522FH115281"/>
    <s v="1072"/>
    <s v="Budapest"/>
    <s v="Klauzál tér 6."/>
    <s v="ok"/>
    <n v="1"/>
    <n v="1"/>
    <x v="13"/>
    <e v="#N/A"/>
    <n v="0"/>
    <n v="1"/>
  </r>
  <r>
    <x v="3"/>
    <s v="EDHU0257"/>
    <s v="OPT562 1GIG-DVD-UPS-LAN-A6-CEN3(4HIGH)"/>
    <s v="1562RH154454"/>
    <s v="1132"/>
    <s v="Budapest"/>
    <s v="Váci út 8."/>
    <s v="ok"/>
    <n v="1"/>
    <n v="1"/>
    <x v="14"/>
    <n v="1"/>
    <n v="1"/>
    <n v="0"/>
  </r>
  <r>
    <x v="3"/>
    <s v="EDHU0260"/>
    <s v="Diebold-Opteva 522 Lobby Cash Dispenser"/>
    <s v="1522FH111859"/>
    <s v="1051"/>
    <s v="Budapest"/>
    <s v="Széchenyi tér 7-8."/>
    <s v="ok"/>
    <n v="1"/>
    <n v="1"/>
    <x v="13"/>
    <e v="#N/A"/>
    <n v="0"/>
    <n v="1"/>
  </r>
  <r>
    <x v="3"/>
    <s v="EDHU0262"/>
    <s v="Diebold-Opteva 522 Lobby Cash Dispenser"/>
    <s v="1522FH115041"/>
    <s v="1062"/>
    <s v="Budapest"/>
    <s v="Váci út 1-3."/>
    <s v="ok"/>
    <n v="1"/>
    <n v="1"/>
    <x v="13"/>
    <n v="1"/>
    <n v="1"/>
    <n v="0"/>
  </r>
  <r>
    <x v="3"/>
    <s v="EDHU0289"/>
    <s v="Diebold-Opteva 522 Lobby Cash Dispenser"/>
    <s v="1522FH115038"/>
    <s v="1062"/>
    <s v="Budapest"/>
    <s v="Váci út 1-3."/>
    <s v="ok"/>
    <n v="1"/>
    <n v="1"/>
    <x v="13"/>
    <e v="#N/A"/>
    <n v="0"/>
    <n v="1"/>
  </r>
  <r>
    <x v="3"/>
    <s v="EDHU0316"/>
    <s v="OPT562 1GIG-DVD-UPS-LAN-A6-CEN3(4HIGH)"/>
    <s v="1562RH154216"/>
    <s v="1061"/>
    <s v="Budapest"/>
    <s v="Liszt Ferenc tér 4."/>
    <s v="ok"/>
    <n v="1"/>
    <n v="1"/>
    <x v="13"/>
    <e v="#N/A"/>
    <n v="0"/>
    <n v="1"/>
  </r>
  <r>
    <x v="3"/>
    <s v="EDHU0337"/>
    <s v="OPT562 1GIG-DVD-UPS-LAN-A6-CEN3(4HIGH)"/>
    <s v="1562RH157104"/>
    <s v="1054"/>
    <s v="Budapest"/>
    <s v="Szabadság tér 7."/>
    <s v="ok"/>
    <n v="1"/>
    <n v="1"/>
    <x v="13"/>
    <n v="1"/>
    <n v="1"/>
    <n v="0"/>
  </r>
  <r>
    <x v="3"/>
    <s v="EDHU0349"/>
    <s v="OPT562 1GIG-DVD-UPS-LAN-A6-CEN3(4HIGH)"/>
    <s v="1562RH157109"/>
    <s v="1067"/>
    <s v="Budapest"/>
    <s v="Teréz krt. 21."/>
    <s v="ok"/>
    <n v="1"/>
    <n v="1"/>
    <x v="13"/>
    <e v="#N/A"/>
    <n v="0"/>
    <n v="1"/>
  </r>
  <r>
    <x v="3"/>
    <s v="EDHU0358"/>
    <s v="Diebold-Opteva 522 Lobby Cash Dispenser"/>
    <s v="1522FH108163"/>
    <s v="1115"/>
    <s v="Budapest"/>
    <s v="M4 Metró Aluljáró"/>
    <s v="ok"/>
    <n v="1"/>
    <n v="1"/>
    <x v="17"/>
    <e v="#N/A"/>
    <n v="0"/>
    <n v="1"/>
  </r>
  <r>
    <x v="3"/>
    <s v="EDHU0376"/>
    <s v="OPT562 1GIG-DVD-UPS-LAN-A6-CEN3(4HIGH)"/>
    <s v="1562RH157357"/>
    <s v="1212"/>
    <s v="Budapest"/>
    <s v="Kikötő u. 8."/>
    <s v="ok"/>
    <n v="1"/>
    <n v="1"/>
    <x v="15"/>
    <e v="#N/A"/>
    <n v="0"/>
    <n v="1"/>
  </r>
  <r>
    <x v="3"/>
    <s v="EDHU0380"/>
    <s v="Diebold-Opteva 522 Lobby Cash Dispenser"/>
    <s v="1522FH111337"/>
    <s v="1036"/>
    <s v="Budapest"/>
    <s v="Bécsi út 38-44."/>
    <s v="ok"/>
    <n v="1"/>
    <n v="1"/>
    <x v="0"/>
    <n v="1"/>
    <n v="1"/>
    <n v="0"/>
  </r>
  <r>
    <x v="3"/>
    <s v="EDHU0399"/>
    <s v="OPT562 1GIG-DVD-UPS-LAN-A6-CEN3(4HIGH)"/>
    <s v="1562RH157365"/>
    <s v="6720"/>
    <s v="Szeged"/>
    <s v="Dugonics tér 1."/>
    <s v="ok"/>
    <n v="1"/>
    <n v="1"/>
    <x v="3"/>
    <e v="#N/A"/>
    <n v="0"/>
    <n v="1"/>
  </r>
  <r>
    <x v="3"/>
    <s v="EDHU0409"/>
    <s v="OPT562 1GIG-DVD-UPS-LAN-A6-CEN3(4HIGH)"/>
    <s v="1562RH133841"/>
    <s v="1085"/>
    <s v="Budapest"/>
    <s v="József krt. 31/a."/>
    <s v="ok"/>
    <n v="1"/>
    <n v="1"/>
    <x v="13"/>
    <e v="#N/A"/>
    <n v="0"/>
    <n v="1"/>
  </r>
  <r>
    <x v="3"/>
    <s v="EDHU0410"/>
    <s v="Diebold-Opteva 522 Lobby Cash Dispenser"/>
    <s v="1522FH108666"/>
    <s v="1062"/>
    <s v="Budapest"/>
    <s v="Andrássy út 86."/>
    <s v="ok"/>
    <n v="1"/>
    <n v="1"/>
    <x v="13"/>
    <n v="1"/>
    <n v="1"/>
    <n v="0"/>
  </r>
  <r>
    <x v="3"/>
    <s v="EDHU0411"/>
    <s v="Diebold-Opteva 522 Lobby Cash Dispenser"/>
    <s v="1522FH107106"/>
    <s v="7400"/>
    <s v="Kaposvár"/>
    <s v="Honvéd u. 57."/>
    <s v="ok"/>
    <n v="1"/>
    <n v="1"/>
    <x v="12"/>
    <e v="#N/A"/>
    <n v="0"/>
    <n v="1"/>
  </r>
  <r>
    <x v="3"/>
    <s v="EDHU0417"/>
    <s v="OPT562 1GIG-DVD-UPS-LAN-A6-CEN3(4HIGH)"/>
    <s v="1562RH157366"/>
    <s v="1061"/>
    <s v="Budapest"/>
    <s v="Anker köz 2-4."/>
    <s v="ok"/>
    <n v="1"/>
    <n v="1"/>
    <x v="13"/>
    <e v="#N/A"/>
    <n v="0"/>
    <n v="1"/>
  </r>
  <r>
    <x v="3"/>
    <s v="EDHU0471"/>
    <s v="OPT562 1GIG-DVD-UPS-LAN-A6-CEN3(4HIGH)"/>
    <s v="1562RH134775"/>
    <s v="1085"/>
    <s v="Budapest"/>
    <s v="József krt. 69."/>
    <s v="ok"/>
    <n v="1"/>
    <n v="1"/>
    <x v="13"/>
    <e v="#N/A"/>
    <n v="0"/>
    <n v="1"/>
  </r>
  <r>
    <x v="3"/>
    <s v="EDHU0480"/>
    <s v="OPT562 1GIG-DVD-UPS-LAN-A6-CEN3(4HIGH)"/>
    <s v="1562RH158137"/>
    <s v="1011"/>
    <s v="Budapest"/>
    <s v="Fő u. 56-58."/>
    <s v="ok"/>
    <n v="1"/>
    <n v="1"/>
    <x v="13"/>
    <n v="1"/>
    <n v="1"/>
    <n v="0"/>
  </r>
  <r>
    <x v="3"/>
    <s v="EDHU0485"/>
    <s v="Diebold-Opteva 522 Lobby Cash Dispenser"/>
    <s v="1522FH118970"/>
    <s v="1185"/>
    <s v="Budapest"/>
    <s v="Liszt Ferenc Repülőtér"/>
    <s v="ok"/>
    <n v="1"/>
    <n v="1"/>
    <x v="15"/>
    <e v="#N/A"/>
    <n v="0"/>
    <n v="1"/>
  </r>
  <r>
    <x v="3"/>
    <s v="EDHU0491"/>
    <s v="Diebold-Opteva 522 Lobby Cash Dispenser"/>
    <s v="1522FH118971"/>
    <s v="5600"/>
    <s v="Békéscsaba"/>
    <s v="Andrássy út 58."/>
    <s v="ok"/>
    <n v="1"/>
    <n v="1"/>
    <x v="3"/>
    <e v="#N/A"/>
    <n v="0"/>
    <n v="1"/>
  </r>
  <r>
    <x v="3"/>
    <s v="EDHU0499"/>
    <s v="OPT562 1GIG-DVD-UPS-LAN-A6-CEN3(4HIGH)"/>
    <s v="1562RH158134"/>
    <s v="1137"/>
    <s v="Budapest"/>
    <s v="Jászai Mari tér 4/a."/>
    <s v="ok"/>
    <n v="1"/>
    <n v="1"/>
    <x v="14"/>
    <n v="1"/>
    <n v="1"/>
    <n v="0"/>
  </r>
  <r>
    <x v="3"/>
    <s v="EDHU0502"/>
    <s v="Diebold-Opteva 522 Lobby Cash Dispenser"/>
    <s v="1522FH118968"/>
    <s v="2030"/>
    <s v="Érd"/>
    <s v="Asztalos u. 7."/>
    <s v="ok"/>
    <n v="1"/>
    <n v="1"/>
    <x v="15"/>
    <n v="1"/>
    <n v="1"/>
    <n v="0"/>
  </r>
  <r>
    <x v="3"/>
    <s v="EDHU0506"/>
    <s v="OPT562 1GIG-DVD-UPS-LAN-A6-CEN3(4HIGH)"/>
    <s v="1562RH158136"/>
    <s v="1053"/>
    <s v="Budapest"/>
    <s v="Kecskeméti u. 1."/>
    <s v="ok"/>
    <n v="1"/>
    <n v="1"/>
    <x v="13"/>
    <e v="#N/A"/>
    <n v="0"/>
    <n v="1"/>
  </r>
  <r>
    <x v="3"/>
    <s v="EDHU0519"/>
    <s v="OPT562 1GIG-DVD-UPS-LAN-A6-CEN3(4HIGH)"/>
    <s v="1562RH154066"/>
    <s v="1072"/>
    <s v="Budapest"/>
    <s v="Rákóczi út 6."/>
    <s v="ok"/>
    <n v="1"/>
    <n v="1"/>
    <x v="13"/>
    <n v="1"/>
    <n v="1"/>
    <n v="0"/>
  </r>
  <r>
    <x v="3"/>
    <s v="EDHU0521"/>
    <s v="Diebold-Opteva 522 Lobby Cash Dispenser"/>
    <s v="1522FH118972"/>
    <s v="6725"/>
    <s v="Szeged"/>
    <s v="Indóház tér 2."/>
    <s v="ok"/>
    <n v="1"/>
    <n v="1"/>
    <x v="3"/>
    <e v="#N/A"/>
    <n v="0"/>
    <n v="1"/>
  </r>
  <r>
    <x v="3"/>
    <s v="EDHU0551"/>
    <s v="Diebold-Opteva 522 Lobby Cash Dispenser"/>
    <s v="1522FH108482"/>
    <s v="9400"/>
    <s v="Sopron"/>
    <s v="Lackner Kristóf u. 33."/>
    <s v="ok"/>
    <n v="1"/>
    <n v="1"/>
    <x v="8"/>
    <n v="1"/>
    <n v="1"/>
    <n v="0"/>
  </r>
  <r>
    <x v="3"/>
    <s v="EDHU0581"/>
    <s v="OPT562 1GIG-DVD-UPS-LAN-A6-CEN3(4HIGH)"/>
    <s v="1562RH131824"/>
    <s v="1056"/>
    <s v="Budapest"/>
    <s v="Belgrád rakpart 23."/>
    <s v="ok"/>
    <n v="1"/>
    <n v="1"/>
    <x v="13"/>
    <e v="#N/A"/>
    <n v="0"/>
    <n v="1"/>
  </r>
  <r>
    <x v="3"/>
    <s v="EDHU0595"/>
    <s v="Diebold-Opteva 522 Lobby Cash Dispenser"/>
    <s v="1522FH107107"/>
    <s v="7630"/>
    <s v="Pécs"/>
    <s v="Budai Vám 1."/>
    <s v="ok"/>
    <n v="1"/>
    <n v="1"/>
    <x v="12"/>
    <e v="#N/A"/>
    <n v="0"/>
    <n v="1"/>
  </r>
  <r>
    <x v="3"/>
    <s v="EDHU0622"/>
    <s v="OPT562 1GIG-DVD-UPS-LAN-A6-CEN3(4HIGH)"/>
    <s v="1562RH154455"/>
    <s v="1137"/>
    <s v="Budapest"/>
    <s v="Szent István krt. 18."/>
    <s v="ok"/>
    <n v="1"/>
    <n v="1"/>
    <x v="14"/>
    <n v="1"/>
    <n v="1"/>
    <n v="0"/>
  </r>
  <r>
    <x v="3"/>
    <s v="EDHU0679"/>
    <s v="Diebold-Opteva 522 Lobby Cash Dispenser"/>
    <s v="1522FH107094"/>
    <s v="3525"/>
    <s v="Miskolc"/>
    <s v="Szűcs Sámuel u. 5."/>
    <s v="ok"/>
    <n v="1"/>
    <n v="1"/>
    <x v="2"/>
    <e v="#N/A"/>
    <n v="0"/>
    <n v="1"/>
  </r>
  <r>
    <x v="3"/>
    <s v="EDHU0716"/>
    <s v="Diebold-Opteva 522 Lobby Cash Dispenser"/>
    <s v="1522FH111862"/>
    <s v="2212"/>
    <s v="Csévharaszt"/>
    <s v="Kossuth Lajos u. 43/b"/>
    <s v="ok"/>
    <n v="1"/>
    <n v="1"/>
    <x v="15"/>
    <e v="#N/A"/>
    <n v="0"/>
    <n v="1"/>
  </r>
  <r>
    <x v="3"/>
    <s v="EWHU0575"/>
    <s v="CINEO C2040 Frontload"/>
    <s v="5310115858"/>
    <s v="4300"/>
    <s v="Nyírbátor"/>
    <s v="Coloplast u. 2."/>
    <s v="ok"/>
    <n v="1"/>
    <n v="1"/>
    <x v="1"/>
    <e v="#N/A"/>
    <n v="0"/>
    <n v="1"/>
  </r>
  <r>
    <x v="3"/>
    <s v="EWHU0582"/>
    <s v="CINEO C2040 Frontload"/>
    <s v="5310115884"/>
    <s v="8960"/>
    <s v="Lenti"/>
    <s v="Cserépgyár u. 1."/>
    <s v="ok"/>
    <n v="1"/>
    <n v="1"/>
    <x v="9"/>
    <e v="#N/A"/>
    <n v="0"/>
    <n v="1"/>
  </r>
  <r>
    <x v="4"/>
    <s v="AKHB2072"/>
    <s v="Diebold-Opteva 720 ATM Indoor"/>
    <s v="1720F3301190"/>
    <s v="4027"/>
    <s v="Debrecen"/>
    <s v="Füredi út 27."/>
    <s v="ok"/>
    <n v="2"/>
    <n v="2"/>
    <x v="16"/>
    <n v="1"/>
    <n v="1"/>
    <n v="1"/>
  </r>
  <r>
    <x v="4"/>
    <s v="AKHB2078"/>
    <s v="Diebold-Opteva 720 ATM Indoor"/>
    <s v="1720F3301167"/>
    <s v="9700"/>
    <s v="Szombathely"/>
    <s v="Éhen Gyula tér 2."/>
    <s v="ok"/>
    <n v="2"/>
    <n v="2"/>
    <x v="8"/>
    <e v="#N/A"/>
    <n v="0"/>
    <n v="2"/>
  </r>
  <r>
    <x v="4"/>
    <s v="AKHB2092"/>
    <s v="Diebold-Opteva 522 Lobby Cash Dispenser"/>
    <s v="1522FH113845"/>
    <s v="5650"/>
    <s v="Mezőberény"/>
    <s v="Kossuth tér 13."/>
    <s v="ok"/>
    <n v="2"/>
    <n v="2"/>
    <x v="11"/>
    <e v="#N/A"/>
    <n v="0"/>
    <n v="2"/>
  </r>
  <r>
    <x v="4"/>
    <s v="AKHB2102"/>
    <s v="Diebold-Opteva 522 Lobby Cash Dispenser"/>
    <s v="1522FH119147"/>
    <s v="7631"/>
    <s v="Pécs"/>
    <s v="Kincses út 1"/>
    <s v="ok"/>
    <n v="2"/>
    <n v="2"/>
    <x v="12"/>
    <n v="1"/>
    <n v="1"/>
    <n v="1"/>
  </r>
  <r>
    <x v="4"/>
    <s v="AKHB2119"/>
    <s v="OPT562 1GIG-DVD-UPS-LAN-A6-CEN3(4HIGH)"/>
    <s v="1562RH153239"/>
    <s v="3170"/>
    <s v="Szécsény"/>
    <s v="Rákóczi út 112."/>
    <s v="ok"/>
    <n v="2"/>
    <n v="2"/>
    <x v="6"/>
    <e v="#N/A"/>
    <n v="0"/>
    <n v="2"/>
  </r>
  <r>
    <x v="4"/>
    <s v="AKHB2122"/>
    <s v="Diebold-Opteva 522 Lobby Cash Dispenser"/>
    <s v="1522FH113853"/>
    <s v="4275"/>
    <s v="Monostorpályi"/>
    <s v="Landler tér 4."/>
    <s v="ok"/>
    <n v="2"/>
    <n v="2"/>
    <x v="16"/>
    <n v="1"/>
    <n v="1"/>
    <n v="1"/>
  </r>
  <r>
    <x v="4"/>
    <s v="AKHB2123"/>
    <s v="Diebold-Opteva 522 Lobby Cash Dispenser"/>
    <s v="1522FH119149"/>
    <s v="7634"/>
    <s v="Pécs"/>
    <s v="Makay I.u.5"/>
    <s v="ok"/>
    <n v="2"/>
    <n v="2"/>
    <x v="12"/>
    <n v="1"/>
    <n v="1"/>
    <n v="1"/>
  </r>
  <r>
    <x v="4"/>
    <s v="AKHB2139"/>
    <s v="Diebold-Opteva 520 ATM Indoor"/>
    <s v="1520FCF00567"/>
    <s v="2440"/>
    <s v="Százhalombatta"/>
    <s v="Damjanich u. 29."/>
    <s v="ok"/>
    <n v="2"/>
    <n v="2"/>
    <x v="7"/>
    <e v="#N/A"/>
    <n v="0"/>
    <n v="2"/>
  </r>
  <r>
    <x v="4"/>
    <s v="AKHB2144"/>
    <s v="Diebold-Opteva 522 Lobby Cash Dispenser"/>
    <s v="1522FH113842"/>
    <s v="3780"/>
    <s v="Edelény"/>
    <s v="Antal György u. 3."/>
    <s v="ok"/>
    <n v="2"/>
    <n v="2"/>
    <x v="2"/>
    <n v="1"/>
    <n v="1"/>
    <n v="1"/>
  </r>
  <r>
    <x v="4"/>
    <s v="AKHB2161"/>
    <s v="Diebold-Opteva 520 ATM Indoor"/>
    <s v="1520FCF00562"/>
    <s v="5700"/>
    <s v="Gyula"/>
    <s v="Csabai út 3."/>
    <s v="ok"/>
    <n v="2"/>
    <n v="2"/>
    <x v="3"/>
    <n v="1"/>
    <n v="1"/>
    <n v="1"/>
  </r>
  <r>
    <x v="4"/>
    <s v="AKHB2172"/>
    <s v="Diebold-Opteva 522 Lobby Cash Dispenser"/>
    <s v="1522FH119150"/>
    <s v="2094"/>
    <s v="Nagykovácsi"/>
    <s v="kossuth u. 47."/>
    <s v="ok"/>
    <n v="2"/>
    <n v="2"/>
    <x v="0"/>
    <e v="#N/A"/>
    <n v="0"/>
    <n v="2"/>
  </r>
  <r>
    <x v="4"/>
    <s v="AKHB2191"/>
    <s v="Diebold-Opteva 520 ATM Indoor"/>
    <s v="1520FH120039"/>
    <s v="5600"/>
    <s v="Békéscsaba"/>
    <s v="Szarvasi út 68."/>
    <s v="ok"/>
    <n v="2"/>
    <n v="2"/>
    <x v="3"/>
    <e v="#N/A"/>
    <n v="0"/>
    <n v="2"/>
  </r>
  <r>
    <x v="4"/>
    <s v="AKHB2195"/>
    <s v="Diebold-Opteva 520 ATM Indoor"/>
    <s v="1520FCF00286"/>
    <s v="6500"/>
    <s v="Baja"/>
    <s v="Gránátos u. 11."/>
    <s v="ok"/>
    <n v="2"/>
    <n v="2"/>
    <x v="12"/>
    <e v="#N/A"/>
    <n v="0"/>
    <n v="2"/>
  </r>
  <r>
    <x v="4"/>
    <s v="AKHB2196"/>
    <s v="Diebold-Opteva 520 ATM Indoor"/>
    <s v="1520FCF00881"/>
    <s v="2700"/>
    <s v="Cegléd"/>
    <s v="Malomtó szél 30."/>
    <s v="ok"/>
    <n v="2"/>
    <n v="2"/>
    <x v="6"/>
    <e v="#N/A"/>
    <n v="0"/>
    <n v="2"/>
  </r>
  <r>
    <x v="4"/>
    <s v="AKHB2197"/>
    <s v="Diebold-Opteva 520 ATM Indoor"/>
    <s v="1520FCF00219"/>
    <s v="2400"/>
    <s v="Dunaújváros"/>
    <s v="Aranyvölgyi út."/>
    <s v="ok"/>
    <n v="2"/>
    <n v="2"/>
    <x v="7"/>
    <n v="1"/>
    <n v="1"/>
    <n v="1"/>
  </r>
  <r>
    <x v="4"/>
    <s v="AKHB2199"/>
    <s v="Diebold-Opteva 520 ATM Indoor"/>
    <s v="1520FCF00892"/>
    <s v="9012"/>
    <s v="Győr"/>
    <s v="Királyszék u. 33."/>
    <s v="ok"/>
    <n v="2"/>
    <n v="2"/>
    <x v="19"/>
    <n v="1"/>
    <n v="1"/>
    <n v="1"/>
  </r>
  <r>
    <x v="4"/>
    <s v="AKHB2200"/>
    <s v="Diebold-Opteva 520 ATM Indoor"/>
    <s v="1520FCF00289"/>
    <s v="7030"/>
    <s v="Paks"/>
    <s v="Tolnai u. 2/1"/>
    <s v="ok"/>
    <n v="2"/>
    <n v="2"/>
    <x v="7"/>
    <n v="1"/>
    <n v="1"/>
    <n v="1"/>
  </r>
  <r>
    <x v="4"/>
    <s v="AKHB2204"/>
    <s v="Diebold-Opteva 520 ATM Indoor"/>
    <s v="1520FCF00220"/>
    <s v="7800"/>
    <s v="Siklós"/>
    <s v="Harkányi u. 55."/>
    <s v="ok"/>
    <n v="2"/>
    <n v="2"/>
    <x v="12"/>
    <n v="1"/>
    <n v="1"/>
    <n v="1"/>
  </r>
  <r>
    <x v="4"/>
    <s v="AKHB2250"/>
    <s v="Diebold-Opteva 522 Lobby Cash Dispenser"/>
    <s v="1522FH119155"/>
    <s v="8000"/>
    <s v="Székesfehérvár"/>
    <s v="Aszalvölgyi út 1"/>
    <s v="ok"/>
    <n v="2"/>
    <n v="2"/>
    <x v="4"/>
    <n v="1"/>
    <n v="1"/>
    <n v="1"/>
  </r>
  <r>
    <x v="4"/>
    <s v="AKHB2302"/>
    <s v="Diebold-Opteva 520 ATM Indoor"/>
    <s v="1520FH120054"/>
    <s v="8700"/>
    <s v="Marcali"/>
    <s v="Noszlopy út 177."/>
    <s v="ok"/>
    <n v="2"/>
    <n v="2"/>
    <x v="9"/>
    <e v="#N/A"/>
    <n v="0"/>
    <n v="2"/>
  </r>
  <r>
    <x v="4"/>
    <s v="AKHB2304"/>
    <s v="Diebold-Opteva 520 ATM Indoor"/>
    <s v="1520FCF00570"/>
    <s v="6800"/>
    <s v="Hódmezővásárhely"/>
    <s v="Hódtó u. 17-19."/>
    <s v="ok"/>
    <n v="2"/>
    <n v="2"/>
    <x v="3"/>
    <n v="1"/>
    <n v="1"/>
    <n v="1"/>
  </r>
  <r>
    <x v="4"/>
    <s v="AKHB2309"/>
    <s v="Diebold-Opteva 522 Lobby Cash Dispenser"/>
    <s v="1522FH119157"/>
    <s v="7500"/>
    <s v="Nagyatád"/>
    <s v="Szabadsag u. 38."/>
    <s v="ok"/>
    <n v="2"/>
    <n v="2"/>
    <x v="12"/>
    <n v="1"/>
    <n v="1"/>
    <n v="1"/>
  </r>
  <r>
    <x v="4"/>
    <s v="AKHB2310"/>
    <s v="Diebold-Opteva 522 Lobby Cash Dispenser"/>
    <s v="1522FH113857"/>
    <s v="9400"/>
    <s v="Sopron"/>
    <s v="Ipar krt 30"/>
    <s v="ok"/>
    <n v="2"/>
    <n v="2"/>
    <x v="8"/>
    <n v="1"/>
    <n v="1"/>
    <n v="1"/>
  </r>
  <r>
    <x v="4"/>
    <s v="AKHB2317"/>
    <s v="Diebold-Opteva 522 Lobby Cash Dispenser"/>
    <s v="1522FH113848"/>
    <s v="4300"/>
    <s v="Nyírbátor"/>
    <s v="Debreceni út 71."/>
    <s v="ok"/>
    <n v="2"/>
    <n v="2"/>
    <x v="1"/>
    <n v="1"/>
    <n v="1"/>
    <n v="1"/>
  </r>
  <r>
    <x v="4"/>
    <s v="AKHB2327"/>
    <s v="Diebold-Opteva 522 Lobby Cash Dispenser"/>
    <s v="1522FH113847"/>
    <s v="2500"/>
    <s v="Esztergom"/>
    <s v="Schweidel J. u. 52."/>
    <s v="ok"/>
    <n v="2"/>
    <n v="2"/>
    <x v="14"/>
    <e v="#N/A"/>
    <n v="0"/>
    <n v="2"/>
  </r>
  <r>
    <x v="4"/>
    <s v="AKHB2340"/>
    <s v="Diebold-Opteva 522 Lobby Cash Dispenser"/>
    <s v="1522FH119151"/>
    <s v="2700"/>
    <s v="Cegléd"/>
    <s v="Ipartelepi u. 3."/>
    <s v="ok"/>
    <n v="2"/>
    <n v="2"/>
    <x v="6"/>
    <e v="#N/A"/>
    <n v="0"/>
    <n v="2"/>
  </r>
  <r>
    <x v="4"/>
    <s v="AKHB2362"/>
    <s v="Diebold-Opteva 522 Lobby Cash Dispenser"/>
    <s v="1522FH113837"/>
    <s v="9600"/>
    <s v="Sárvár"/>
    <s v="Rákóczi u. 83."/>
    <s v="ok"/>
    <n v="2"/>
    <n v="2"/>
    <x v="8"/>
    <n v="1"/>
    <n v="1"/>
    <n v="1"/>
  </r>
  <r>
    <x v="4"/>
    <s v="AKHB2388"/>
    <s v="Diebold-Opteva 520 ATM Indoor"/>
    <s v="1520FCF00288"/>
    <s v="3508"/>
    <s v="Miskolc"/>
    <s v="Mésztelep u. 1/a"/>
    <s v="ok"/>
    <n v="2"/>
    <n v="2"/>
    <x v="2"/>
    <n v="1"/>
    <n v="1"/>
    <n v="1"/>
  </r>
  <r>
    <x v="4"/>
    <s v="AKHB2402"/>
    <s v="Diebold-Opteva 520 ATM Indoor"/>
    <s v="1520FH120044"/>
    <s v="8730"/>
    <s v="Kőszeg"/>
    <s v="Rákóczi F. u."/>
    <s v="ok"/>
    <n v="2"/>
    <n v="2"/>
    <x v="8"/>
    <e v="#N/A"/>
    <n v="0"/>
    <n v="2"/>
  </r>
  <r>
    <x v="4"/>
    <s v="AKHB2416"/>
    <s v="Diebold-Opteva 520 ATM Indoor"/>
    <s v="1520FH120051"/>
    <s v="6724"/>
    <s v="Szeged"/>
    <s v="Rókusi krt. 42-64."/>
    <s v="ok"/>
    <n v="2"/>
    <n v="2"/>
    <x v="3"/>
    <n v="1"/>
    <n v="1"/>
    <n v="1"/>
  </r>
  <r>
    <x v="4"/>
    <s v="AKHB2423"/>
    <s v="Diebold-Opteva 720 ATM Indoor"/>
    <s v="1720F3301172"/>
    <s v="8800"/>
    <s v="Nagykanizsa"/>
    <s v="Táborhely u. 4."/>
    <s v="ok"/>
    <n v="2"/>
    <n v="2"/>
    <x v="9"/>
    <n v="1"/>
    <n v="1"/>
    <n v="1"/>
  </r>
  <r>
    <x v="4"/>
    <s v="AKHB2427"/>
    <s v="Diebold-Opteva 520 ATM Indoor"/>
    <s v="1520FCF00283"/>
    <s v="1149"/>
    <s v="Budapest"/>
    <s v="Pillangó u. 15."/>
    <s v="ok"/>
    <n v="2"/>
    <n v="2"/>
    <x v="14"/>
    <e v="#N/A"/>
    <n v="0"/>
    <n v="2"/>
  </r>
  <r>
    <x v="4"/>
    <s v="AKHB2438"/>
    <s v="Diebold-Opteva 520 ATM Indoor"/>
    <s v="1520FH120031"/>
    <s v="2536"/>
    <s v="Nyergesújfalu"/>
    <s v="Kossuth L. u. 80."/>
    <s v="ok"/>
    <n v="2"/>
    <n v="2"/>
    <x v="0"/>
    <e v="#N/A"/>
    <n v="0"/>
    <n v="2"/>
  </r>
  <r>
    <x v="4"/>
    <s v="AKHB2442"/>
    <s v="Diebold-Opteva 522 Lobby Cash Dispenser"/>
    <s v="1522FH113851"/>
    <s v="4625"/>
    <s v="Záhony"/>
    <s v="Ady E. u. 37/b"/>
    <s v="ok"/>
    <n v="2"/>
    <n v="2"/>
    <x v="1"/>
    <n v="1"/>
    <n v="1"/>
    <n v="1"/>
  </r>
  <r>
    <x v="4"/>
    <s v="AKHB2443"/>
    <s v="Diebold-Opteva 522 Lobby Cash Dispenser"/>
    <s v="1522FH113859"/>
    <s v="4002"/>
    <s v="Debrecen"/>
    <s v="Petőfi tér 12."/>
    <s v="ok"/>
    <n v="2"/>
    <n v="2"/>
    <x v="16"/>
    <n v="1"/>
    <n v="1"/>
    <n v="1"/>
  </r>
  <r>
    <x v="4"/>
    <s v="AKHB2456"/>
    <s v="Diebold-Opteva 520 ATM Indoor"/>
    <s v="1520FH120037"/>
    <s v="4032"/>
    <s v="Debrecen"/>
    <s v="Vezér u."/>
    <s v="ok"/>
    <n v="2"/>
    <n v="2"/>
    <x v="16"/>
    <n v="1"/>
    <n v="1"/>
    <n v="1"/>
  </r>
  <r>
    <x v="4"/>
    <s v="AKHB2463"/>
    <s v="Diebold-Opteva 522 Lobby Cash Dispenser"/>
    <s v="1522FH113832"/>
    <s v="2316"/>
    <s v="Tököl"/>
    <s v="Hermina u. 1-3."/>
    <s v="ok"/>
    <n v="2"/>
    <n v="2"/>
    <x v="15"/>
    <n v="1"/>
    <n v="1"/>
    <n v="1"/>
  </r>
  <r>
    <x v="4"/>
    <s v="AKHB2469"/>
    <s v="Diebold-Opteva 522 Lobby Cash Dispenser"/>
    <s v="1522FH113854"/>
    <s v="2040"/>
    <s v="Budaörs"/>
    <s v="Sport u. 2-4."/>
    <s v="ok"/>
    <n v="2"/>
    <n v="2"/>
    <x v="17"/>
    <e v="#N/A"/>
    <n v="0"/>
    <n v="2"/>
  </r>
  <r>
    <x v="4"/>
    <s v="AKHB2470"/>
    <s v="Diebold-Opteva 522 Lobby Cash Dispenser"/>
    <s v="1522FH119145"/>
    <s v="1087"/>
    <s v="Budapest"/>
    <s v="Kerepesi út 9."/>
    <s v="ok"/>
    <n v="2"/>
    <n v="2"/>
    <x v="13"/>
    <e v="#N/A"/>
    <n v="0"/>
    <n v="2"/>
  </r>
  <r>
    <x v="4"/>
    <s v="AKHB2471"/>
    <s v="Diebold-Opteva 522 Lobby Cash Dispenser"/>
    <s v="1522FH119146"/>
    <s v="2100"/>
    <s v="Gödöllő"/>
    <s v="Thegze L. u. 2."/>
    <s v="ok"/>
    <n v="2"/>
    <n v="2"/>
    <x v="10"/>
    <e v="#N/A"/>
    <n v="0"/>
    <n v="2"/>
  </r>
  <r>
    <x v="4"/>
    <s v="AKHB2472"/>
    <s v="Diebold-Opteva 522 Lobby Cash Dispenser"/>
    <s v="1522FH119148"/>
    <s v="1214"/>
    <s v="Budapest"/>
    <s v="Salak út 12."/>
    <s v="ok"/>
    <n v="2"/>
    <n v="2"/>
    <x v="15"/>
    <n v="1"/>
    <n v="1"/>
    <n v="1"/>
  </r>
  <r>
    <x v="4"/>
    <s v="AKHB2475"/>
    <s v="Diebold-Opteva 522 Lobby Cash Dispenser"/>
    <s v="1522FH119152"/>
    <s v="7200"/>
    <s v="Dombóvár"/>
    <s v="Köztársaság u. 7."/>
    <s v="ok"/>
    <n v="2"/>
    <n v="2"/>
    <x v="12"/>
    <e v="#N/A"/>
    <n v="0"/>
    <n v="2"/>
  </r>
  <r>
    <x v="4"/>
    <s v="AKHB2476"/>
    <s v="Diebold-Opteva 522 Lobby Cash Dispenser"/>
    <s v="1522FH119154"/>
    <s v="7150"/>
    <s v="Bonyhád"/>
    <s v="Völgység u. 8."/>
    <s v="ok"/>
    <n v="2"/>
    <n v="2"/>
    <x v="12"/>
    <e v="#N/A"/>
    <n v="0"/>
    <n v="2"/>
  </r>
  <r>
    <x v="4"/>
    <s v="AKHB2477"/>
    <s v="Diebold-Opteva 522 Lobby Cash Dispenser"/>
    <s v="1522FH119156"/>
    <s v="8400"/>
    <s v="Ajka"/>
    <s v="Fő út 66."/>
    <s v="ok"/>
    <n v="2"/>
    <n v="2"/>
    <x v="4"/>
    <e v="#N/A"/>
    <n v="0"/>
    <n v="2"/>
  </r>
  <r>
    <x v="4"/>
    <s v="AKHB2488"/>
    <s v="Diebold-Opteva 522 Lobby Cash Dispenser"/>
    <s v="1522FH113846"/>
    <s v="3700"/>
    <s v="Kazincbarcika"/>
    <s v="Attila u. 10/b"/>
    <s v="ok"/>
    <n v="2"/>
    <n v="2"/>
    <x v="2"/>
    <n v="1"/>
    <n v="1"/>
    <n v="1"/>
  </r>
  <r>
    <x v="4"/>
    <s v="AKHB2505"/>
    <s v="Diebold-Opteva 522 Lobby Cash Dispenser"/>
    <s v="1522FH119158"/>
    <s v="6100"/>
    <s v="Kiskunfélegyháza"/>
    <s v="IX. körzet 8/b"/>
    <s v="ok"/>
    <n v="2"/>
    <n v="2"/>
    <x v="11"/>
    <e v="#N/A"/>
    <n v="0"/>
    <n v="2"/>
  </r>
  <r>
    <x v="4"/>
    <s v="AKHB2507"/>
    <s v="Diebold-Opteva 522 Lobby Cash Dispenser"/>
    <s v="1522FH113850"/>
    <s v="2840"/>
    <s v="Oroszlány"/>
    <s v="Környei u. 3-5."/>
    <s v="ok"/>
    <n v="2"/>
    <n v="2"/>
    <x v="19"/>
    <e v="#N/A"/>
    <n v="0"/>
    <n v="2"/>
  </r>
  <r>
    <x v="4"/>
    <s v="AKHB2570"/>
    <s v="Diebold-Opteva 522 Lobby Cash Dispenser"/>
    <s v="1522FH119114"/>
    <s v="2040"/>
    <s v="Budaörs"/>
    <s v="Kinizsi út 1-3."/>
    <s v="ok"/>
    <n v="2"/>
    <n v="2"/>
    <x v="17"/>
    <e v="#N/A"/>
    <n v="0"/>
    <n v="2"/>
  </r>
  <r>
    <x v="4"/>
    <s v="AKHB2571"/>
    <s v="Diebold-Opteva 522 Lobby Cash Dispenser"/>
    <s v="1522FH113838"/>
    <s v="8900"/>
    <s v="Zalaegerszeg"/>
    <s v="Posta u. 63."/>
    <s v="ok"/>
    <n v="2"/>
    <n v="2"/>
    <x v="9"/>
    <n v="1"/>
    <n v="1"/>
    <n v="1"/>
  </r>
  <r>
    <x v="4"/>
    <s v="AKHB2577"/>
    <s v="Diebold-Opteva 720 ATM Indoor"/>
    <s v="1720F3301953"/>
    <s v="6100"/>
    <s v="Kiskunfélegyháza"/>
    <s v="Kossuth Lajos u. 37."/>
    <s v="ok"/>
    <n v="2"/>
    <n v="2"/>
    <x v="11"/>
    <e v="#N/A"/>
    <n v="0"/>
    <n v="2"/>
  </r>
  <r>
    <x v="4"/>
    <s v="AKHB2591"/>
    <s v="OPT562 1GIG-DVD-UPS-LAN-A6-CEN3(4HIGH)"/>
    <s v="1562RH153249"/>
    <s v="8000"/>
    <s v="Székesfehérvár"/>
    <s v="Dózsa Gy. u.5."/>
    <s v="ok"/>
    <n v="2"/>
    <n v="2"/>
    <x v="4"/>
    <e v="#N/A"/>
    <n v="0"/>
    <n v="2"/>
  </r>
  <r>
    <x v="4"/>
    <s v="AKHB2592"/>
    <s v="Diebold-Opteva 520 ATM Indoor"/>
    <s v="1520FCF00937"/>
    <s v="1097"/>
    <s v="Budapest"/>
    <s v="Koppány u. 2-4."/>
    <s v="ok"/>
    <n v="2"/>
    <n v="2"/>
    <x v="17"/>
    <e v="#N/A"/>
    <n v="0"/>
    <n v="2"/>
  </r>
  <r>
    <x v="4"/>
    <s v="AKHB2596"/>
    <s v="Diebold-Opteva 522 Lobby Cash Dispenser"/>
    <s v="1522FH113833"/>
    <s v="3900"/>
    <s v="Szerencs"/>
    <s v="Gyár u. 40."/>
    <s v="ok"/>
    <n v="2"/>
    <n v="2"/>
    <x v="1"/>
    <n v="1"/>
    <n v="1"/>
    <n v="1"/>
  </r>
  <r>
    <x v="4"/>
    <s v="AKHB2597"/>
    <s v="Diebold-Opteva 522 Lobby Cash Dispenser"/>
    <s v="1522FH113834"/>
    <s v="1152"/>
    <s v="Budapest"/>
    <s v="Szentmihályi út 131"/>
    <s v="ok"/>
    <n v="2"/>
    <n v="2"/>
    <x v="14"/>
    <n v="1"/>
    <n v="1"/>
    <n v="1"/>
  </r>
  <r>
    <x v="4"/>
    <s v="AKHB2605"/>
    <s v="Diebold-Opteva 520 ATM Indoor"/>
    <s v="1520FCF00564"/>
    <s v="5600"/>
    <s v="Békéscsaba"/>
    <s v="Andrássy út 37-43."/>
    <s v="ok"/>
    <n v="2"/>
    <n v="2"/>
    <x v="3"/>
    <e v="#N/A"/>
    <n v="0"/>
    <n v="2"/>
  </r>
  <r>
    <x v="4"/>
    <s v="AKHB2609"/>
    <s v="Diebold-Opteva 522 Lobby Cash Dispenser"/>
    <s v="1522FH113844"/>
    <s v="2760"/>
    <s v="Nagykáta"/>
    <s v="Dózsa Gy. u. 4."/>
    <s v="ok"/>
    <n v="2"/>
    <n v="2"/>
    <x v="10"/>
    <e v="#N/A"/>
    <n v="0"/>
    <n v="2"/>
  </r>
  <r>
    <x v="4"/>
    <s v="AKHB2622"/>
    <s v="OPT562 1GIG-DVD-UPS-LAN-A6-CEN3(4HIGH)"/>
    <s v="1562RH153236"/>
    <s v="9022"/>
    <s v="Győr"/>
    <s v="Szent István u. 29-31."/>
    <s v="ok"/>
    <n v="2"/>
    <n v="2"/>
    <x v="19"/>
    <n v="1"/>
    <n v="1"/>
    <n v="1"/>
  </r>
  <r>
    <x v="4"/>
    <s v="AKHB2631"/>
    <s v="Diebold-Opteva 522 Lobby Cash Dispenser"/>
    <s v="1522FH105400"/>
    <s v="1204"/>
    <s v="Budapest"/>
    <s v="Mártírok útja 281"/>
    <s v="ok"/>
    <n v="2"/>
    <n v="2"/>
    <x v="15"/>
    <n v="1"/>
    <n v="1"/>
    <n v="1"/>
  </r>
  <r>
    <x v="4"/>
    <s v="AKHB2659"/>
    <s v="Diebold-Opteva 522 Lobby Cash Dispenser"/>
    <s v="1522FH119153"/>
    <s v="1152"/>
    <s v="Budapest"/>
    <s v="Szentmihályi u. 167-169."/>
    <s v="ok"/>
    <n v="2"/>
    <n v="2"/>
    <x v="14"/>
    <e v="#N/A"/>
    <n v="0"/>
    <n v="2"/>
  </r>
  <r>
    <x v="4"/>
    <s v="AKHB2670"/>
    <s v="Diebold-Opteva 520 ATM Indoor"/>
    <s v="1520FCF00561"/>
    <s v="4400"/>
    <s v="Nyíregyháza"/>
    <s v="Állomás tér 3."/>
    <s v="ok"/>
    <n v="2"/>
    <n v="2"/>
    <x v="1"/>
    <n v="1"/>
    <n v="1"/>
    <n v="1"/>
  </r>
  <r>
    <x v="4"/>
    <s v="AKHB2707"/>
    <s v="Diebold-Opteva 520 ATM Indoor"/>
    <s v="1520FH120042"/>
    <s v="1091"/>
    <s v="Budapest"/>
    <s v="Ülloi út 131."/>
    <s v="ok"/>
    <n v="2"/>
    <n v="2"/>
    <x v="17"/>
    <n v="1"/>
    <n v="1"/>
    <n v="1"/>
  </r>
  <r>
    <x v="4"/>
    <s v="AKHB2710"/>
    <s v="OPT562 1GIG-DVD-UPS-LAN-A6-CEN3(4HIGH)"/>
    <s v="1562RH153240"/>
    <s v="1133"/>
    <s v="Budapest"/>
    <s v="Váci út 76."/>
    <s v="ok"/>
    <n v="2"/>
    <n v="2"/>
    <x v="14"/>
    <e v="#N/A"/>
    <n v="0"/>
    <n v="2"/>
  </r>
  <r>
    <x v="4"/>
    <s v="AKHB2713"/>
    <s v="Diebold-Opteva 520 ATM Indoor"/>
    <s v="1520FCF00876"/>
    <s v="6200"/>
    <s v="Kiskőrös"/>
    <s v="Kossuth L. u. 61."/>
    <s v="ok"/>
    <n v="2"/>
    <n v="2"/>
    <x v="7"/>
    <e v="#N/A"/>
    <n v="0"/>
    <n v="2"/>
  </r>
  <r>
    <x v="4"/>
    <s v="AKHB2714"/>
    <s v="Diebold-Opteva 522 Lobby Cash Dispenser"/>
    <s v="1522FH113860"/>
    <s v="5700"/>
    <s v="Gyula"/>
    <s v="Városház u. 17-19."/>
    <s v="ok"/>
    <n v="2"/>
    <n v="2"/>
    <x v="3"/>
    <n v="1"/>
    <n v="1"/>
    <n v="1"/>
  </r>
  <r>
    <x v="4"/>
    <s v="AKHB2715"/>
    <s v="Diebold-Opteva 520 ATM Indoor"/>
    <s v="1520FCF00884"/>
    <s v="5540"/>
    <s v="Szarvas"/>
    <s v="Csabai út 9."/>
    <s v="ok"/>
    <n v="2"/>
    <n v="2"/>
    <x v="11"/>
    <e v="#N/A"/>
    <n v="0"/>
    <n v="2"/>
  </r>
  <r>
    <x v="4"/>
    <s v="AKHB2716"/>
    <s v="Diebold-Opteva 520 ATM Indoor"/>
    <s v="1520FCF00885"/>
    <s v="6600"/>
    <s v="Szentes"/>
    <s v="Alsórét 258."/>
    <s v="ok"/>
    <n v="2"/>
    <n v="2"/>
    <x v="11"/>
    <e v="#N/A"/>
    <n v="0"/>
    <n v="2"/>
  </r>
  <r>
    <x v="4"/>
    <s v="AKHB2717"/>
    <s v="Diebold-Opteva 520 ATM Indoor"/>
    <s v="1520FCF00882"/>
    <s v="2900"/>
    <s v="Komárom"/>
    <s v="Gyár u. 2."/>
    <s v="ok"/>
    <n v="2"/>
    <n v="2"/>
    <x v="19"/>
    <e v="#N/A"/>
    <n v="0"/>
    <n v="2"/>
  </r>
  <r>
    <x v="4"/>
    <s v="AKHB2719"/>
    <s v="Diebold-Opteva 520 ATM Indoor"/>
    <s v="1520FCF00883"/>
    <s v="3100"/>
    <s v="Salgótarján"/>
    <s v="Rákóczi út 143."/>
    <s v="ok"/>
    <n v="2"/>
    <n v="2"/>
    <x v="6"/>
    <e v="#N/A"/>
    <n v="0"/>
    <n v="2"/>
  </r>
  <r>
    <x v="4"/>
    <s v="AKHB2720"/>
    <s v="Diebold-Opteva 520 ATM Indoor"/>
    <s v="1520FCF00878"/>
    <s v="8800"/>
    <s v="Nagykanizsa"/>
    <s v="Boszorkány u 2."/>
    <s v="ok"/>
    <n v="2"/>
    <n v="2"/>
    <x v="9"/>
    <e v="#N/A"/>
    <n v="0"/>
    <n v="2"/>
  </r>
  <r>
    <x v="4"/>
    <s v="AKHB2721"/>
    <s v="Diebold-Opteva 520 ATM Indoor"/>
    <s v="1520FCF00877"/>
    <s v="8300"/>
    <s v="Tapolca"/>
    <s v="Veszprémi út 5."/>
    <s v="ok"/>
    <n v="2"/>
    <n v="2"/>
    <x v="9"/>
    <e v="#N/A"/>
    <n v="0"/>
    <n v="2"/>
  </r>
  <r>
    <x v="4"/>
    <s v="AKHB2722"/>
    <s v="Diebold-Opteva 520 ATM Indoor"/>
    <s v="1520FCF00888"/>
    <s v="8500"/>
    <s v="Pápa"/>
    <s v="Celli út 92."/>
    <s v="ok"/>
    <n v="2"/>
    <n v="2"/>
    <x v="8"/>
    <e v="#N/A"/>
    <n v="0"/>
    <n v="2"/>
  </r>
  <r>
    <x v="4"/>
    <s v="AKHB2723"/>
    <s v="Diebold-Opteva 520 ATM Indoor"/>
    <s v="1520FCF00887"/>
    <s v="5900"/>
    <s v="Orosháza"/>
    <s v="Vásárhelyi út 23/a"/>
    <s v="ok"/>
    <n v="2"/>
    <n v="2"/>
    <x v="3"/>
    <n v="1"/>
    <n v="1"/>
    <n v="1"/>
  </r>
  <r>
    <x v="4"/>
    <s v="AKHB2725"/>
    <s v="Diebold-Opteva 520 ATM Indoor"/>
    <s v="1520FCF00889"/>
    <s v="4700"/>
    <s v="Mátészalka"/>
    <s v="Alkotmány u. 1/a"/>
    <s v="ok"/>
    <n v="2"/>
    <n v="2"/>
    <x v="1"/>
    <n v="1"/>
    <n v="1"/>
    <n v="1"/>
  </r>
  <r>
    <x v="4"/>
    <s v="AKHB2734"/>
    <s v="Diebold-Opteva 520 ATM Indoor"/>
    <s v="1520FCF00890"/>
    <s v="8360"/>
    <s v="Keszthely"/>
    <s v="Csapás u. 27."/>
    <s v="ok"/>
    <n v="2"/>
    <n v="2"/>
    <x v="9"/>
    <e v="#N/A"/>
    <n v="0"/>
    <n v="2"/>
  </r>
  <r>
    <x v="4"/>
    <s v="AKHB2735"/>
    <s v="Diebold-Opteva 520 ATM Indoor"/>
    <s v="1520FCF00886"/>
    <s v="3980"/>
    <s v="Sátoraljaújhely"/>
    <s v="Kazinczy F. u. 105."/>
    <s v="ok"/>
    <n v="2"/>
    <n v="2"/>
    <x v="1"/>
    <n v="1"/>
    <n v="1"/>
    <n v="1"/>
  </r>
  <r>
    <x v="4"/>
    <s v="AKHB2736"/>
    <s v="Diebold-Opteva 520 ATM Indoor"/>
    <s v="1520FCF00933"/>
    <s v="1239"/>
    <s v="Budapest"/>
    <s v="Bevásárló u. 2."/>
    <s v="ok"/>
    <n v="2"/>
    <n v="2"/>
    <x v="15"/>
    <n v="1"/>
    <n v="1"/>
    <n v="1"/>
  </r>
  <r>
    <x v="4"/>
    <s v="AKHB2746"/>
    <s v="Diebold-Opteva 520 ATM Indoor"/>
    <s v="1520FCF00928"/>
    <s v="8100"/>
    <s v="Várpalota"/>
    <s v="Fehérvári u.17."/>
    <s v="ok"/>
    <n v="2"/>
    <n v="2"/>
    <x v="4"/>
    <n v="1"/>
    <n v="1"/>
    <n v="1"/>
  </r>
  <r>
    <x v="4"/>
    <s v="AKHB2749"/>
    <s v="Diebold-Opteva 520 ATM Indoor"/>
    <s v="1520FH120033"/>
    <s v="8749"/>
    <s v="Zalakaros"/>
    <s v="Gyógyfürdő tér 4."/>
    <s v="ok"/>
    <n v="2"/>
    <n v="2"/>
    <x v="9"/>
    <e v="#N/A"/>
    <n v="0"/>
    <n v="2"/>
  </r>
  <r>
    <x v="4"/>
    <s v="AKHB2750"/>
    <s v="Diebold-Opteva 720 ATM Indoor"/>
    <s v="1720F3301939"/>
    <s v="7000"/>
    <s v="Sárbogárd"/>
    <s v="Ady Endre u. 19 ."/>
    <s v="ok"/>
    <n v="2"/>
    <n v="2"/>
    <x v="7"/>
    <n v="1"/>
    <n v="1"/>
    <n v="1"/>
  </r>
  <r>
    <x v="4"/>
    <s v="AKHB2770"/>
    <s v="Diebold-Opteva 520 ATM Indoor"/>
    <s v="1520FCF00164"/>
    <s v="1055"/>
    <s v="Budapest"/>
    <s v="Nyugati tér 9."/>
    <s v="ok"/>
    <n v="2"/>
    <n v="2"/>
    <x v="13"/>
    <e v="#N/A"/>
    <n v="0"/>
    <n v="2"/>
  </r>
  <r>
    <x v="4"/>
    <s v="AKHB2775"/>
    <s v="Diebold-Opteva 522 Lobby Cash Dispenser"/>
    <s v="1522FH105401"/>
    <s v="3200"/>
    <s v="Gyöngyös"/>
    <s v="Vásár u.2."/>
    <s v="ok"/>
    <n v="2"/>
    <n v="2"/>
    <x v="10"/>
    <n v="1"/>
    <n v="1"/>
    <n v="1"/>
  </r>
  <r>
    <x v="4"/>
    <s v="AKHB2778"/>
    <s v="Diebold-Opteva 522 Lobby Cash Dispenser"/>
    <s v="1522FH105402"/>
    <s v="3400"/>
    <s v="Mezőkövesd"/>
    <s v="Egri út 51"/>
    <s v="ok"/>
    <n v="2"/>
    <n v="2"/>
    <x v="2"/>
    <e v="#N/A"/>
    <n v="0"/>
    <n v="2"/>
  </r>
  <r>
    <x v="4"/>
    <s v="AKHB2785"/>
    <s v="Diebold-Opteva 520 ATM Indoor"/>
    <s v="1520FH120050"/>
    <s v="5100"/>
    <s v="Jászberény"/>
    <s v="Nagykátai u.2/a"/>
    <s v="ok"/>
    <n v="2"/>
    <n v="2"/>
    <x v="10"/>
    <n v="1"/>
    <n v="1"/>
    <n v="1"/>
  </r>
  <r>
    <x v="4"/>
    <s v="AKHB2796"/>
    <s v="Diebold-Opteva 520 ATM Indoor"/>
    <s v="1520FH120060"/>
    <s v="2800"/>
    <s v="Tatabánya"/>
    <s v="Bláthy O. u. 1."/>
    <s v="ok"/>
    <n v="2"/>
    <n v="2"/>
    <x v="19"/>
    <e v="#N/A"/>
    <n v="0"/>
    <n v="2"/>
  </r>
  <r>
    <x v="4"/>
    <s v="AKHB2818"/>
    <s v="Diebold-Opteva 520 ATM Indoor"/>
    <s v="1520FCF00893"/>
    <s v="2890"/>
    <s v="Tata"/>
    <s v="Ring u. 1."/>
    <s v="ok"/>
    <n v="2"/>
    <n v="2"/>
    <x v="19"/>
    <n v="1"/>
    <n v="1"/>
    <n v="1"/>
  </r>
  <r>
    <x v="4"/>
    <s v="AKHB2819"/>
    <s v="Diebold-Opteva 520 ATM Indoor"/>
    <s v="1520FH120036"/>
    <s v="9300"/>
    <s v="Csorna"/>
    <s v="Bartók B. út 3/c"/>
    <s v="ok"/>
    <n v="2"/>
    <n v="2"/>
    <x v="8"/>
    <n v="1"/>
    <n v="1"/>
    <n v="1"/>
  </r>
  <r>
    <x v="4"/>
    <s v="AKHB2820"/>
    <s v="Diebold-Opteva 520 ATM Indoor"/>
    <s v="1520FH120034"/>
    <s v="2750"/>
    <s v="Nagykőrös"/>
    <s v="Ceglédi u. 32."/>
    <s v="ok"/>
    <n v="2"/>
    <n v="2"/>
    <x v="11"/>
    <e v="#N/A"/>
    <n v="0"/>
    <n v="2"/>
  </r>
  <r>
    <x v="4"/>
    <s v="AKHB2821"/>
    <s v="Diebold-Opteva 520 ATM Indoor"/>
    <s v="1520FH120035"/>
    <s v="9900"/>
    <s v="Körmend"/>
    <s v="Sport u. 5."/>
    <s v="ok"/>
    <n v="2"/>
    <n v="2"/>
    <x v="8"/>
    <n v="1"/>
    <n v="1"/>
    <n v="1"/>
  </r>
  <r>
    <x v="4"/>
    <s v="AKHB2830"/>
    <s v="Diebold-Opteva 520 ATM Indoor"/>
    <s v="1520FH120053"/>
    <s v="5126"/>
    <s v="Jászfényszaru"/>
    <s v="Samsung tér 1."/>
    <s v="ok"/>
    <n v="2"/>
    <n v="2"/>
    <x v="10"/>
    <n v="1"/>
    <n v="1"/>
    <n v="1"/>
  </r>
  <r>
    <x v="4"/>
    <s v="AKHB2833"/>
    <s v="Diebold-Opteva 520 ATM Indoor"/>
    <s v="1520FH120038"/>
    <s v="5300"/>
    <s v="Karcag"/>
    <s v="Kisújszállás u. 34."/>
    <s v="ok"/>
    <n v="2"/>
    <n v="2"/>
    <x v="16"/>
    <e v="#N/A"/>
    <n v="0"/>
    <n v="2"/>
  </r>
  <r>
    <x v="4"/>
    <s v="AKHB2841"/>
    <s v="Diebold-Opteva 522 Lobby Cash Dispenser"/>
    <s v="1522FH105403"/>
    <s v="9024"/>
    <s v="Győr"/>
    <s v="Vasvári Pál út 1/a ( Pláza )"/>
    <s v="ok"/>
    <n v="2"/>
    <n v="2"/>
    <x v="19"/>
    <n v="1"/>
    <n v="1"/>
    <n v="1"/>
  </r>
  <r>
    <x v="4"/>
    <s v="AKHB2850"/>
    <s v="Diebold-Opteva 522 Lobby Cash Dispenser"/>
    <s v="1522FH113835"/>
    <s v="9501"/>
    <s v="Celldömölk"/>
    <s v="Dr. Géfin L. tér 13."/>
    <s v="ok"/>
    <n v="2"/>
    <n v="2"/>
    <x v="8"/>
    <e v="#N/A"/>
    <n v="0"/>
    <n v="2"/>
  </r>
  <r>
    <x v="4"/>
    <s v="AKHB2858"/>
    <s v="Diebold-Opteva 720 ATM Indoor"/>
    <s v="1720F3301184"/>
    <s v="8460"/>
    <s v="Devecser"/>
    <s v="Petőfi Sándor tér 3."/>
    <s v="ok"/>
    <n v="2"/>
    <n v="2"/>
    <x v="9"/>
    <n v="1"/>
    <n v="1"/>
    <n v="1"/>
  </r>
  <r>
    <x v="4"/>
    <s v="AKHB2867"/>
    <s v="Diebold-Opteva 520 ATM Indoor"/>
    <s v="1520FH120056"/>
    <s v="5440"/>
    <s v="Kunszentmárton"/>
    <s v="Kossuth L.u.1/b."/>
    <s v="ok"/>
    <n v="2"/>
    <n v="2"/>
    <x v="11"/>
    <e v="#N/A"/>
    <n v="0"/>
    <n v="2"/>
  </r>
  <r>
    <x v="4"/>
    <s v="AKHB2893"/>
    <s v="Diebold-Opteva 520 ATM Indoor"/>
    <s v="1520FH120048"/>
    <s v="6726"/>
    <s v="Szeged"/>
    <s v="Szőregi út 80."/>
    <s v="ok"/>
    <n v="2"/>
    <n v="2"/>
    <x v="3"/>
    <n v="1"/>
    <n v="1"/>
    <n v="1"/>
  </r>
  <r>
    <x v="4"/>
    <s v="AKHB2925"/>
    <s v="Diebold-Opteva 522 Lobby Cash Dispenser"/>
    <s v="1522FH113840"/>
    <s v="8200"/>
    <s v="Veszprém"/>
    <s v="Budapest u. 6."/>
    <s v="ok"/>
    <n v="2"/>
    <n v="2"/>
    <x v="4"/>
    <e v="#N/A"/>
    <n v="0"/>
    <n v="2"/>
  </r>
  <r>
    <x v="4"/>
    <s v="AKHB2929"/>
    <s v="Diebold-Opteva 522 Lobby Cash Dispenser"/>
    <s v="1522FH113839"/>
    <s v="4400"/>
    <s v="Nyíregyháza"/>
    <s v="Lego u. 15."/>
    <s v="ok"/>
    <n v="2"/>
    <n v="2"/>
    <x v="1"/>
    <n v="1"/>
    <n v="1"/>
    <n v="1"/>
  </r>
  <r>
    <x v="4"/>
    <s v="AKHB2939"/>
    <s v="Diebold-Opteva 522 Lobby Cash Dispenser"/>
    <s v="1522FH113849"/>
    <s v="9737"/>
    <s v="Bük"/>
    <s v="Petőfi u. 63."/>
    <s v="ok"/>
    <n v="2"/>
    <n v="2"/>
    <x v="8"/>
    <n v="1"/>
    <n v="1"/>
    <n v="1"/>
  </r>
  <r>
    <x v="4"/>
    <s v="AKHB2945"/>
    <s v="Diebold-Opteva 522 Lobby Cash Dispenser"/>
    <s v="1522FH113841"/>
    <s v="1095"/>
    <s v="Budapest"/>
    <s v="Lechner Ödön fasor 9. K épület"/>
    <s v="ok"/>
    <n v="2"/>
    <n v="2"/>
    <x v="17"/>
    <e v="#N/A"/>
    <n v="0"/>
    <n v="2"/>
  </r>
  <r>
    <x v="4"/>
    <s v="AKHB2946"/>
    <s v="Diebold-Opteva 522 Lobby Cash Dispenser"/>
    <s v="1522FH113836"/>
    <s v="1095"/>
    <s v="Budapest"/>
    <s v="Lechner Ödön fasor 9. K épület"/>
    <s v="ok"/>
    <n v="2"/>
    <n v="2"/>
    <x v="17"/>
    <e v="#N/A"/>
    <n v="0"/>
    <n v="2"/>
  </r>
  <r>
    <x v="4"/>
    <s v="AKHB2947"/>
    <s v="Diebold-Opteva 522 Lobby Cash Dispenser"/>
    <s v="1522FH113843"/>
    <s v="6430"/>
    <s v="Bácsalmás"/>
    <s v="Szent János u. 11."/>
    <s v="ok"/>
    <n v="2"/>
    <n v="2"/>
    <x v="7"/>
    <n v="1"/>
    <n v="1"/>
    <n v="1"/>
  </r>
  <r>
    <x v="4"/>
    <s v="AKHB2967"/>
    <s v="Diebold-Opteva 522 Lobby Cash Dispenser"/>
    <s v="1522FH113852"/>
    <s v="8237"/>
    <s v="Tihany"/>
    <s v="Rév u.3."/>
    <s v="ok"/>
    <n v="2"/>
    <n v="2"/>
    <x v="4"/>
    <e v="#N/A"/>
    <n v="0"/>
    <n v="2"/>
  </r>
  <r>
    <x v="4"/>
    <s v="AKHB2972"/>
    <s v="Diebold-Opteva 522 Lobby Cash Dispenser"/>
    <s v="1522FH113858"/>
    <s v="1052"/>
    <s v="Budapest"/>
    <s v="Apáczai Csere János u.12-14."/>
    <s v="ok"/>
    <n v="2"/>
    <n v="2"/>
    <x v="13"/>
    <e v="#N/A"/>
    <n v="0"/>
    <n v="2"/>
  </r>
  <r>
    <x v="4"/>
    <s v="AKHB2973"/>
    <s v="Diebold-Opteva 520 ATM Indoor"/>
    <s v="1520FH120045"/>
    <s v="1138"/>
    <s v="Budapest"/>
    <s v="Gács u. 3."/>
    <s v="ok"/>
    <n v="2"/>
    <n v="2"/>
    <x v="14"/>
    <e v="#N/A"/>
    <n v="0"/>
    <n v="2"/>
  </r>
  <r>
    <x v="4"/>
    <s v="AKHB2974"/>
    <s v="Diebold-Opteva 520 ATM Indoor"/>
    <s v="1520FCF00569"/>
    <s v="1037"/>
    <s v="Budapest"/>
    <s v="Bécsi út 258."/>
    <s v="ok"/>
    <n v="2"/>
    <n v="2"/>
    <x v="0"/>
    <e v="#N/A"/>
    <n v="0"/>
    <n v="2"/>
  </r>
  <r>
    <x v="4"/>
    <s v="AKHB2975"/>
    <s v="Diebold-Opteva 520 ATM Indoor"/>
    <s v="1520FH120061"/>
    <s v="2600"/>
    <s v="Vác"/>
    <s v="Deres u. 2."/>
    <s v="ok"/>
    <n v="2"/>
    <n v="2"/>
    <x v="6"/>
    <e v="#N/A"/>
    <n v="0"/>
    <n v="2"/>
  </r>
  <r>
    <x v="4"/>
    <s v="AKHB2976"/>
    <s v="Diebold-Opteva 520 ATM Indoor"/>
    <s v="1520FCF00223"/>
    <s v="4200"/>
    <s v="Hajdúszoboszló"/>
    <s v="Kabai útfél"/>
    <s v="ok"/>
    <n v="2"/>
    <n v="2"/>
    <x v="16"/>
    <n v="1"/>
    <n v="1"/>
    <n v="1"/>
  </r>
  <r>
    <x v="4"/>
    <s v="AKHB2977"/>
    <s v="Diebold-Opteva 520 ATM Indoor"/>
    <s v="1520FCF00222"/>
    <s v="4100"/>
    <s v="Berettyóújfalu"/>
    <s v="Honvéd u. 13."/>
    <s v="ok"/>
    <n v="2"/>
    <n v="2"/>
    <x v="16"/>
    <n v="1"/>
    <n v="1"/>
    <n v="1"/>
  </r>
  <r>
    <x v="4"/>
    <s v="AKHB2978"/>
    <s v="Diebold-Opteva 520 ATM Indoor"/>
    <s v="1520FCF00568"/>
    <s v="2120"/>
    <s v="Dunakeszi"/>
    <s v="Fóti út 120."/>
    <s v="ok"/>
    <n v="2"/>
    <n v="2"/>
    <x v="14"/>
    <n v="1"/>
    <n v="1"/>
    <n v="1"/>
  </r>
  <r>
    <x v="4"/>
    <s v="AKHB2979"/>
    <s v="Diebold-Opteva 520 ATM Indoor"/>
    <s v="1520FCF00566"/>
    <s v="3300"/>
    <s v="Eger"/>
    <s v="Rákóczi u. 100."/>
    <s v="ok"/>
    <n v="2"/>
    <n v="2"/>
    <x v="2"/>
    <e v="#N/A"/>
    <n v="0"/>
    <n v="2"/>
  </r>
  <r>
    <x v="4"/>
    <s v="AKHB2985"/>
    <s v="Diebold-Opteva 520 ATM Indoor"/>
    <s v="1520FCF00880"/>
    <s v="2060"/>
    <s v="Bicske"/>
    <s v="Csabdi u. 4."/>
    <s v="ok"/>
    <n v="2"/>
    <n v="2"/>
    <x v="19"/>
    <n v="1"/>
    <n v="1"/>
    <n v="1"/>
  </r>
  <r>
    <x v="4"/>
    <s v="AKHB4141"/>
    <s v="ProCash 280 Frontload"/>
    <s v="56DW3000057"/>
    <s v="8230"/>
    <s v="Balatonfüred"/>
    <s v="Fürdő u.34"/>
    <s v="ok"/>
    <n v="2"/>
    <n v="2"/>
    <x v="4"/>
    <n v="1"/>
    <n v="1"/>
    <n v="1"/>
  </r>
  <r>
    <x v="4"/>
    <s v="AKHB4315"/>
    <s v="ProCash 280 Frontload"/>
    <s v="56DW3000054"/>
    <s v="1222"/>
    <s v="Budapest"/>
    <s v="Nagytétényi út 35"/>
    <s v="ok"/>
    <n v="2"/>
    <n v="2"/>
    <x v="5"/>
    <e v="#N/A"/>
    <n v="0"/>
    <n v="2"/>
  </r>
  <r>
    <x v="4"/>
    <s v="AKHB4316"/>
    <s v="ProCash 280 Frontload"/>
    <s v="56DW3000055"/>
    <s v="3527"/>
    <s v="Miskolc"/>
    <s v="József A.u.87"/>
    <s v="ok"/>
    <n v="2"/>
    <n v="2"/>
    <x v="2"/>
    <n v="1"/>
    <n v="1"/>
    <n v="1"/>
  </r>
  <r>
    <x v="4"/>
    <s v="AKHB4321"/>
    <s v="ProCash 280 Frontload"/>
    <s v="56DW3000056"/>
    <s v="2234"/>
    <s v="Maglód"/>
    <s v="Eszterházy J. u .1"/>
    <s v="ok"/>
    <n v="2"/>
    <n v="2"/>
    <x v="6"/>
    <e v="#N/A"/>
    <n v="0"/>
    <n v="2"/>
  </r>
  <r>
    <x v="4"/>
    <s v="AKHB4342"/>
    <s v="ProCash 2100xe USB Frontload"/>
    <s v="5300280051"/>
    <s v="9444"/>
    <s v="Fertőszentmiklós"/>
    <s v="Petőfi S. u.2"/>
    <s v="ok"/>
    <n v="2"/>
    <n v="2"/>
    <x v="8"/>
    <e v="#N/A"/>
    <n v="0"/>
    <n v="2"/>
  </r>
  <r>
    <x v="4"/>
    <s v="AKHB4355"/>
    <s v="ProCash 2100xe USB Frontload"/>
    <s v="5300280265"/>
    <s v="4400"/>
    <s v="Nyíregyháza"/>
    <s v="Pazonyi út 36-2"/>
    <s v="ok"/>
    <n v="2"/>
    <n v="2"/>
    <x v="1"/>
    <n v="1"/>
    <n v="1"/>
    <n v="1"/>
  </r>
  <r>
    <x v="4"/>
    <s v="AKHB4415"/>
    <s v="ProCash 2100xe USB Frontload"/>
    <s v="5300279234"/>
    <s v="7900"/>
    <s v="Szigetvár"/>
    <s v="Almáspatak u.7"/>
    <s v="ok"/>
    <n v="2"/>
    <n v="2"/>
    <x v="12"/>
    <n v="1"/>
    <n v="1"/>
    <n v="1"/>
  </r>
  <r>
    <x v="4"/>
    <s v="AKHB4417"/>
    <s v="ProCash 2100xe USB Frontload"/>
    <s v="5300279083"/>
    <s v="5350"/>
    <s v="Tiszafüred"/>
    <s v="Madács I.u.2"/>
    <s v="ok"/>
    <n v="2"/>
    <n v="2"/>
    <x v="16"/>
    <n v="1"/>
    <n v="1"/>
    <n v="1"/>
  </r>
  <r>
    <x v="4"/>
    <s v="AKHB4418"/>
    <s v="ProCash 2100xe USB Frontload"/>
    <s v="5300280078"/>
    <s v="7700"/>
    <s v="Mohács"/>
    <s v="Pécsi út 61"/>
    <s v="ok"/>
    <n v="2"/>
    <n v="2"/>
    <x v="12"/>
    <n v="1"/>
    <n v="1"/>
    <n v="1"/>
  </r>
  <r>
    <x v="4"/>
    <s v="AKHB4424"/>
    <s v="ProCash 2100xe USB Frontload"/>
    <s v="5300279433"/>
    <s v="6300"/>
    <s v="Kalocsa"/>
    <s v="Bányai út 8-10"/>
    <s v="ok"/>
    <n v="2"/>
    <n v="2"/>
    <x v="7"/>
    <e v="#N/A"/>
    <n v="0"/>
    <n v="2"/>
  </r>
  <r>
    <x v="4"/>
    <s v="AKHB4425"/>
    <s v="ProCash 2100xe USB Frontload"/>
    <s v="5300280365"/>
    <s v="6000"/>
    <s v="Kecskemét"/>
    <s v="Izsáki út 12/b"/>
    <s v="ok"/>
    <n v="2"/>
    <n v="2"/>
    <x v="11"/>
    <n v="1"/>
    <n v="1"/>
    <n v="1"/>
  </r>
  <r>
    <x v="4"/>
    <s v="AKHB4436"/>
    <s v="ProCash 2100xe USB Frontload"/>
    <s v="5300280210"/>
    <s v="8181"/>
    <s v="Berhida"/>
    <s v="Veszprémi út 2"/>
    <s v="ok"/>
    <n v="2"/>
    <n v="2"/>
    <x v="4"/>
    <e v="#N/A"/>
    <n v="0"/>
    <n v="2"/>
  </r>
  <r>
    <x v="4"/>
    <s v="AKHB4587"/>
    <s v="ProCash 2100xe USB Frontload"/>
    <s v="5300280196"/>
    <s v="1117"/>
    <s v="Budapest"/>
    <s v="Pázmány Péter sétány 1."/>
    <s v="ok"/>
    <n v="2"/>
    <n v="2"/>
    <x v="5"/>
    <e v="#N/A"/>
    <n v="0"/>
    <n v="2"/>
  </r>
  <r>
    <x v="4"/>
    <s v="AKHB4632"/>
    <s v="ProCash 2100xe USB Frontload"/>
    <s v="5300280434"/>
    <s v="3600"/>
    <s v="Ózd"/>
    <s v="Brassói u.3"/>
    <s v="ok"/>
    <n v="2"/>
    <n v="2"/>
    <x v="2"/>
    <n v="1"/>
    <n v="1"/>
    <n v="1"/>
  </r>
  <r>
    <x v="4"/>
    <s v="AKHB4642"/>
    <s v="ProCash 2100xe USB Frontload"/>
    <s v="5300280455"/>
    <s v="6400"/>
    <s v="Kiskunhalas"/>
    <s v="Fejérföld u.24"/>
    <s v="ok"/>
    <n v="2"/>
    <n v="2"/>
    <x v="7"/>
    <e v="#N/A"/>
    <n v="0"/>
    <n v="2"/>
  </r>
  <r>
    <x v="4"/>
    <s v="AKHK2074"/>
    <s v="Diebold-Opteva 760 ATM Outdoor"/>
    <s v="1760R3302647"/>
    <s v="3001"/>
    <s v="Hatvan"/>
    <s v="Ring Kálmán u. 5."/>
    <s v="ok"/>
    <n v="2"/>
    <n v="2"/>
    <x v="10"/>
    <e v="#N/A"/>
    <n v="0"/>
    <n v="2"/>
  </r>
  <r>
    <x v="4"/>
    <s v="AKHK2086"/>
    <s v="OPT562 1GIG-DVD-UPS-LAN-A6-CEN3(4HIGH)"/>
    <s v="1562RH153191"/>
    <s v="4142"/>
    <s v="Zsáka"/>
    <s v="Szabadság tér 3."/>
    <s v="ok"/>
    <n v="2"/>
    <n v="2"/>
    <x v="16"/>
    <e v="#N/A"/>
    <n v="0"/>
    <n v="2"/>
  </r>
  <r>
    <x v="4"/>
    <s v="AKHK2148"/>
    <s v="OPT562 1GIG-DVD-UPS-LAN-A6-CEN3(4HIGH)"/>
    <s v="1562RH153216"/>
    <s v="3032"/>
    <s v="Apc"/>
    <s v="Mária u. 2."/>
    <s v="ok"/>
    <n v="2"/>
    <n v="2"/>
    <x v="10"/>
    <e v="#N/A"/>
    <n v="0"/>
    <n v="2"/>
  </r>
  <r>
    <x v="4"/>
    <s v="AKHK2155"/>
    <s v="OPT562 1GIG-DVD-UPS-LAN-A6-CEN3(4HIGH)"/>
    <s v="1562RH153179"/>
    <s v="1061"/>
    <s v="Budapest"/>
    <s v="Andrássy út 49."/>
    <s v="ok"/>
    <n v="2"/>
    <n v="2"/>
    <x v="13"/>
    <e v="#N/A"/>
    <n v="0"/>
    <n v="2"/>
  </r>
  <r>
    <x v="4"/>
    <s v="AKHK2169"/>
    <s v="Diebold-Opteva 760 ATM Outdoor"/>
    <s v="1760R3320141"/>
    <s v="2310"/>
    <s v="Szigetszentmiklós"/>
    <s v="M0 lejáró mellett"/>
    <s v="ok"/>
    <n v="2"/>
    <n v="2"/>
    <x v="15"/>
    <n v="1"/>
    <n v="1"/>
    <n v="1"/>
  </r>
  <r>
    <x v="4"/>
    <s v="AKHK2170"/>
    <s v="Diebold-Opteva 760 ATM Outdoor"/>
    <s v="1760R3320133"/>
    <s v="4600"/>
    <s v="Kisvárda"/>
    <s v="Árpád út 123."/>
    <s v="ok"/>
    <n v="2"/>
    <n v="2"/>
    <x v="1"/>
    <n v="1"/>
    <n v="1"/>
    <n v="1"/>
  </r>
  <r>
    <x v="4"/>
    <s v="AKHK2171"/>
    <s v="Diebold-Opteva 760 ATM Outdoor"/>
    <s v="1760R3320420"/>
    <s v="2194"/>
    <s v="Tura"/>
    <s v="Petőfi S. tér"/>
    <s v="ok"/>
    <n v="2"/>
    <n v="2"/>
    <x v="10"/>
    <e v="#N/A"/>
    <n v="0"/>
    <n v="2"/>
  </r>
  <r>
    <x v="4"/>
    <s v="AKHK2189"/>
    <s v="OPT562 1GIG-DVD-UPS-LAN-A6-CEN3(4HIGH)"/>
    <s v="1562RH153231"/>
    <s v="8999"/>
    <s v="Zalalövő"/>
    <s v="Kossuth u. 2."/>
    <s v="ok"/>
    <n v="2"/>
    <n v="2"/>
    <x v="9"/>
    <e v="#N/A"/>
    <n v="0"/>
    <n v="2"/>
  </r>
  <r>
    <x v="4"/>
    <s v="AKHK2212"/>
    <s v="OPT562 1GIG-DVD-UPS-LAN-A6-CEN3(4HIGH)"/>
    <s v="1562RH153247"/>
    <s v="6600"/>
    <s v="Szentes"/>
    <s v="Kossuth L. u. 13."/>
    <s v="ok"/>
    <n v="2"/>
    <n v="2"/>
    <x v="11"/>
    <e v="#N/A"/>
    <n v="0"/>
    <n v="2"/>
  </r>
  <r>
    <x v="4"/>
    <s v="AKHK2239"/>
    <s v="OPT562 1GIG-DVD-UPS-LAN-A6-CEN3(4HIGH)"/>
    <s v="1562RH153245"/>
    <s v="1026"/>
    <s v="Budapest"/>
    <s v="Pázsit u. 2."/>
    <s v="ok"/>
    <n v="2"/>
    <n v="2"/>
    <x v="0"/>
    <n v="1"/>
    <n v="1"/>
    <n v="1"/>
  </r>
  <r>
    <x v="4"/>
    <s v="AKHK2255"/>
    <s v="OPT562 1GIG-DVD-UPS-LAN-A6-CEN3(4HIGH)"/>
    <s v="1562RH153246"/>
    <s v="1146"/>
    <s v="Budapest"/>
    <s v="Ajtósi Dürer sor 10."/>
    <s v="ok"/>
    <n v="2"/>
    <n v="2"/>
    <x v="14"/>
    <e v="#N/A"/>
    <n v="0"/>
    <n v="2"/>
  </r>
  <r>
    <x v="4"/>
    <s v="AKHK2299"/>
    <s v="OPT562 1GIG-DVD-UPS-LAN-A6-CEN3(4HIGH)"/>
    <s v="1562RH153237"/>
    <s v="1051"/>
    <s v="Budapest"/>
    <s v="Erzsébet tér 9."/>
    <s v="ok"/>
    <n v="2"/>
    <n v="2"/>
    <x v="13"/>
    <e v="#N/A"/>
    <n v="0"/>
    <n v="2"/>
  </r>
  <r>
    <x v="4"/>
    <s v="AKHK2306"/>
    <s v="Diebold-Opteva 750 ATM Outdoor"/>
    <s v="1750F3320020"/>
    <s v="1138"/>
    <s v="Budapest"/>
    <s v="Danubius u. 5."/>
    <s v="ok"/>
    <n v="2"/>
    <n v="2"/>
    <x v="14"/>
    <e v="#N/A"/>
    <n v="0"/>
    <n v="2"/>
  </r>
  <r>
    <x v="4"/>
    <s v="AKHK2313"/>
    <s v="OPT562 1GIG-DVD-UPS-LAN-A6-CEN3(4HIGH)"/>
    <s v="1562RH153244"/>
    <s v="6101"/>
    <s v="Kiskunfélegyháza"/>
    <s v="Petőfi tér 2."/>
    <s v="ok"/>
    <n v="2"/>
    <n v="2"/>
    <x v="11"/>
    <e v="#N/A"/>
    <n v="0"/>
    <n v="2"/>
  </r>
  <r>
    <x v="4"/>
    <s v="AKHK2319"/>
    <s v="OPT562 1GIG-DVD-UPS-LAN-A6-CEN3(4HIGH)"/>
    <s v="1562RH153206"/>
    <s v="2400"/>
    <s v="Dunaújváros"/>
    <s v="Vasmű u. 39."/>
    <s v="ok"/>
    <n v="2"/>
    <n v="2"/>
    <x v="7"/>
    <n v="1"/>
    <n v="1"/>
    <n v="1"/>
  </r>
  <r>
    <x v="4"/>
    <s v="AKHK2360"/>
    <s v="Diebold-Opteva 760 ATM Outdoor"/>
    <s v="1760R3320398"/>
    <s v="2119"/>
    <s v="Pécel"/>
    <s v="Kossuth tér 1."/>
    <s v="ok"/>
    <n v="2"/>
    <n v="2"/>
    <x v="10"/>
    <n v="1"/>
    <n v="1"/>
    <n v="1"/>
  </r>
  <r>
    <x v="4"/>
    <s v="AKHK2396"/>
    <s v="Diebold-Opteva 760 ATM Outdoor"/>
    <s v="1760R3320187"/>
    <s v="8761"/>
    <s v="Pacsa"/>
    <s v="Szent István tér 16."/>
    <s v="ok"/>
    <n v="2"/>
    <n v="2"/>
    <x v="9"/>
    <n v="1"/>
    <n v="1"/>
    <n v="1"/>
  </r>
  <r>
    <x v="4"/>
    <s v="AKHK2403"/>
    <s v="Diebold-Opteva 760 ATM Outdoor"/>
    <s v="1760R3320360"/>
    <s v="5721"/>
    <s v="Sarkad"/>
    <s v="Kossuth u. 14. Fszt 18 sz"/>
    <s v="ok"/>
    <n v="2"/>
    <n v="2"/>
    <x v="3"/>
    <n v="1"/>
    <n v="1"/>
    <n v="1"/>
  </r>
  <r>
    <x v="4"/>
    <s v="AKHK2405"/>
    <s v="OPT562 1GIG-DVD-UPS-LAN-A6-CEN3(4HIGH)"/>
    <s v="1562RH153180"/>
    <s v="3530"/>
    <s v="Miskolc"/>
    <s v="Széchenyi u. 88."/>
    <s v="ok"/>
    <n v="2"/>
    <n v="2"/>
    <x v="2"/>
    <n v="1"/>
    <n v="1"/>
    <n v="1"/>
  </r>
  <r>
    <x v="4"/>
    <s v="AKHK2407"/>
    <s v="OPT562 1GIG-DVD-UPS-LAN-A6-CEN3(4HIGH)"/>
    <s v="1562RH153207"/>
    <s v="3100"/>
    <s v="Salgótarján"/>
    <s v="Fő tér 4."/>
    <s v="ok"/>
    <n v="2"/>
    <n v="2"/>
    <x v="10"/>
    <e v="#N/A"/>
    <n v="0"/>
    <n v="2"/>
  </r>
  <r>
    <x v="4"/>
    <s v="AKHK2421"/>
    <s v="OPT562 1GIG-DVD-UPS-LAN-A6-CEN3(4HIGH)"/>
    <s v="1760R3310794"/>
    <s v="3002"/>
    <s v="Hatvan"/>
    <s v="Boldogi u. 1."/>
    <s v="ok"/>
    <n v="2"/>
    <n v="2"/>
    <x v="10"/>
    <e v="#N/A"/>
    <n v="0"/>
    <n v="2"/>
  </r>
  <r>
    <x v="4"/>
    <s v="AKHK2441"/>
    <s v="Diebold-Opteva 760 ATM Outdoor"/>
    <s v="1760R3320359"/>
    <s v="6720"/>
    <s v="Szeged"/>
    <s v="Mars tér 1-3."/>
    <s v="ok"/>
    <n v="2"/>
    <n v="2"/>
    <x v="3"/>
    <e v="#N/A"/>
    <n v="0"/>
    <n v="2"/>
  </r>
  <r>
    <x v="4"/>
    <s v="AKHK2451"/>
    <s v="OPT562 1GIG-DVD-UPS-LAN-A6-CEN3(4HIGH)"/>
    <s v="1562RH129704"/>
    <s v="8060"/>
    <s v="Mór"/>
    <s v="Wekerle Sándor u. 34/a"/>
    <s v="ok"/>
    <n v="2"/>
    <n v="1"/>
    <x v="4"/>
    <e v="#N/A"/>
    <n v="0"/>
    <n v="1"/>
  </r>
  <r>
    <x v="4"/>
    <s v="AKHK2458"/>
    <s v="OPT562 1GIG-DVD-UPS-LAN-A6-CEN3(4HIGH)"/>
    <s v="1562RH153211"/>
    <s v="2500"/>
    <s v="Esztergom"/>
    <s v="Rákóczi tér 1-3."/>
    <s v="ok"/>
    <n v="2"/>
    <n v="2"/>
    <x v="14"/>
    <e v="#N/A"/>
    <n v="0"/>
    <n v="2"/>
  </r>
  <r>
    <x v="4"/>
    <s v="AKHK2460"/>
    <s v="OPT562 1GIG-DVD-UPS-LAN-A6-CEN3(4HIGH)"/>
    <s v="1562RH153177"/>
    <s v="1042"/>
    <s v="Budapest"/>
    <s v="Árpád út 112."/>
    <s v="ok"/>
    <n v="2"/>
    <n v="2"/>
    <x v="14"/>
    <e v="#N/A"/>
    <n v="0"/>
    <n v="2"/>
  </r>
  <r>
    <x v="4"/>
    <s v="AKHK2466"/>
    <s v="OPT562 1GIG-DVD-UPS-LAN-A6-CEN3(4HIGH)"/>
    <s v="1562RH153208"/>
    <s v="6500"/>
    <s v="Baja"/>
    <s v="Szentháromság tér 8 - 10."/>
    <s v="ok"/>
    <n v="2"/>
    <n v="2"/>
    <x v="12"/>
    <e v="#N/A"/>
    <n v="0"/>
    <n v="2"/>
  </r>
  <r>
    <x v="4"/>
    <s v="AKHK2468"/>
    <s v="OPT562 1GIG-DVD-UPS-LAN-A6-CEN3(4HIGH)"/>
    <s v="1562RH153187"/>
    <s v="4024"/>
    <s v="Debrecen"/>
    <s v="Piac u. 52."/>
    <s v="ok"/>
    <n v="2"/>
    <n v="2"/>
    <x v="16"/>
    <n v="1"/>
    <n v="1"/>
    <n v="1"/>
  </r>
  <r>
    <x v="4"/>
    <s v="AKHK2481"/>
    <s v="Diebold-Opteva 760 ATM Outdoor"/>
    <s v="1760R3304549"/>
    <s v="5100"/>
    <s v="Jászberény"/>
    <s v="Rákóczi út 53."/>
    <s v="ok"/>
    <n v="2"/>
    <n v="2"/>
    <x v="10"/>
    <n v="1"/>
    <n v="1"/>
    <n v="1"/>
  </r>
  <r>
    <x v="4"/>
    <s v="AKHK2493"/>
    <s v="Diebold-Opteva 760 ATM Outdoor"/>
    <s v="1760R3304564"/>
    <s v="1239"/>
    <s v="Budapest"/>
    <s v="Nagykőrösi út 351."/>
    <s v="ok"/>
    <n v="2"/>
    <n v="2"/>
    <x v="15"/>
    <e v="#N/A"/>
    <n v="0"/>
    <n v="2"/>
  </r>
  <r>
    <x v="4"/>
    <s v="AKHK2494"/>
    <s v="Diebold-Opteva 760 ATM Outdoor"/>
    <s v="1760RCF00041"/>
    <s v="7013"/>
    <s v="Cece"/>
    <s v="Szabadság tér 18."/>
    <s v="ok"/>
    <n v="2"/>
    <n v="2"/>
    <x v="7"/>
    <e v="#N/A"/>
    <n v="0"/>
    <n v="2"/>
  </r>
  <r>
    <x v="4"/>
    <s v="AKHK2516"/>
    <s v="OPT562 1GIG-DVD-UPS-LAN-A6-CEN3(4HIGH)"/>
    <s v="1562RH153226"/>
    <s v="1211"/>
    <s v="Budapest"/>
    <s v="Kossuth L. u. 97."/>
    <s v="ok"/>
    <n v="2"/>
    <n v="2"/>
    <x v="15"/>
    <n v="1"/>
    <n v="1"/>
    <n v="1"/>
  </r>
  <r>
    <x v="4"/>
    <s v="AKHK2518"/>
    <s v="OPT562 1GIG-DVD-UPS-LAN-A6-CEN3(4HIGH)"/>
    <s v="1562RH153186"/>
    <s v="2030"/>
    <s v="Érd"/>
    <s v="Budai út 26."/>
    <s v="ok"/>
    <n v="2"/>
    <n v="2"/>
    <x v="15"/>
    <e v="#N/A"/>
    <n v="0"/>
    <n v="2"/>
  </r>
  <r>
    <x v="4"/>
    <s v="AKHK2519"/>
    <s v="OPT562 1GIG-DVD-UPS-LAN-A6-CEN3(4HIGH)"/>
    <s v="1562RH153210"/>
    <s v="9400"/>
    <s v="Sopron"/>
    <s v="Várkerület 41."/>
    <s v="ok"/>
    <n v="2"/>
    <n v="2"/>
    <x v="8"/>
    <e v="#N/A"/>
    <n v="0"/>
    <n v="2"/>
  </r>
  <r>
    <x v="4"/>
    <s v="AKHK2527"/>
    <s v="OPT562 1GIG-DVD-UPS-LAN-A6-CEN3(4HIGH)"/>
    <s v="1562RH153192"/>
    <s v="1193"/>
    <s v="Budapest"/>
    <s v="Üllői út 234."/>
    <s v="ok"/>
    <n v="2"/>
    <n v="2"/>
    <x v="10"/>
    <e v="#N/A"/>
    <n v="0"/>
    <n v="2"/>
  </r>
  <r>
    <x v="4"/>
    <s v="AKHK2533"/>
    <s v="Diebold-Opteva 760 ATM Outdoor"/>
    <s v="1760RCF00080"/>
    <s v="9700"/>
    <s v="Szombathely"/>
    <s v="Kőszegi u. 10"/>
    <s v="ok"/>
    <n v="2"/>
    <n v="2"/>
    <x v="8"/>
    <e v="#N/A"/>
    <n v="0"/>
    <n v="2"/>
  </r>
  <r>
    <x v="4"/>
    <s v="AKHK2538"/>
    <s v="OPT562 1GIG-DVD-UPS-LAN-A6-CEN3(4HIGH)"/>
    <s v="1562RH153188"/>
    <s v="1119"/>
    <s v="Budapest"/>
    <s v="Fehérvári út 79."/>
    <s v="ok"/>
    <n v="2"/>
    <n v="2"/>
    <x v="17"/>
    <e v="#N/A"/>
    <n v="0"/>
    <n v="2"/>
  </r>
  <r>
    <x v="4"/>
    <s v="AKHK2543"/>
    <s v="Diebold-Opteva 760 ATM Outdoor"/>
    <s v="1760R3320160"/>
    <s v="2314"/>
    <s v="Halásztelek"/>
    <s v="Somogyi B. u. 50-52."/>
    <s v="ok"/>
    <n v="2"/>
    <n v="2"/>
    <x v="15"/>
    <n v="1"/>
    <n v="1"/>
    <n v="1"/>
  </r>
  <r>
    <x v="4"/>
    <s v="AKHK2559"/>
    <s v="Diebold-Opteva 760 ATM Outdoor"/>
    <s v="1760R3306867"/>
    <s v="7530"/>
    <s v="Kadarkút"/>
    <s v="Petőfi u. 2."/>
    <s v="ok"/>
    <n v="2"/>
    <n v="2"/>
    <x v="12"/>
    <n v="1"/>
    <n v="1"/>
    <n v="1"/>
  </r>
  <r>
    <x v="4"/>
    <s v="AKHK2561"/>
    <s v="OPT562 1GIG-DVD-UPS-LAN-A6-CEN3(4HIGH)"/>
    <s v="1562RH153242"/>
    <s v="2340"/>
    <s v="Kiskunlacháza"/>
    <s v="Rákóczi út 1-3."/>
    <s v="ok"/>
    <n v="2"/>
    <n v="2"/>
    <x v="15"/>
    <n v="1"/>
    <n v="1"/>
    <n v="1"/>
  </r>
  <r>
    <x v="4"/>
    <s v="AKHK2578"/>
    <s v="Diebold-Opteva 760 ATM Outdoor"/>
    <s v="1760R3320396"/>
    <s v="2083"/>
    <s v="Solymár"/>
    <s v="Mátyás Király út 11."/>
    <s v="ok"/>
    <n v="2"/>
    <n v="2"/>
    <x v="0"/>
    <e v="#N/A"/>
    <n v="0"/>
    <n v="2"/>
  </r>
  <r>
    <x v="4"/>
    <s v="AKHK2581"/>
    <s v="Diebold-Opteva 760 ATM Outdoor"/>
    <s v="1760R3306762"/>
    <s v="1038"/>
    <s v="Budapest"/>
    <s v="Zsirai M. u. 1."/>
    <s v="ok"/>
    <n v="2"/>
    <n v="2"/>
    <x v="0"/>
    <e v="#N/A"/>
    <n v="0"/>
    <n v="2"/>
  </r>
  <r>
    <x v="4"/>
    <s v="AKHK2593"/>
    <s v="OPT562 1GIG-DVD-UPS-LAN-A6-CEN3(4HIGH)"/>
    <s v="1562RH153251"/>
    <s v="6800"/>
    <s v="Hodmezovasarhely"/>
    <s v="Szent László u.153"/>
    <s v="ok"/>
    <n v="2"/>
    <n v="2"/>
    <x v="3"/>
    <n v="1"/>
    <n v="1"/>
    <n v="1"/>
  </r>
  <r>
    <x v="4"/>
    <s v="AKHK2594"/>
    <s v="OPT562 1GIG-DVD-UPS-LAN-A6-CEN3(4HIGH)"/>
    <s v="1562RH153252"/>
    <s v="8700"/>
    <s v="Marcali"/>
    <s v="Városi Kórház"/>
    <s v="ok"/>
    <n v="2"/>
    <n v="2"/>
    <x v="9"/>
    <e v="#N/A"/>
    <n v="0"/>
    <n v="2"/>
  </r>
  <r>
    <x v="4"/>
    <s v="AKHK2595"/>
    <s v="OPT562 1GIG-DVD-UPS-LAN-A6-CEN3(4HIGH)"/>
    <s v="1562FH153235"/>
    <s v="4183"/>
    <s v="Kaba"/>
    <s v="Szabadság tér 9."/>
    <s v="ok"/>
    <n v="2"/>
    <n v="2"/>
    <x v="16"/>
    <n v="1"/>
    <n v="1"/>
    <n v="1"/>
  </r>
  <r>
    <x v="4"/>
    <s v="AKHK2599"/>
    <s v="OPT562 1GIG-DVD-UPS-LAN-A6-CEN3(4HIGH)"/>
    <s v="1562FH153234"/>
    <s v="6630"/>
    <s v="Mindszent"/>
    <s v="Köztársaság tér 9."/>
    <s v="ok"/>
    <n v="2"/>
    <n v="2"/>
    <x v="3"/>
    <e v="#N/A"/>
    <n v="0"/>
    <n v="2"/>
  </r>
  <r>
    <x v="4"/>
    <s v="AKHK2608"/>
    <s v="OPT562 1GIG-DVD-UPS-LAN-A6-CEN3(4HIGH)"/>
    <s v="1562RH153174"/>
    <s v="5600"/>
    <s v="Békéscsaba"/>
    <s v="Szent István Tér 5."/>
    <s v="ok"/>
    <n v="2"/>
    <n v="2"/>
    <x v="3"/>
    <n v="1"/>
    <n v="1"/>
    <n v="1"/>
  </r>
  <r>
    <x v="4"/>
    <s v="AKHK2612"/>
    <s v="OPT562 1GIG-DVD-UPS-LAN-A6-CEN3(4HIGH)"/>
    <s v="1562RH153250"/>
    <s v="2900"/>
    <s v="Komárom"/>
    <s v="Bánki D. u. 1."/>
    <s v="ok"/>
    <n v="2"/>
    <n v="2"/>
    <x v="19"/>
    <e v="#N/A"/>
    <n v="0"/>
    <n v="2"/>
  </r>
  <r>
    <x v="4"/>
    <s v="AKHK2613"/>
    <s v="OPT562 1GIG-DVD-UPS-LAN-A6-CEN3(4HIGH)"/>
    <s v="1562RH153238"/>
    <s v="9483"/>
    <s v="Sopronkövesd"/>
    <s v="Kossuth L. u. 77."/>
    <s v="ok"/>
    <n v="2"/>
    <n v="2"/>
    <x v="8"/>
    <e v="#N/A"/>
    <n v="0"/>
    <n v="2"/>
  </r>
  <r>
    <x v="4"/>
    <s v="AKHK2625"/>
    <s v="Diebold-Opteva 760 ATM Outdoor"/>
    <s v="1760R3320158"/>
    <s v="1051"/>
    <s v="Budapest"/>
    <s v="Széchenyi tér 2"/>
    <s v="ok"/>
    <n v="2"/>
    <n v="2"/>
    <x v="13"/>
    <e v="#N/A"/>
    <n v="0"/>
    <n v="2"/>
  </r>
  <r>
    <x v="4"/>
    <s v="AKHK2627"/>
    <s v="OPT562 1GIG-DVD-UPS-LAN-A6-CEN3(4HIGH)"/>
    <s v="1562RH153253"/>
    <s v="6034"/>
    <s v="Helvécia"/>
    <s v="Petőfi Sándor u. 24."/>
    <s v="ok"/>
    <n v="2"/>
    <n v="2"/>
    <x v="11"/>
    <e v="#N/A"/>
    <n v="0"/>
    <n v="2"/>
  </r>
  <r>
    <x v="4"/>
    <s v="AKHK2630"/>
    <s v="Diebold-Opteva 760 ATM Outdoor"/>
    <s v="1760R3320153"/>
    <s v="1052"/>
    <s v="Budapest"/>
    <s v="Városház u. 9-11"/>
    <s v="ok"/>
    <n v="2"/>
    <n v="2"/>
    <x v="13"/>
    <e v="#N/A"/>
    <n v="0"/>
    <n v="2"/>
  </r>
  <r>
    <x v="4"/>
    <s v="AKHK2635"/>
    <s v="OPT562 1GIG-DVD-UPS-LAN-A6-CEN3(4HIGH)"/>
    <s v="1562RH153182"/>
    <s v="3300"/>
    <s v="Eger"/>
    <s v="Barkóczy u. 3."/>
    <s v="ok"/>
    <n v="2"/>
    <n v="2"/>
    <x v="2"/>
    <n v="1"/>
    <n v="1"/>
    <n v="1"/>
  </r>
  <r>
    <x v="4"/>
    <s v="AKHK2636"/>
    <s v="Diebold-Opteva 760 ATM Outdoor"/>
    <s v="1760R3310771"/>
    <s v="3300"/>
    <s v="Eger"/>
    <s v="Egészségház u. 4."/>
    <s v="ok"/>
    <n v="2"/>
    <n v="2"/>
    <x v="2"/>
    <e v="#N/A"/>
    <n v="0"/>
    <n v="2"/>
  </r>
  <r>
    <x v="4"/>
    <s v="AKHK2638"/>
    <s v="Diebold-Opteva 750 ATM Outdoor"/>
    <s v="1750F3320011"/>
    <s v="8640"/>
    <s v="Fonyód"/>
    <s v="Ady Endre u. 7."/>
    <s v="ok"/>
    <n v="2"/>
    <n v="2"/>
    <x v="9"/>
    <e v="#N/A"/>
    <n v="0"/>
    <n v="2"/>
  </r>
  <r>
    <x v="4"/>
    <s v="AKHK2645"/>
    <s v="Diebold-Opteva 760 ATM Outdoor"/>
    <s v="1760R3310789"/>
    <s v="4085"/>
    <s v="Hajdúnánás-Tedej"/>
    <s v="Fő u. 9."/>
    <s v="ok"/>
    <n v="2"/>
    <n v="2"/>
    <x v="16"/>
    <n v="1"/>
    <n v="1"/>
    <n v="1"/>
  </r>
  <r>
    <x v="4"/>
    <s v="AKHK2646"/>
    <s v="Diebold-Opteva 760 ATM Outdoor"/>
    <s v="1760R3320194"/>
    <s v="7815"/>
    <s v="Harkány"/>
    <s v="Bajcsy Zs. u.5."/>
    <s v="ok"/>
    <n v="2"/>
    <n v="2"/>
    <x v="12"/>
    <n v="1"/>
    <n v="1"/>
    <n v="1"/>
  </r>
  <r>
    <x v="4"/>
    <s v="AKHK2650"/>
    <s v="Diebold-Opteva 760 ATM Outdoor"/>
    <s v="1760R3320156"/>
    <s v="7400"/>
    <s v="Kaposvár"/>
    <s v="Széchenyi tér 8."/>
    <s v="ok"/>
    <n v="2"/>
    <n v="2"/>
    <x v="12"/>
    <e v="#N/A"/>
    <n v="0"/>
    <n v="2"/>
  </r>
  <r>
    <x v="4"/>
    <s v="AKHK2652"/>
    <s v="Diebold-Opteva 760 ATM Outdoor"/>
    <s v="1760R3320148"/>
    <s v="6000"/>
    <s v="Kecskemét"/>
    <s v="Aradi Vértanúk tere 4"/>
    <s v="ok"/>
    <n v="2"/>
    <n v="2"/>
    <x v="11"/>
    <n v="1"/>
    <n v="1"/>
    <n v="1"/>
  </r>
  <r>
    <x v="4"/>
    <s v="AKHK2653"/>
    <s v="OPT562 1GIG-DVD-UPS-LAN-A6-CEN3(4HIGH)"/>
    <s v="1562RH153222"/>
    <s v="6000"/>
    <s v="Kecskemét"/>
    <s v="Nagykőrösi út 9/a"/>
    <s v="ok"/>
    <n v="2"/>
    <n v="2"/>
    <x v="11"/>
    <n v="1"/>
    <n v="1"/>
    <n v="1"/>
  </r>
  <r>
    <x v="4"/>
    <s v="AKHK2654"/>
    <s v="OPT562 1GIG-DVD-UPS-LAN-A6-CEN3(4HIGH)"/>
    <s v="1562RH153248"/>
    <s v="6765"/>
    <s v="Csengele"/>
    <s v="Deák Ferenc u. 25."/>
    <s v="ok"/>
    <n v="2"/>
    <n v="2"/>
    <x v="3"/>
    <e v="#N/A"/>
    <n v="0"/>
    <n v="2"/>
  </r>
  <r>
    <x v="4"/>
    <s v="AKHK2655"/>
    <s v="OPT562 1GIG-DVD-UPS-LAN-A6-CEN3(4HIGH)"/>
    <s v="1562RH153184"/>
    <s v="8360"/>
    <s v="Keszthely"/>
    <s v="Fő tér 6-8."/>
    <s v="ok"/>
    <n v="2"/>
    <n v="2"/>
    <x v="9"/>
    <n v="1"/>
    <n v="1"/>
    <n v="1"/>
  </r>
  <r>
    <x v="4"/>
    <s v="AKHK2656"/>
    <s v="Diebold-Opteva 760 ATM Outdoor"/>
    <s v="1760R3320185"/>
    <s v="8360"/>
    <s v="Keszthely"/>
    <s v="Rákoczi tér 18-20."/>
    <s v="ok"/>
    <n v="2"/>
    <n v="2"/>
    <x v="9"/>
    <e v="#N/A"/>
    <n v="0"/>
    <n v="2"/>
  </r>
  <r>
    <x v="4"/>
    <s v="AKHK2657"/>
    <s v="Diebold-Opteva 760 ATM Outdoor"/>
    <s v="1760R3320184"/>
    <s v="8360"/>
    <s v="Keszthely"/>
    <s v="Vaszary u 5."/>
    <s v="ok"/>
    <n v="2"/>
    <n v="2"/>
    <x v="9"/>
    <e v="#N/A"/>
    <n v="0"/>
    <n v="2"/>
  </r>
  <r>
    <x v="4"/>
    <s v="AKHK2661"/>
    <s v="OPT562 1GIG-DVD-UPS-LAN-A6-CEN3(4HIGH)"/>
    <s v="1562RH153225"/>
    <s v="9021"/>
    <s v="Győr"/>
    <s v="Szent István u. 13."/>
    <s v="ok"/>
    <n v="2"/>
    <n v="2"/>
    <x v="19"/>
    <e v="#N/A"/>
    <n v="0"/>
    <n v="2"/>
  </r>
  <r>
    <x v="4"/>
    <s v="AKHK2671"/>
    <s v="OPT562 1GIG-DVD-UPS-LAN-A6-CEN3(4HIGH)"/>
    <s v="1562RH153183"/>
    <s v="4400"/>
    <s v="Nyíregyháza"/>
    <s v="Luther u. 3."/>
    <s v="ok"/>
    <n v="2"/>
    <n v="2"/>
    <x v="1"/>
    <n v="1"/>
    <n v="1"/>
    <n v="1"/>
  </r>
  <r>
    <x v="4"/>
    <s v="AKHK2674"/>
    <s v="Diebold-Opteva 760 ATM Outdoor"/>
    <s v="1760R3320397"/>
    <s v="6320"/>
    <s v="Solt"/>
    <s v="Béke tér 4."/>
    <s v="ok"/>
    <n v="2"/>
    <n v="2"/>
    <x v="7"/>
    <n v="1"/>
    <n v="1"/>
    <n v="1"/>
  </r>
  <r>
    <x v="4"/>
    <s v="AKHK2677"/>
    <s v="OPT562 1GIG-DVD-UPS-LAN-A6-CEN3(4HIGH)"/>
    <s v="1562RH153214"/>
    <s v="6754"/>
    <s v="Újszentiván"/>
    <s v="Felszabadulás u. 7."/>
    <s v="ok"/>
    <n v="2"/>
    <n v="2"/>
    <x v="3"/>
    <n v="1"/>
    <n v="1"/>
    <n v="1"/>
  </r>
  <r>
    <x v="4"/>
    <s v="AKHK2683"/>
    <s v="OPT562 1GIG-DVD-UPS-LAN-A6-CEN3(4HIGH)"/>
    <s v="1562RH153218"/>
    <s v="8600"/>
    <s v="Siófok"/>
    <s v="Fő tér 8."/>
    <s v="ok"/>
    <n v="2"/>
    <n v="2"/>
    <x v="4"/>
    <n v="1"/>
    <n v="1"/>
    <n v="1"/>
  </r>
  <r>
    <x v="4"/>
    <s v="AKHK2687"/>
    <s v="OPT562 1GIG-DVD-UPS-LAN-A6-CEN3(4HIGH)"/>
    <s v="1562RH153243"/>
    <s v="2932"/>
    <s v="Almásfüzitő"/>
    <s v="Petőfi tér 1."/>
    <s v="ok"/>
    <n v="2"/>
    <n v="2"/>
    <x v="19"/>
    <e v="#N/A"/>
    <n v="0"/>
    <n v="2"/>
  </r>
  <r>
    <x v="4"/>
    <s v="AKHK2688"/>
    <s v="OPT562 1GIG-DVD-UPS-LAN-A6-CEN3(4HIGH)"/>
    <s v="1562RH153219"/>
    <s v="8600"/>
    <s v="Siófok"/>
    <s v="Semmelweis u. 1."/>
    <s v="ok"/>
    <n v="2"/>
    <n v="2"/>
    <x v="4"/>
    <e v="#N/A"/>
    <n v="0"/>
    <n v="2"/>
  </r>
  <r>
    <x v="4"/>
    <s v="AKHK2694"/>
    <s v="OPT562 1GIG-DVD-UPS-LAN-A6-CEN3(4HIGH)"/>
    <s v="1562RH153181"/>
    <s v="7100"/>
    <s v="Szekszárd"/>
    <s v="Széchenyi u. 18-20."/>
    <s v="ok"/>
    <n v="2"/>
    <n v="2"/>
    <x v="7"/>
    <e v="#N/A"/>
    <n v="0"/>
    <n v="2"/>
  </r>
  <r>
    <x v="4"/>
    <s v="AKHK2698"/>
    <s v="OPT562 1GIG-DVD-UPS-LAN-A6-CEN3(4HIGH)"/>
    <s v="1562RH153241"/>
    <s v="5000"/>
    <s v="Szolnok"/>
    <s v="Kossuth L. u. 18."/>
    <s v="ok"/>
    <n v="2"/>
    <n v="2"/>
    <x v="11"/>
    <e v="#N/A"/>
    <n v="0"/>
    <n v="2"/>
  </r>
  <r>
    <x v="4"/>
    <s v="AKHK2699"/>
    <s v="Diebold-Opteva 760 ATM Outdoor"/>
    <s v="1760RCF00084"/>
    <s v="5000"/>
    <s v="Szolnok"/>
    <s v="Vízmű u. 1."/>
    <s v="ok"/>
    <n v="2"/>
    <n v="2"/>
    <x v="11"/>
    <e v="#N/A"/>
    <n v="0"/>
    <n v="2"/>
  </r>
  <r>
    <x v="4"/>
    <s v="AKHK2706"/>
    <s v="OPT562 1GIG-DVD-UPS-LAN-A6-CEN3(4HIGH)"/>
    <s v="1562RH153217"/>
    <s v="3127"/>
    <s v="Kazár"/>
    <s v="Kossuth Lajos út 17."/>
    <s v="ok"/>
    <n v="2"/>
    <n v="2"/>
    <x v="6"/>
    <e v="#N/A"/>
    <n v="0"/>
    <n v="2"/>
  </r>
  <r>
    <x v="4"/>
    <s v="AKHK2708"/>
    <s v="Diebold-Opteva 760 ATM Outdoor"/>
    <s v="1760R3320405"/>
    <s v="8200"/>
    <s v="Veszprém"/>
    <s v="Március 15. u. 15."/>
    <s v="ok"/>
    <n v="2"/>
    <n v="2"/>
    <x v="4"/>
    <n v="1"/>
    <n v="1"/>
    <n v="1"/>
  </r>
  <r>
    <x v="4"/>
    <s v="AKHK2731"/>
    <s v="OPT562 1GIG-DVD-UPS-LAN-A6-CEN3(4HIGH)"/>
    <s v="1562RH153221"/>
    <s v="7228"/>
    <s v="Döbrököz"/>
    <s v="Páhy u. 21/b"/>
    <s v="ok"/>
    <n v="2"/>
    <n v="2"/>
    <x v="12"/>
    <e v="#N/A"/>
    <n v="0"/>
    <n v="2"/>
  </r>
  <r>
    <x v="4"/>
    <s v="AKHK2732"/>
    <s v="Diebold-Opteva 760 ATM Outdoor"/>
    <s v="1760R3320355"/>
    <s v="3715"/>
    <s v="Gesztely"/>
    <s v="Szabadság tér 7."/>
    <s v="ok"/>
    <n v="2"/>
    <n v="2"/>
    <x v="2"/>
    <n v="1"/>
    <n v="1"/>
    <n v="1"/>
  </r>
  <r>
    <x v="4"/>
    <s v="AKHK2744"/>
    <s v="Diebold-Opteva 760 ATM Outdoor"/>
    <s v="1760R3320407"/>
    <s v="8900"/>
    <s v="Zalaegerszeg"/>
    <s v="Zrínyi út 38"/>
    <s v="ok"/>
    <n v="2"/>
    <n v="2"/>
    <x v="9"/>
    <e v="#N/A"/>
    <n v="0"/>
    <n v="2"/>
  </r>
  <r>
    <x v="4"/>
    <s v="AKHK2748"/>
    <s v="OPT562 1GIG-DVD-UPS-LAN-A6-CEN3(4HIGH)"/>
    <s v="1562RH153215"/>
    <s v="5945"/>
    <s v="Kardoskút"/>
    <s v="Március 15. tér 1."/>
    <s v="ok"/>
    <n v="2"/>
    <n v="2"/>
    <x v="3"/>
    <e v="#N/A"/>
    <n v="0"/>
    <n v="2"/>
  </r>
  <r>
    <x v="4"/>
    <s v="AKHK2755"/>
    <s v="OPT562 1GIG-DVD-UPS-LAN-A6-CEN3(4HIGH)"/>
    <s v="1562RH153228"/>
    <s v="1051"/>
    <s v="Budapest"/>
    <s v="Arany János u. 20."/>
    <s v="ok"/>
    <n v="2"/>
    <n v="2"/>
    <x v="13"/>
    <e v="#N/A"/>
    <n v="0"/>
    <n v="2"/>
  </r>
  <r>
    <x v="4"/>
    <s v="AKHK2759"/>
    <s v="OPT562 1GIG-DVD-UPS-LAN-A6-CEN3(4HIGH)"/>
    <s v="1562RH153190"/>
    <s v="4161"/>
    <s v="Báránd"/>
    <s v="Kossuth tér 11."/>
    <s v="ok"/>
    <n v="2"/>
    <n v="2"/>
    <x v="16"/>
    <n v="1"/>
    <n v="1"/>
    <n v="1"/>
  </r>
  <r>
    <x v="4"/>
    <s v="AKHK2761"/>
    <s v="OPT562 1GIG-DVD-UPS-LAN-A6-CEN3(4HIGH)"/>
    <s v="1562RH153205"/>
    <s v="6000"/>
    <s v="Kecskemét"/>
    <s v="Dobó krt. 9"/>
    <s v="ok"/>
    <n v="2"/>
    <n v="2"/>
    <x v="11"/>
    <n v="1"/>
    <n v="1"/>
    <n v="1"/>
  </r>
  <r>
    <x v="4"/>
    <s v="AKHK2765"/>
    <s v="OPT562 1GIG-DVD-UPS-LAN-A6-CEN3(4HIGH)"/>
    <s v="1562RH153213"/>
    <s v="9740"/>
    <s v="Bükfürdő"/>
    <s v="Thermál krt. 27."/>
    <s v="ok"/>
    <n v="2"/>
    <n v="2"/>
    <x v="8"/>
    <n v="1"/>
    <n v="1"/>
    <n v="1"/>
  </r>
  <r>
    <x v="4"/>
    <s v="AKHK2773"/>
    <s v="Diebold-Opteva 760 ATM Outdoor"/>
    <s v="1760R3320408"/>
    <s v="9019"/>
    <s v="Győr"/>
    <s v="Reptéri út porta"/>
    <s v="ok"/>
    <n v="2"/>
    <n v="2"/>
    <x v="19"/>
    <n v="1"/>
    <n v="1"/>
    <n v="1"/>
  </r>
  <r>
    <x v="4"/>
    <s v="AKHK2792"/>
    <s v="OPT562 1GIG-DVD-UPS-LAN-A6-CEN3(4HIGH)"/>
    <s v="1562RH153232"/>
    <s v="8800"/>
    <s v="Nagykanizsa"/>
    <s v="Fő u. 2."/>
    <s v="ok"/>
    <n v="2"/>
    <n v="2"/>
    <x v="9"/>
    <e v="#N/A"/>
    <n v="0"/>
    <n v="2"/>
  </r>
  <r>
    <x v="4"/>
    <s v="AKHK2800"/>
    <s v="Diebold-Opteva 522 Lobby Cash Dispenser"/>
    <s v="1522FH105404"/>
    <s v="5900"/>
    <s v="Orosháza"/>
    <s v="Rákóczi u. 5."/>
    <s v="ok"/>
    <n v="2"/>
    <n v="0"/>
    <x v="3"/>
    <e v="#N/A"/>
    <n v="0"/>
    <n v="0"/>
  </r>
  <r>
    <x v="4"/>
    <s v="AKHK2803"/>
    <s v="Diebold-Opteva 760 ATM Outdoor"/>
    <s v="1760R3320399"/>
    <s v="5126"/>
    <s v="Jászfényszaru"/>
    <s v="Szabadság út 3."/>
    <s v="ok"/>
    <n v="2"/>
    <n v="2"/>
    <x v="10"/>
    <n v="1"/>
    <n v="1"/>
    <n v="1"/>
  </r>
  <r>
    <x v="4"/>
    <s v="AKHK2808"/>
    <s v="Diebold-Opteva 760 ATM Outdoor"/>
    <s v="1760R3320418"/>
    <s v="9700"/>
    <s v="Szombathely"/>
    <s v="Szűrcsapó u.23"/>
    <s v="ok"/>
    <n v="2"/>
    <n v="2"/>
    <x v="8"/>
    <e v="#N/A"/>
    <n v="0"/>
    <n v="2"/>
  </r>
  <r>
    <x v="4"/>
    <s v="AKHK2809"/>
    <s v="OPT562 1GIG-DVD-UPS-LAN-A6-CEN3(4HIGH)"/>
    <s v="1562RH153229"/>
    <s v="2800"/>
    <s v="Tatabánya"/>
    <s v="Szent Borbála tér 2."/>
    <s v="ok"/>
    <n v="2"/>
    <n v="2"/>
    <x v="19"/>
    <n v="1"/>
    <n v="1"/>
    <n v="1"/>
  </r>
  <r>
    <x v="4"/>
    <s v="AKHK2813"/>
    <s v="OPT562 1GIG-DVD-UPS-LAN-A6-CEN3(4HIGH)"/>
    <s v="1562RH153227"/>
    <s v="2071"/>
    <s v="Páty"/>
    <s v="Rákóczi út 11-1."/>
    <s v="ok"/>
    <n v="2"/>
    <n v="2"/>
    <x v="19"/>
    <n v="1"/>
    <n v="1"/>
    <n v="1"/>
  </r>
  <r>
    <x v="4"/>
    <s v="AKHK2822"/>
    <s v="OPT562 1GIG-DVD-UPS-LAN-A6-CEN3(4HIGH)"/>
    <s v="1562RH129689"/>
    <s v="6044"/>
    <s v="Kecskemét"/>
    <s v="Kossuth L. u. 81."/>
    <s v="ok"/>
    <e v="#N/A"/>
    <e v="#N/A"/>
    <x v="18"/>
    <e v="#N/A"/>
    <n v="0"/>
    <e v="#N/A"/>
  </r>
  <r>
    <x v="4"/>
    <s v="AKHK2828"/>
    <s v="Diebold-Opteva 750 ATM Outdoor"/>
    <s v="1750F3320013"/>
    <s v="1138"/>
    <s v="Budapest"/>
    <s v="Margitsziget Danubius Thermál Hotel"/>
    <s v="ok"/>
    <n v="2"/>
    <n v="2"/>
    <x v="14"/>
    <e v="#N/A"/>
    <n v="0"/>
    <n v="2"/>
  </r>
  <r>
    <x v="4"/>
    <s v="AKHK2856"/>
    <s v="Diebold-Opteva 760 ATM Outdoor"/>
    <s v="1760RCF00108"/>
    <s v="5940"/>
    <s v="Tótkomlós"/>
    <s v="Kossuth u.2."/>
    <s v="ok"/>
    <n v="2"/>
    <n v="2"/>
    <x v="3"/>
    <e v="#N/A"/>
    <n v="0"/>
    <n v="2"/>
  </r>
  <r>
    <x v="4"/>
    <s v="AKHK2921"/>
    <s v="Diebold-Opteva 750 ATM Outdoor"/>
    <s v="1750F3320015"/>
    <s v="8053"/>
    <s v="Bodajk"/>
    <s v="Petőfi Sándor u. 60."/>
    <s v="ok"/>
    <n v="2"/>
    <n v="2"/>
    <x v="4"/>
    <n v="1"/>
    <n v="1"/>
    <n v="1"/>
  </r>
  <r>
    <x v="4"/>
    <s v="AKHK2922"/>
    <s v="OPT562 1GIG-DVD-UPS-LAN-A6-CEN3(4HIGH)"/>
    <s v="1562RH153172"/>
    <s v="1024"/>
    <s v="Budapest"/>
    <s v="Margit krt. 43-45."/>
    <s v="ok"/>
    <n v="2"/>
    <n v="2"/>
    <x v="0"/>
    <n v="1"/>
    <n v="1"/>
    <n v="1"/>
  </r>
  <r>
    <x v="4"/>
    <s v="AKHK2923"/>
    <s v="OPT562 1GIG-DVD-UPS-LAN-A6-CEN3(4HIGH)"/>
    <s v="1562RH153173"/>
    <s v="1148"/>
    <s v="Budapest"/>
    <s v="Örs vezér tere 2."/>
    <s v="ok"/>
    <n v="2"/>
    <n v="2"/>
    <x v="6"/>
    <n v="1"/>
    <n v="1"/>
    <n v="1"/>
  </r>
  <r>
    <x v="4"/>
    <s v="AKHK2924"/>
    <s v="OPT562 1GIG-DVD-UPS-LAN-A6-CEN3(4HIGH)"/>
    <s v="1562RH153175"/>
    <s v="8900"/>
    <s v="Zalaegerszeg"/>
    <s v="Kossuth u. 8."/>
    <s v="ok"/>
    <n v="2"/>
    <n v="2"/>
    <x v="9"/>
    <n v="1"/>
    <n v="1"/>
    <n v="1"/>
  </r>
  <r>
    <x v="4"/>
    <s v="AKHK2926"/>
    <s v="OPT562 1GIG-DVD-UPS-LAN-A6-CEN3(4HIGH)"/>
    <s v="1562RH153176"/>
    <s v="7626"/>
    <s v="Pécs"/>
    <s v="Búza tér 6/a."/>
    <s v="ok"/>
    <n v="2"/>
    <n v="2"/>
    <x v="12"/>
    <n v="1"/>
    <n v="1"/>
    <n v="1"/>
  </r>
  <r>
    <x v="4"/>
    <s v="AKHK2927"/>
    <s v="OPT562 1GIG-DVD-UPS-LAN-A6-CEN3(4HIGH)"/>
    <s v="1562RH153178"/>
    <s v="1117"/>
    <s v="Budapest"/>
    <s v="Móricz Zsigmond körtér 14."/>
    <s v="ok"/>
    <n v="2"/>
    <n v="2"/>
    <x v="17"/>
    <e v="#N/A"/>
    <n v="0"/>
    <n v="2"/>
  </r>
  <r>
    <x v="4"/>
    <s v="AKHK2928"/>
    <s v="OPT562 1GIG-DVD-UPS-LAN-A6-CEN3(4HIGH)"/>
    <s v="1562RH153185"/>
    <s v="1024"/>
    <s v="Budapest"/>
    <s v="Lövőház u. 2-6."/>
    <s v="ok"/>
    <n v="2"/>
    <n v="2"/>
    <x v="0"/>
    <n v="1"/>
    <n v="1"/>
    <n v="1"/>
  </r>
  <r>
    <x v="4"/>
    <s v="AKHK2930"/>
    <s v="OPT562 1GIG-DVD-UPS-LAN-A6-CEN3(4HIGH)"/>
    <s v="1562RH153189"/>
    <s v="3200"/>
    <s v="Gyöngyös"/>
    <s v="Bugát Pál tér 6."/>
    <s v="ok"/>
    <n v="2"/>
    <n v="2"/>
    <x v="10"/>
    <e v="#N/A"/>
    <n v="0"/>
    <n v="2"/>
  </r>
  <r>
    <x v="4"/>
    <s v="AKHK2932"/>
    <s v="OPT562 1GIG-DVD-UPS-LAN-A6-CEN3(4HIGH)"/>
    <s v="1562RH153204"/>
    <s v="2600"/>
    <s v="Vác"/>
    <s v="Széchenyi u. 34."/>
    <s v="ok"/>
    <n v="2"/>
    <n v="2"/>
    <x v="6"/>
    <e v="#N/A"/>
    <n v="0"/>
    <n v="2"/>
  </r>
  <r>
    <x v="4"/>
    <s v="AKHK2933"/>
    <s v="Diebold-Opteva 750 ATM Outdoor"/>
    <s v="1750F3320012"/>
    <s v="2730"/>
    <s v="Albertirsa"/>
    <s v="Vasút u. 4/13."/>
    <s v="ok"/>
    <n v="2"/>
    <n v="2"/>
    <x v="15"/>
    <e v="#N/A"/>
    <n v="0"/>
    <n v="2"/>
  </r>
  <r>
    <x v="4"/>
    <s v="AKHK2934"/>
    <s v="OPT562 1GIG-DVD-UPS-LAN-A6-CEN3(4HIGH)"/>
    <s v="1562RH153223"/>
    <s v="4631"/>
    <s v="Pap"/>
    <s v="Kossuth út 102."/>
    <s v="ok"/>
    <n v="2"/>
    <n v="2"/>
    <x v="1"/>
    <n v="1"/>
    <n v="1"/>
    <n v="1"/>
  </r>
  <r>
    <x v="4"/>
    <s v="AKHK2935"/>
    <s v="OPT562 1GIG-DVD-UPS-LAN-A6-CEN3(4HIGH)"/>
    <s v="1562RH153212"/>
    <s v="1033"/>
    <s v="Budapest"/>
    <s v="Flórián tér 1."/>
    <s v="ok"/>
    <n v="2"/>
    <n v="2"/>
    <x v="0"/>
    <n v="1"/>
    <n v="1"/>
    <n v="1"/>
  </r>
  <r>
    <x v="4"/>
    <s v="AKHK2944"/>
    <s v="Diebold-Opteva 750 ATM Outdoor"/>
    <s v="1750F3320014"/>
    <s v="8053"/>
    <s v="Bakonycsernye"/>
    <s v="Rákóczi út 53."/>
    <s v="ok"/>
    <n v="2"/>
    <n v="2"/>
    <x v="4"/>
    <n v="1"/>
    <n v="1"/>
    <n v="1"/>
  </r>
  <r>
    <x v="4"/>
    <s v="AKHK2960"/>
    <s v="OPT562 1GIG-DVD-UPS-LAN-A6-CEN3(4HIGH)"/>
    <s v="1562RH153224"/>
    <s v="1067"/>
    <s v="Budapest"/>
    <s v="Teréz körút 1."/>
    <s v="ok"/>
    <n v="2"/>
    <n v="2"/>
    <x v="13"/>
    <e v="#N/A"/>
    <n v="0"/>
    <n v="2"/>
  </r>
  <r>
    <x v="4"/>
    <s v="AKHK2962"/>
    <s v="OPT562 1GIG-DVD-UPS-LAN-A6-CEN3(4HIGH)"/>
    <s v="1562RH153230"/>
    <s v="4600"/>
    <s v="Kisvárda"/>
    <s v="Somogyi Rezső u. 11."/>
    <s v="ok"/>
    <n v="2"/>
    <n v="2"/>
    <x v="1"/>
    <n v="1"/>
    <n v="1"/>
    <n v="1"/>
  </r>
  <r>
    <x v="4"/>
    <s v="AKHK4323"/>
    <s v="CINEO C2560"/>
    <s v="5300829111"/>
    <s v="9600"/>
    <s v="Sárvár"/>
    <s v="Batthyány u. 19-21"/>
    <s v="ok"/>
    <n v="2"/>
    <n v="2"/>
    <x v="8"/>
    <e v="#N/A"/>
    <n v="0"/>
    <n v="2"/>
  </r>
  <r>
    <x v="4"/>
    <s v="AKHK4328"/>
    <s v="CINEO C2560"/>
    <s v="5300829101"/>
    <s v="9600"/>
    <s v="Sárvár"/>
    <s v="Ikervári u.42"/>
    <s v="ok"/>
    <n v="2"/>
    <n v="2"/>
    <x v="8"/>
    <e v="#N/A"/>
    <n v="0"/>
    <n v="2"/>
  </r>
  <r>
    <x v="4"/>
    <s v="AKHK4329"/>
    <s v="CINEO C2560"/>
    <s v="5300829125"/>
    <s v="2432"/>
    <s v="Szabadegyháza"/>
    <s v="Ipartelep"/>
    <s v="ok"/>
    <n v="2"/>
    <n v="2"/>
    <x v="7"/>
    <e v="#N/A"/>
    <n v="0"/>
    <n v="2"/>
  </r>
  <r>
    <x v="4"/>
    <s v="AKHK4330"/>
    <s v="CINEO C2560"/>
    <s v="5300829130"/>
    <s v="7827"/>
    <s v="Beremend"/>
    <s v="Duna-Dráva Cement"/>
    <s v="ok"/>
    <n v="2"/>
    <n v="2"/>
    <x v="12"/>
    <n v="1"/>
    <n v="1"/>
    <n v="1"/>
  </r>
  <r>
    <x v="4"/>
    <s v="AKHK4331"/>
    <s v="CINEO C2560"/>
    <s v="5300829141"/>
    <s v="2241"/>
    <s v="Sülysáp"/>
    <s v="szt István tér 6"/>
    <s v="ok"/>
    <n v="2"/>
    <n v="2"/>
    <x v="10"/>
    <e v="#N/A"/>
    <n v="0"/>
    <n v="2"/>
  </r>
  <r>
    <x v="4"/>
    <s v="AKHK4332"/>
    <s v="CINEO C2560"/>
    <s v="5300829143"/>
    <s v="6600"/>
    <s v="Szentes"/>
    <s v="Kolozsvári u.9."/>
    <s v="ok"/>
    <n v="2"/>
    <n v="2"/>
    <x v="11"/>
    <e v="#N/A"/>
    <n v="0"/>
    <n v="2"/>
  </r>
  <r>
    <x v="4"/>
    <s v="AKHK4334"/>
    <s v="CINEO C2560"/>
    <s v="5300829159"/>
    <s v="5700"/>
    <s v="Gyula"/>
    <s v="Karácsony J.u.14"/>
    <s v="ok"/>
    <n v="2"/>
    <n v="2"/>
    <x v="3"/>
    <n v="1"/>
    <n v="1"/>
    <n v="1"/>
  </r>
  <r>
    <x v="4"/>
    <s v="AKHK4336"/>
    <s v="CINEO C2560"/>
    <s v="5300829152"/>
    <s v="5700"/>
    <s v="Gyula"/>
    <s v="Vásárhelyi Pál u.2"/>
    <s v="ok"/>
    <n v="2"/>
    <n v="2"/>
    <x v="3"/>
    <n v="1"/>
    <n v="1"/>
    <n v="1"/>
  </r>
  <r>
    <x v="4"/>
    <s v="AKHK4341"/>
    <s v="CINEO C2560"/>
    <s v="5300829231"/>
    <s v="4181"/>
    <s v="Nádudvar"/>
    <s v="Fő u. 119."/>
    <s v="ok"/>
    <n v="2"/>
    <n v="2"/>
    <x v="16"/>
    <n v="1"/>
    <n v="1"/>
    <n v="1"/>
  </r>
  <r>
    <x v="4"/>
    <s v="AKHK4401"/>
    <s v="CINEO C2560"/>
    <s v="5300829249"/>
    <s v="5510"/>
    <s v="Dévaványa"/>
    <s v="Hősök tere 3"/>
    <s v="ok"/>
    <n v="2"/>
    <n v="2"/>
    <x v="11"/>
    <e v="#N/A"/>
    <n v="0"/>
    <n v="2"/>
  </r>
  <r>
    <x v="4"/>
    <s v="AKHK4412"/>
    <s v="CINEO C2560"/>
    <s v="5300829273"/>
    <s v="6413"/>
    <s v="Kunfehértó"/>
    <s v="Szabadság u.8"/>
    <s v="ok"/>
    <n v="2"/>
    <n v="2"/>
    <x v="7"/>
    <e v="#N/A"/>
    <n v="0"/>
    <n v="2"/>
  </r>
  <r>
    <x v="4"/>
    <s v="AKHK4413"/>
    <s v="CINEO C2560"/>
    <s v="5300829434"/>
    <s v="4172"/>
    <s v="Biharnagybajom"/>
    <s v="Kossuth u.1."/>
    <s v="ok"/>
    <n v="2"/>
    <n v="2"/>
    <x v="16"/>
    <n v="1"/>
    <n v="1"/>
    <n v="1"/>
  </r>
  <r>
    <x v="4"/>
    <s v="AKHK4422"/>
    <s v="CINEO C2560"/>
    <s v="5300829458"/>
    <s v="3332"/>
    <s v="Sirok"/>
    <s v="Liszkóvölgy"/>
    <s v="ok"/>
    <n v="2"/>
    <n v="2"/>
    <x v="6"/>
    <e v="#N/A"/>
    <n v="0"/>
    <n v="2"/>
  </r>
  <r>
    <x v="4"/>
    <s v="AKHK4431"/>
    <s v="CINEO C2560"/>
    <s v="5300829415"/>
    <s v="4460"/>
    <s v="Nyírtelek"/>
    <s v="Iskola u. 6"/>
    <s v="ok"/>
    <n v="2"/>
    <n v="2"/>
    <x v="1"/>
    <n v="1"/>
    <n v="1"/>
    <n v="1"/>
  </r>
  <r>
    <x v="4"/>
    <s v="AKHK4433"/>
    <s v="CINEO C2560"/>
    <s v="5300829580"/>
    <s v="6900"/>
    <s v="Makó"/>
    <s v="Széchényi tér 18-20"/>
    <s v="ok"/>
    <n v="2"/>
    <n v="2"/>
    <x v="3"/>
    <n v="1"/>
    <n v="1"/>
    <n v="1"/>
  </r>
  <r>
    <x v="4"/>
    <s v="AKHK4444"/>
    <s v="CINEO C2560"/>
    <s v="5300829569"/>
    <s v="2049"/>
    <s v="Diósd"/>
    <s v="Kossuth L.u.24"/>
    <s v="ok"/>
    <n v="2"/>
    <n v="2"/>
    <x v="17"/>
    <n v="1"/>
    <n v="1"/>
    <n v="1"/>
  </r>
  <r>
    <x v="4"/>
    <s v="AKHK4446"/>
    <s v="CINEO C2560"/>
    <s v="5300829263"/>
    <s v="4800"/>
    <s v="Vásárosnamény"/>
    <s v="Kossuth L.u.6"/>
    <s v="ok"/>
    <n v="2"/>
    <n v="2"/>
    <x v="1"/>
    <n v="1"/>
    <n v="1"/>
    <n v="1"/>
  </r>
  <r>
    <x v="4"/>
    <s v="AKHK4447"/>
    <s v="CINEO C2560"/>
    <s v="5300829286"/>
    <s v="8600"/>
    <s v="Siófok"/>
    <s v="Vámház u."/>
    <s v="ok"/>
    <n v="2"/>
    <n v="2"/>
    <x v="4"/>
    <n v="1"/>
    <n v="1"/>
    <n v="1"/>
  </r>
  <r>
    <x v="4"/>
    <s v="AKHK4452"/>
    <s v="CINEO C2560"/>
    <s v="5300829422"/>
    <s v="8900"/>
    <s v="Zalaegerszeg"/>
    <s v="Berzsenyi u.12"/>
    <s v="ok"/>
    <n v="2"/>
    <n v="2"/>
    <x v="9"/>
    <n v="1"/>
    <n v="1"/>
    <n v="1"/>
  </r>
  <r>
    <x v="4"/>
    <s v="AKHK4453"/>
    <s v="CINEO C2560"/>
    <s v="5300829391"/>
    <s v="5000"/>
    <s v="Szolnok"/>
    <s v="József A. 22-24"/>
    <s v="ok"/>
    <n v="2"/>
    <n v="2"/>
    <x v="11"/>
    <e v="#N/A"/>
    <n v="0"/>
    <n v="2"/>
  </r>
  <r>
    <x v="4"/>
    <s v="AKHK4454"/>
    <s v="CINEO C2560"/>
    <s v="5300829440"/>
    <s v="9653"/>
    <s v="Répcelak"/>
    <s v="Vörösmarty u. 1."/>
    <s v="ok"/>
    <n v="2"/>
    <n v="2"/>
    <x v="8"/>
    <e v="#N/A"/>
    <n v="0"/>
    <n v="2"/>
  </r>
  <r>
    <x v="4"/>
    <s v="AKHK4461"/>
    <s v="CINEO C2560"/>
    <s v="5300829446"/>
    <s v="6723"/>
    <s v="Szeged"/>
    <s v="Makkosházi krt."/>
    <s v="ok"/>
    <n v="2"/>
    <n v="2"/>
    <x v="3"/>
    <n v="1"/>
    <n v="1"/>
    <n v="1"/>
  </r>
  <r>
    <x v="4"/>
    <s v="AKHK4462"/>
    <s v="CINEO C2560"/>
    <s v="5300829451"/>
    <s v="4177"/>
    <s v="Földes"/>
    <s v="Deák F.u.2"/>
    <s v="ok"/>
    <n v="2"/>
    <n v="2"/>
    <x v="16"/>
    <n v="1"/>
    <n v="1"/>
    <n v="1"/>
  </r>
  <r>
    <x v="4"/>
    <s v="AKHK4465"/>
    <s v="CINEO C2560"/>
    <s v="5300829395"/>
    <s v="3200"/>
    <s v="Gyöngyös"/>
    <s v="Kenyérgyár u.5"/>
    <s v="ok"/>
    <n v="2"/>
    <n v="2"/>
    <x v="6"/>
    <e v="#N/A"/>
    <n v="0"/>
    <n v="2"/>
  </r>
  <r>
    <x v="4"/>
    <s v="AKHK4969"/>
    <s v="CINEO C2560"/>
    <s v="5300829078"/>
    <s v="1095"/>
    <s v="Budapest"/>
    <s v="Lechner Ödön fasor 9"/>
    <s v="ok"/>
    <n v="2"/>
    <n v="2"/>
    <x v="17"/>
    <e v="#N/A"/>
    <n v="0"/>
    <n v="2"/>
  </r>
  <r>
    <x v="4"/>
    <s v="AKHK4981"/>
    <s v="CINEO C2560"/>
    <s v="5300829081"/>
    <s v="6000"/>
    <s v="Kecskemét"/>
    <s v="Kodály Z.tér 7."/>
    <s v="ok"/>
    <n v="2"/>
    <n v="2"/>
    <x v="11"/>
    <n v="1"/>
    <n v="1"/>
    <n v="1"/>
  </r>
  <r>
    <x v="4"/>
    <s v="AKHK4984"/>
    <s v="CINEO C2560"/>
    <s v="5300829087"/>
    <s v="2700"/>
    <s v="Cegléd"/>
    <s v="Törteli u.1-3"/>
    <s v="ok"/>
    <n v="2"/>
    <n v="2"/>
    <x v="6"/>
    <e v="#N/A"/>
    <n v="0"/>
    <n v="2"/>
  </r>
  <r>
    <x v="4"/>
    <s v="AKHK4986"/>
    <s v="CINEO C2560"/>
    <s v="5300829091"/>
    <s v="4400"/>
    <s v="Nyíregyháza"/>
    <s v="Korányi F.u.12"/>
    <s v="ok"/>
    <n v="2"/>
    <n v="2"/>
    <x v="1"/>
    <n v="1"/>
    <n v="1"/>
    <n v="1"/>
  </r>
  <r>
    <x v="4"/>
    <s v="AKHK4987"/>
    <s v="CINEO C2560"/>
    <s v="5300829094"/>
    <s v="8136"/>
    <s v="Lajoskomárom"/>
    <s v="Ozorai u.5"/>
    <s v="ok"/>
    <n v="2"/>
    <n v="2"/>
    <x v="7"/>
    <n v="1"/>
    <n v="1"/>
    <n v="1"/>
  </r>
  <r>
    <x v="4"/>
    <s v="AKHO2305"/>
    <s v="Diebold-Opteva 522 Lobby Cash Dispenser"/>
    <s v="1522FH113856"/>
    <s v="1021"/>
    <s v="Budapest"/>
    <s v="Hidegkúti út 1."/>
    <s v="ok"/>
    <n v="2"/>
    <n v="2"/>
    <x v="0"/>
    <n v="1"/>
    <n v="1"/>
    <n v="1"/>
  </r>
  <r>
    <x v="4"/>
    <s v="CASH2001_R"/>
    <s v="Diebold-Opteva 868 ATM"/>
    <s v="1868RH101215"/>
    <s v="2030"/>
    <s v="Érd"/>
    <s v="Budai út 26."/>
    <s v="ok"/>
    <n v="2"/>
    <n v="2"/>
    <x v="15"/>
    <n v="1"/>
    <n v="1"/>
    <n v="1"/>
  </r>
  <r>
    <x v="4"/>
    <s v="CASH2002_R"/>
    <s v="Diebold-Opteva 868 ATM"/>
    <s v="1868RH101216"/>
    <s v="4024"/>
    <s v="Debrecen"/>
    <s v="Piac u. 52."/>
    <s v="ok"/>
    <n v="2"/>
    <n v="2"/>
    <x v="16"/>
    <n v="1"/>
    <n v="1"/>
    <n v="1"/>
  </r>
  <r>
    <x v="4"/>
    <s v="CASH2004_R"/>
    <s v="Diebold-Opteva 868 ATM"/>
    <s v="1868RH101214"/>
    <s v="3300"/>
    <s v="Eger"/>
    <s v="Barkóczy út 3."/>
    <s v="ok"/>
    <n v="2"/>
    <n v="2"/>
    <x v="2"/>
    <n v="1"/>
    <n v="1"/>
    <n v="1"/>
  </r>
  <r>
    <x v="4"/>
    <s v="CASH2005_R"/>
    <s v="Diebold-Opteva 868 ATM"/>
    <s v="1868RH101217"/>
    <s v="7400"/>
    <s v="Kaposvár"/>
    <s v="Széchenyi tér 8."/>
    <s v="ok"/>
    <n v="2"/>
    <n v="2"/>
    <x v="12"/>
    <n v="1"/>
    <n v="1"/>
    <n v="1"/>
  </r>
  <r>
    <x v="4"/>
    <s v="CASH2006"/>
    <s v="Diebold-Opteva 868 ATM"/>
    <s v="1868RH101220"/>
    <s v="6720"/>
    <s v="Szeged"/>
    <s v="Széchenyi tér 9."/>
    <s v="ok"/>
    <n v="2"/>
    <n v="2"/>
    <x v="3"/>
    <n v="1"/>
    <n v="1"/>
    <n v="1"/>
  </r>
  <r>
    <x v="4"/>
    <s v="CASH2008_R"/>
    <s v="Diebold-Opteva 868 ATM"/>
    <s v="1868RH101218"/>
    <s v="9700"/>
    <s v="Szombathely"/>
    <s v="Kőszegi u. 10."/>
    <s v="ok"/>
    <n v="2"/>
    <n v="2"/>
    <x v="8"/>
    <n v="1"/>
    <n v="1"/>
    <n v="1"/>
  </r>
  <r>
    <x v="4"/>
    <s v="CASH2009_R"/>
    <s v="Diebold-Opteva 868 ATM"/>
    <s v="1868RH102962"/>
    <s v="2040"/>
    <s v="Budaörs"/>
    <s v="Szabadság út 47."/>
    <s v="ok"/>
    <n v="2"/>
    <n v="2"/>
    <x v="17"/>
    <e v="#N/A"/>
    <n v="0"/>
    <n v="2"/>
  </r>
  <r>
    <x v="4"/>
    <s v="CASH2010_R"/>
    <s v="Diebold-Opteva 868 ATM"/>
    <s v="1868RH101148"/>
    <s v="1067"/>
    <s v="Budapest"/>
    <s v="Teréz krt. 1."/>
    <s v="ok"/>
    <n v="2"/>
    <n v="2"/>
    <x v="13"/>
    <e v="#N/A"/>
    <n v="0"/>
    <n v="2"/>
  </r>
  <r>
    <x v="4"/>
    <s v="CASH2011_R"/>
    <s v="Diebold-Opteva 868 ATM"/>
    <s v="1868RH102953"/>
    <s v="1024"/>
    <s v="Budapest"/>
    <s v="Margit krt. 43-45."/>
    <s v="ok"/>
    <n v="2"/>
    <n v="2"/>
    <x v="0"/>
    <n v="1"/>
    <n v="1"/>
    <n v="1"/>
  </r>
  <r>
    <x v="4"/>
    <s v="CASH2013_R"/>
    <s v="Diebold-Opteva 868 ATM"/>
    <s v="1868RH102954"/>
    <s v="1148"/>
    <s v="Budapest"/>
    <s v="Örs vezér tere 2."/>
    <s v="ok"/>
    <n v="2"/>
    <n v="2"/>
    <x v="6"/>
    <n v="1"/>
    <n v="1"/>
    <n v="1"/>
  </r>
  <r>
    <x v="4"/>
    <s v="CASH2014_R"/>
    <s v="Diebold-Opteva 868 ATM"/>
    <s v="1868RH102955"/>
    <s v="5600"/>
    <s v="Békéscsaba"/>
    <s v="Szent István Tér 5."/>
    <s v="ok"/>
    <n v="2"/>
    <n v="2"/>
    <x v="3"/>
    <n v="1"/>
    <n v="1"/>
    <n v="1"/>
  </r>
  <r>
    <x v="4"/>
    <s v="CASH2016_R"/>
    <s v="Diebold-Opteva 868 ATM"/>
    <s v="1868RH102952"/>
    <s v="8900"/>
    <s v="Zalaegerszeg"/>
    <s v="Kossuth u. 8."/>
    <s v="ok"/>
    <n v="2"/>
    <n v="2"/>
    <x v="9"/>
    <n v="1"/>
    <n v="1"/>
    <n v="1"/>
  </r>
  <r>
    <x v="4"/>
    <s v="CASH2018_R"/>
    <s v="Diebold-Opteva 868 ATM"/>
    <s v="1868RH102956"/>
    <s v="8200"/>
    <s v="Veszprém"/>
    <s v="Budapest u. 6."/>
    <s v="ok"/>
    <n v="2"/>
    <n v="2"/>
    <x v="4"/>
    <n v="1"/>
    <n v="1"/>
    <n v="1"/>
  </r>
  <r>
    <x v="4"/>
    <s v="CASH2019_R"/>
    <s v="Diebold-Opteva 868 ATM"/>
    <s v="1868RH107576"/>
    <s v="4220"/>
    <s v="Hajdúböszörmény"/>
    <s v="Korpona u. 14."/>
    <s v="ok"/>
    <n v="2"/>
    <n v="2"/>
    <x v="16"/>
    <n v="1"/>
    <n v="1"/>
    <n v="1"/>
  </r>
  <r>
    <x v="4"/>
    <s v="CASH2020_R"/>
    <s v="Diebold-Opteva 868 ATM"/>
    <s v="1868RH102957"/>
    <s v="7626"/>
    <s v="Pécs"/>
    <s v="Búza tér 6/a"/>
    <s v="ok"/>
    <n v="2"/>
    <n v="2"/>
    <x v="12"/>
    <n v="1"/>
    <n v="1"/>
    <n v="1"/>
  </r>
  <r>
    <x v="4"/>
    <s v="CASH2021_R"/>
    <s v="Diebold-Opteva 868 ATM"/>
    <s v="1868RH102958"/>
    <s v="1042"/>
    <s v="Budapest"/>
    <s v="Árpád út 112."/>
    <s v="ok"/>
    <n v="2"/>
    <n v="2"/>
    <x v="14"/>
    <n v="1"/>
    <n v="1"/>
    <n v="1"/>
  </r>
  <r>
    <x v="4"/>
    <s v="CASH2022_R"/>
    <s v="Diebold-Opteva 868 ATM"/>
    <s v="1868RH102959"/>
    <s v="1117"/>
    <s v="Budapest"/>
    <s v="Móricz Zsigmond körtér 14."/>
    <s v="ok"/>
    <n v="2"/>
    <n v="2"/>
    <x v="17"/>
    <n v="1"/>
    <n v="1"/>
    <n v="1"/>
  </r>
  <r>
    <x v="4"/>
    <s v="CASH2023_R"/>
    <s v="Diebold-Opteva 868 ATM"/>
    <s v="1868RH102960"/>
    <s v="3530"/>
    <s v="Miskolc"/>
    <s v="Széchenyi u. 88."/>
    <s v="ok"/>
    <n v="2"/>
    <n v="2"/>
    <x v="2"/>
    <n v="1"/>
    <n v="1"/>
    <n v="1"/>
  </r>
  <r>
    <x v="4"/>
    <s v="CASH2024_R"/>
    <s v="Diebold-Opteva 868 ATM"/>
    <s v="1868RH102961"/>
    <s v="7100"/>
    <s v="Szekszárd"/>
    <s v="Széchenyi u. 18-20."/>
    <s v="ok"/>
    <n v="2"/>
    <n v="2"/>
    <x v="7"/>
    <n v="1"/>
    <n v="1"/>
    <n v="1"/>
  </r>
  <r>
    <x v="4"/>
    <s v="CASH2025_R"/>
    <s v="Diebold-Opteva 868 ATM"/>
    <s v="1868RH102963"/>
    <s v="4400"/>
    <s v="Nyíregyháza"/>
    <s v="Luther u. 3."/>
    <s v="ok"/>
    <n v="2"/>
    <n v="2"/>
    <x v="1"/>
    <n v="1"/>
    <n v="1"/>
    <n v="1"/>
  </r>
  <r>
    <x v="4"/>
    <s v="CASH2026_R"/>
    <s v="Diebold-Opteva 868 ATM"/>
    <s v="1868RH102964"/>
    <s v="8360"/>
    <s v="Keszthely"/>
    <s v="Fő tér 6-8."/>
    <s v="ok"/>
    <n v="2"/>
    <n v="2"/>
    <x v="9"/>
    <n v="1"/>
    <n v="1"/>
    <n v="1"/>
  </r>
  <r>
    <x v="4"/>
    <s v="CASH2027"/>
    <s v="Diebold-Opteva 828 FL Cash Recycler"/>
    <s v="1828FH101972"/>
    <s v="5040"/>
    <s v="Lajosmizse"/>
    <s v="Szabadság tér 10."/>
    <s v="ok"/>
    <n v="2"/>
    <n v="2"/>
    <x v="15"/>
    <n v="1"/>
    <n v="1"/>
    <n v="1"/>
  </r>
  <r>
    <x v="4"/>
    <s v="CASH2028"/>
    <s v="Diebold-Opteva 868 ATM"/>
    <s v="1868RH102965"/>
    <s v="1024"/>
    <s v="Budapest"/>
    <s v="Lövőház u. 2-6."/>
    <s v="ok"/>
    <n v="2"/>
    <n v="2"/>
    <x v="0"/>
    <n v="1"/>
    <n v="1"/>
    <n v="1"/>
  </r>
  <r>
    <x v="4"/>
    <s v="CASH2029_R"/>
    <s v="Diebold-Opteva 868 ATM"/>
    <s v="1868RH103311"/>
    <s v="1119"/>
    <s v="Budapest"/>
    <s v="Fehérvári út 79."/>
    <s v="ok"/>
    <n v="2"/>
    <n v="2"/>
    <x v="17"/>
    <n v="1"/>
    <n v="1"/>
    <n v="1"/>
  </r>
  <r>
    <x v="4"/>
    <s v="CASH2030_R"/>
    <s v="Diebold-Opteva 868 ATM"/>
    <s v="1868RH103302"/>
    <s v="1193"/>
    <s v="Budapest"/>
    <s v="Üllői út 234."/>
    <s v="ok"/>
    <n v="2"/>
    <n v="2"/>
    <x v="10"/>
    <n v="1"/>
    <n v="1"/>
    <n v="1"/>
  </r>
  <r>
    <x v="4"/>
    <s v="CASH2031_R"/>
    <s v="Diebold-Opteva 868 ATM"/>
    <s v="1868RH103303"/>
    <s v="2600"/>
    <s v="Vác"/>
    <s v="Széchenyi u. 34."/>
    <s v="ok"/>
    <n v="2"/>
    <n v="2"/>
    <x v="6"/>
    <n v="1"/>
    <n v="1"/>
    <n v="1"/>
  </r>
  <r>
    <x v="4"/>
    <s v="CASH2034_R"/>
    <s v="Diebold-Opteva 868 ATM"/>
    <s v="1868RH103304"/>
    <s v="5000"/>
    <s v="Szolnok"/>
    <s v="Kossuth L. u. 18."/>
    <s v="ok"/>
    <n v="2"/>
    <n v="2"/>
    <x v="11"/>
    <n v="1"/>
    <n v="1"/>
    <n v="1"/>
  </r>
  <r>
    <x v="4"/>
    <s v="CASH2035_R"/>
    <s v="Diebold-Opteva 868 ATM"/>
    <s v="1868RH103305"/>
    <s v="2400"/>
    <s v="Dunaújváros"/>
    <s v="Vasmű u.39."/>
    <s v="ok"/>
    <n v="2"/>
    <n v="2"/>
    <x v="7"/>
    <n v="1"/>
    <n v="1"/>
    <n v="1"/>
  </r>
  <r>
    <x v="4"/>
    <s v="CASH2037_R"/>
    <s v="Diebold-Opteva 868 ATM"/>
    <s v="1868RH103306"/>
    <s v="3100"/>
    <s v="Salgótarján"/>
    <s v="Fő tér 4."/>
    <s v="ok"/>
    <n v="2"/>
    <n v="2"/>
    <x v="6"/>
    <n v="1"/>
    <n v="1"/>
    <n v="1"/>
  </r>
  <r>
    <x v="4"/>
    <s v="CASH2038_R"/>
    <s v="Diebold-Opteva 868 ATM"/>
    <s v="1868RH103307"/>
    <s v="6500"/>
    <s v="Baja"/>
    <s v="Szentháromság tér 8-10."/>
    <s v="ok"/>
    <n v="2"/>
    <n v="2"/>
    <x v="12"/>
    <n v="1"/>
    <n v="1"/>
    <n v="1"/>
  </r>
  <r>
    <x v="4"/>
    <s v="CASH2039_R"/>
    <s v="Diebold-Opteva 868 ATM"/>
    <s v="1868RH103308"/>
    <s v="3600"/>
    <s v="Ózd"/>
    <s v="Vasvári u. 48."/>
    <s v="ok"/>
    <n v="2"/>
    <n v="2"/>
    <x v="2"/>
    <n v="1"/>
    <n v="1"/>
    <n v="1"/>
  </r>
  <r>
    <x v="4"/>
    <s v="CASH2040_R"/>
    <s v="Diebold-Opteva 868 ATM"/>
    <s v="1868RH103309"/>
    <s v="9400"/>
    <s v="Sopron"/>
    <s v="Várkerület 41."/>
    <s v="ok"/>
    <n v="2"/>
    <n v="2"/>
    <x v="8"/>
    <n v="1"/>
    <n v="1"/>
    <n v="1"/>
  </r>
  <r>
    <x v="4"/>
    <s v="CASH2041"/>
    <s v="Diebold-Opteva 868 ATM"/>
    <s v="1868RH103310"/>
    <s v="8500"/>
    <s v="Pápa"/>
    <s v="Rákóczi Ferenc u. 2."/>
    <s v="ok"/>
    <n v="2"/>
    <n v="2"/>
    <x v="8"/>
    <n v="1"/>
    <n v="1"/>
    <n v="1"/>
  </r>
  <r>
    <x v="4"/>
    <s v="CASH2042_R"/>
    <s v="Diebold-Opteva 868 ATM"/>
    <s v="1868RH101219"/>
    <s v="2500"/>
    <s v="Esztergom"/>
    <s v="Rákóczi tér 1-3."/>
    <s v="ok"/>
    <n v="2"/>
    <n v="2"/>
    <x v="14"/>
    <n v="1"/>
    <n v="1"/>
    <n v="1"/>
  </r>
  <r>
    <x v="4"/>
    <s v="CASH2044"/>
    <s v="Diebold-Opteva 868 ATM"/>
    <s v="1868RH104503"/>
    <s v="5900"/>
    <s v="Orosháza"/>
    <s v="Rákóczi u. 5."/>
    <s v="ok"/>
    <n v="2"/>
    <n v="2"/>
    <x v="3"/>
    <e v="#N/A"/>
    <n v="0"/>
    <n v="2"/>
  </r>
  <r>
    <x v="4"/>
    <s v="CASH2045_R"/>
    <s v="Diebold-Opteva 868 ATM"/>
    <s v="1868RH104504"/>
    <s v="1033"/>
    <s v="Budapest"/>
    <s v="Flórián tér 1."/>
    <s v="ok"/>
    <n v="2"/>
    <n v="2"/>
    <x v="0"/>
    <n v="1"/>
    <n v="1"/>
    <n v="1"/>
  </r>
  <r>
    <x v="4"/>
    <s v="CASH2046"/>
    <s v="Diebold-Opteva 868 ATM"/>
    <s v="1868RH104502"/>
    <s v="6230"/>
    <s v="Soltvadkert"/>
    <s v="Kossuth u. 21."/>
    <s v="ok"/>
    <n v="2"/>
    <n v="2"/>
    <x v="7"/>
    <n v="1"/>
    <n v="1"/>
    <n v="1"/>
  </r>
  <r>
    <x v="4"/>
    <s v="CASH2047"/>
    <s v="Diebold-Opteva 868 ATM"/>
    <s v="1868RH107577"/>
    <s v="2060"/>
    <s v="Bicske"/>
    <s v="Szent István út 2."/>
    <s v="ok"/>
    <n v="2"/>
    <n v="2"/>
    <x v="19"/>
    <n v="1"/>
    <n v="1"/>
    <n v="1"/>
  </r>
  <r>
    <x v="4"/>
    <s v="CASH2048_R"/>
    <s v="Diebold-Opteva 868 ATM"/>
    <s v="1868RH104511"/>
    <s v="8600"/>
    <s v="Siófok"/>
    <s v="Fő tér 8."/>
    <s v="ok"/>
    <n v="2"/>
    <n v="2"/>
    <x v="4"/>
    <n v="1"/>
    <n v="1"/>
    <n v="1"/>
  </r>
  <r>
    <x v="4"/>
    <s v="CASH2049_R"/>
    <s v="Diebold-Opteva 868 ATM"/>
    <s v="1868RH104514"/>
    <s v="6000"/>
    <s v="Kecskemét"/>
    <s v="Nagykőrösi út 9/a."/>
    <s v="ok"/>
    <n v="2"/>
    <n v="2"/>
    <x v="11"/>
    <n v="1"/>
    <n v="1"/>
    <n v="1"/>
  </r>
  <r>
    <x v="4"/>
    <s v="CASH2051_R"/>
    <s v="Diebold-Opteva 868 ATM"/>
    <s v="1868RH104510"/>
    <s v="8630"/>
    <s v="Balatonboglár"/>
    <s v="Sétáló u. 7."/>
    <s v="ok"/>
    <n v="2"/>
    <n v="2"/>
    <x v="9"/>
    <n v="1"/>
    <n v="1"/>
    <n v="1"/>
  </r>
  <r>
    <x v="4"/>
    <s v="CASH2053"/>
    <s v="Diebold-Opteva 868 ATM"/>
    <s v="1868RH104515"/>
    <s v="2051"/>
    <s v="Biatorbágy"/>
    <s v="Szabadság út 76."/>
    <s v="ok"/>
    <n v="2"/>
    <n v="2"/>
    <x v="19"/>
    <n v="1"/>
    <n v="1"/>
    <n v="1"/>
  </r>
  <r>
    <x v="4"/>
    <s v="CASH2055_R"/>
    <s v="Diebold-Opteva 868 ATM"/>
    <s v="1868RH104512"/>
    <s v="9024"/>
    <s v="Győr"/>
    <s v="Vasvári Pál út 1/a ( Pláza )"/>
    <s v="ok"/>
    <n v="2"/>
    <n v="2"/>
    <x v="19"/>
    <n v="1"/>
    <n v="1"/>
    <n v="1"/>
  </r>
  <r>
    <x v="4"/>
    <s v="CASH2056_R"/>
    <s v="Diebold-Opteva 868 ATM"/>
    <s v="1868RH104516"/>
    <s v="5700"/>
    <s v="Gyula"/>
    <s v="Városház u. 17-19."/>
    <s v="ok"/>
    <n v="2"/>
    <n v="2"/>
    <x v="3"/>
    <n v="1"/>
    <n v="1"/>
    <n v="1"/>
  </r>
  <r>
    <x v="4"/>
    <s v="CASH2057"/>
    <s v="Diebold-Opteva 868 ATM"/>
    <s v="1868RH107578"/>
    <s v="8220"/>
    <s v="Balatonalmádi"/>
    <s v="Városház u. 5."/>
    <s v="ok"/>
    <n v="2"/>
    <n v="2"/>
    <x v="4"/>
    <n v="1"/>
    <n v="1"/>
    <n v="1"/>
  </r>
  <r>
    <x v="4"/>
    <s v="CASH2060"/>
    <s v="Diebold-Opteva 868 ATM"/>
    <s v="1868RH104513"/>
    <s v="9021"/>
    <s v="Győr"/>
    <s v="Szent István u. 13."/>
    <s v="ok"/>
    <n v="2"/>
    <n v="2"/>
    <x v="19"/>
    <n v="1"/>
    <n v="1"/>
    <n v="1"/>
  </r>
  <r>
    <x v="4"/>
    <s v="CASH2062"/>
    <s v="Diebold-Opteva 868 ATM"/>
    <s v="1868RH105286"/>
    <s v="4026"/>
    <s v="Debrecen"/>
    <s v="Kálvin tér 8."/>
    <s v="ok"/>
    <n v="2"/>
    <n v="2"/>
    <x v="16"/>
    <n v="1"/>
    <n v="1"/>
    <n v="1"/>
  </r>
  <r>
    <x v="4"/>
    <s v="CASH2063_R"/>
    <s v="Diebold-Opteva 868 ATM"/>
    <s v="1868RH105287"/>
    <s v="2700"/>
    <s v="Cegléd"/>
    <s v="Szabadság tér 1."/>
    <s v="ok"/>
    <n v="2"/>
    <n v="2"/>
    <x v="6"/>
    <n v="1"/>
    <n v="1"/>
    <n v="1"/>
  </r>
  <r>
    <x v="4"/>
    <s v="CASH2064_R"/>
    <s v="Diebold-Opteva 868 ATM"/>
    <s v="1868RH107758"/>
    <s v="7090"/>
    <s v="Tamási"/>
    <s v="Garai u. 1."/>
    <s v="ok"/>
    <n v="2"/>
    <n v="2"/>
    <x v="4"/>
    <n v="1"/>
    <n v="1"/>
    <n v="1"/>
  </r>
  <r>
    <x v="4"/>
    <s v="CASH2065_R"/>
    <s v="Diebold-Opteva 868 ATM"/>
    <s v="1868RH105306"/>
    <s v="2800"/>
    <s v="Tatabánya"/>
    <s v="Szent Borbála tér 2."/>
    <s v="ok"/>
    <n v="2"/>
    <n v="2"/>
    <x v="19"/>
    <n v="1"/>
    <n v="1"/>
    <n v="1"/>
  </r>
  <r>
    <x v="4"/>
    <s v="CASH2067"/>
    <s v="Diebold-Opteva 868 ATM"/>
    <s v="1868RH105288"/>
    <s v="1051"/>
    <s v="Budapest"/>
    <s v="Arany János u. 20."/>
    <s v="ok"/>
    <n v="2"/>
    <n v="2"/>
    <x v="13"/>
    <e v="#N/A"/>
    <n v="0"/>
    <n v="2"/>
  </r>
  <r>
    <x v="4"/>
    <s v="CASH2068_R"/>
    <s v="Diebold-Opteva 868 ATM"/>
    <s v="1868RH105305"/>
    <s v="1211"/>
    <s v="Budapest"/>
    <s v="Kossuth L. u. 97."/>
    <s v="ok"/>
    <n v="2"/>
    <n v="2"/>
    <x v="15"/>
    <n v="1"/>
    <n v="1"/>
    <n v="1"/>
  </r>
  <r>
    <x v="4"/>
    <s v="CASH2070"/>
    <s v="Diebold-Opteva 868 ATM"/>
    <s v="1868RH105289"/>
    <s v="6720"/>
    <s v="Szeged"/>
    <s v="Klauzál tér 5."/>
    <s v="ok"/>
    <n v="2"/>
    <n v="2"/>
    <x v="3"/>
    <n v="1"/>
    <n v="1"/>
    <n v="1"/>
  </r>
  <r>
    <x v="4"/>
    <s v="CASH2071_R"/>
    <s v="Diebold-Opteva 868 ATM"/>
    <s v="1868RH105290"/>
    <s v="4600"/>
    <s v="Kisvárda"/>
    <s v="Somogyi Rezső u. 11."/>
    <s v="ok"/>
    <n v="2"/>
    <n v="2"/>
    <x v="1"/>
    <n v="1"/>
    <n v="1"/>
    <n v="1"/>
  </r>
  <r>
    <x v="4"/>
    <s v="CASH2073"/>
    <s v="Diebold-Opteva 868 ATM"/>
    <s v="1868RH105308"/>
    <s v="4200"/>
    <s v="Hajdúszoboszló"/>
    <s v="Szilfákalja u. 10-12."/>
    <s v="ok"/>
    <n v="2"/>
    <n v="2"/>
    <x v="16"/>
    <n v="1"/>
    <n v="1"/>
    <n v="1"/>
  </r>
  <r>
    <x v="4"/>
    <s v="CASH2075_R"/>
    <s v="Diebold-Opteva 868 ATM"/>
    <s v="1868RH105307"/>
    <s v="8800"/>
    <s v="Nagykanizsa"/>
    <s v="Fő u. 2."/>
    <s v="ok"/>
    <n v="2"/>
    <n v="2"/>
    <x v="9"/>
    <n v="1"/>
    <n v="1"/>
    <n v="1"/>
  </r>
  <r>
    <x v="4"/>
    <s v="CASH2076_R"/>
    <s v="Diebold-Opteva 868 ATM"/>
    <s v="1868RH106048"/>
    <s v="6400"/>
    <s v="Kiskunhalas"/>
    <s v="Sétáló u. 1."/>
    <s v="ok"/>
    <n v="2"/>
    <n v="2"/>
    <x v="7"/>
    <n v="1"/>
    <n v="1"/>
    <n v="1"/>
  </r>
  <r>
    <x v="4"/>
    <s v="CASH2077_R"/>
    <s v="Diebold-Opteva 868 ATM"/>
    <s v="1868RH106049"/>
    <s v="4700"/>
    <s v="Mátészalka"/>
    <s v="Kálvin tér 1."/>
    <s v="ok"/>
    <n v="2"/>
    <n v="2"/>
    <x v="1"/>
    <n v="1"/>
    <n v="1"/>
    <n v="1"/>
  </r>
  <r>
    <x v="4"/>
    <s v="CASH2079"/>
    <s v="Diebold-Opteva 868 ATM"/>
    <s v="1868RH106109"/>
    <s v="7200"/>
    <s v="Dombóvár"/>
    <s v="Hunyadi tér 12."/>
    <s v="ok"/>
    <n v="2"/>
    <n v="2"/>
    <x v="12"/>
    <n v="1"/>
    <n v="1"/>
    <n v="1"/>
  </r>
  <r>
    <x v="4"/>
    <s v="CASH2083"/>
    <s v="Diebold-Opteva 868 ATM"/>
    <s v="1868RH106110"/>
    <s v="2510"/>
    <s v="Dorog"/>
    <s v="Bécsi u.45."/>
    <s v="ok"/>
    <n v="2"/>
    <n v="2"/>
    <x v="14"/>
    <e v="#N/A"/>
    <n v="0"/>
    <n v="2"/>
  </r>
  <r>
    <x v="4"/>
    <s v="CASH2085"/>
    <s v="Diebold-Opteva 868 ATM"/>
    <s v="1868RH106112"/>
    <s v="6000"/>
    <s v="Kecskemét"/>
    <s v="Dobó krt. 9"/>
    <s v="ok"/>
    <n v="2"/>
    <n v="2"/>
    <x v="11"/>
    <n v="1"/>
    <n v="1"/>
    <n v="1"/>
  </r>
  <r>
    <x v="4"/>
    <s v="CASH2089_R"/>
    <s v="Diebold-Opteva 868 ATM"/>
    <s v="1868RH106113"/>
    <s v="8100"/>
    <s v="Várpalota"/>
    <s v="Táncsics u.5."/>
    <s v="ok"/>
    <n v="2"/>
    <n v="2"/>
    <x v="4"/>
    <n v="1"/>
    <n v="1"/>
    <n v="1"/>
  </r>
  <r>
    <x v="4"/>
    <s v="CASH2093"/>
    <s v="Diebold-Opteva 868 ATM"/>
    <s v="1868RH106114"/>
    <s v="9900"/>
    <s v="Körmend"/>
    <s v="Vida u. 1/a."/>
    <s v="ok"/>
    <n v="2"/>
    <n v="2"/>
    <x v="8"/>
    <n v="1"/>
    <n v="1"/>
    <n v="1"/>
  </r>
  <r>
    <x v="4"/>
    <s v="CASH2095_R"/>
    <s v="Diebold-Opteva 868 ATM"/>
    <s v="1868RH106115"/>
    <s v="4100"/>
    <s v="Berettyóújfalu"/>
    <s v="Dózsa György u. 15-17."/>
    <s v="ok"/>
    <n v="2"/>
    <n v="2"/>
    <x v="16"/>
    <n v="1"/>
    <n v="1"/>
    <n v="1"/>
  </r>
  <r>
    <x v="4"/>
    <s v="CASH2103_R"/>
    <s v="Diebold-Opteva 868 ATM"/>
    <s v="1868RH106116"/>
    <s v="1083"/>
    <s v="Budapest"/>
    <s v="Kálvin tér 3."/>
    <s v="ok"/>
    <n v="2"/>
    <n v="2"/>
    <x v="13"/>
    <n v="1"/>
    <n v="1"/>
    <n v="1"/>
  </r>
  <r>
    <x v="4"/>
    <s v="CASH2107_R"/>
    <s v="Diebold-Opteva 868 ATM"/>
    <s v="1868RH106121"/>
    <s v="1185"/>
    <s v="Budapest"/>
    <s v="Ülloi út 661."/>
    <s v="ok"/>
    <n v="2"/>
    <n v="2"/>
    <x v="15"/>
    <n v="1"/>
    <n v="1"/>
    <n v="1"/>
  </r>
  <r>
    <x v="4"/>
    <s v="CASH2109"/>
    <s v="Diebold-Opteva 868 ATM"/>
    <s v="1868RH107581"/>
    <s v="3525"/>
    <s v="Miskolc"/>
    <s v="Széchenyi u. 3-9."/>
    <s v="ok"/>
    <n v="2"/>
    <n v="2"/>
    <x v="2"/>
    <n v="1"/>
    <n v="1"/>
    <n v="1"/>
  </r>
  <r>
    <x v="4"/>
    <s v="CASH2111_R"/>
    <s v="Diebold-Opteva 868 ATM"/>
    <s v="1868RH106119"/>
    <s v="3000"/>
    <s v="Hatvan"/>
    <s v="Grassalkovich u. 3-5."/>
    <s v="ok"/>
    <n v="2"/>
    <n v="2"/>
    <x v="10"/>
    <n v="1"/>
    <n v="1"/>
    <n v="1"/>
  </r>
  <r>
    <x v="4"/>
    <s v="CASH2113"/>
    <s v="Diebold-Opteva 868 ATM"/>
    <s v="1868RH106120"/>
    <s v="1133"/>
    <s v="Budapest"/>
    <s v="Váci út 76."/>
    <s v="ok"/>
    <n v="2"/>
    <n v="2"/>
    <x v="14"/>
    <n v="1"/>
    <n v="1"/>
    <n v="1"/>
  </r>
  <r>
    <x v="4"/>
    <s v="CASH2115"/>
    <s v="Diebold-Opteva 868 ATM"/>
    <s v="1868RH107579"/>
    <s v="3950"/>
    <s v="Sárospatak"/>
    <s v="Hild tér 3."/>
    <s v="ok"/>
    <n v="2"/>
    <n v="2"/>
    <x v="1"/>
    <n v="1"/>
    <n v="1"/>
    <n v="1"/>
  </r>
  <r>
    <x v="4"/>
    <s v="CASH2117_R"/>
    <s v="Diebold-Opteva 868 ATM"/>
    <s v="1868RH106379"/>
    <s v="2340"/>
    <s v="Szigetszentmiklós"/>
    <s v="Ifjúság útja 16."/>
    <s v="ok"/>
    <n v="2"/>
    <n v="2"/>
    <x v="15"/>
    <n v="1"/>
    <n v="1"/>
    <n v="1"/>
  </r>
  <r>
    <x v="4"/>
    <s v="CASH2127_R"/>
    <s v="Diebold-Opteva 868 ATM"/>
    <s v="1868RH106380"/>
    <s v="6900"/>
    <s v="Makó"/>
    <s v="Széchenyi tér 13-15."/>
    <s v="ok"/>
    <n v="2"/>
    <n v="2"/>
    <x v="3"/>
    <n v="1"/>
    <n v="1"/>
    <n v="1"/>
  </r>
  <r>
    <x v="4"/>
    <s v="CASH2129_R"/>
    <s v="Diebold-Opteva 868 ATM"/>
    <s v="1868RH106381"/>
    <s v="4800"/>
    <s v="Vásárosnamény"/>
    <s v="Szabadság tér 32."/>
    <s v="ok"/>
    <n v="2"/>
    <n v="2"/>
    <x v="1"/>
    <n v="1"/>
    <n v="1"/>
    <n v="1"/>
  </r>
  <r>
    <x v="4"/>
    <s v="CASH2130"/>
    <s v="Diebold-Opteva 868 ATM"/>
    <s v="1868RH106382"/>
    <s v="2750"/>
    <s v="Nagykőrös"/>
    <s v="Deák tér 1."/>
    <s v="ok"/>
    <n v="2"/>
    <n v="2"/>
    <x v="11"/>
    <e v="#N/A"/>
    <n v="0"/>
    <n v="2"/>
  </r>
  <r>
    <x v="4"/>
    <s v="CASH2131_R"/>
    <s v="Diebold-Opteva 868 ATM"/>
    <s v="1868RH106383"/>
    <s v="8060"/>
    <s v="Mór"/>
    <s v="Bajcsy-Zsilinszky u.10."/>
    <s v="ok"/>
    <n v="2"/>
    <n v="2"/>
    <x v="4"/>
    <e v="#N/A"/>
    <n v="0"/>
    <n v="2"/>
  </r>
  <r>
    <x v="4"/>
    <s v="CASH2133"/>
    <s v="Diebold-Opteva 868 ATM"/>
    <s v="1868RH106384"/>
    <s v="3300"/>
    <s v="Eger"/>
    <s v="Széchenyi u. 4."/>
    <s v="ok"/>
    <n v="2"/>
    <n v="2"/>
    <x v="2"/>
    <n v="1"/>
    <n v="1"/>
    <n v="1"/>
  </r>
  <r>
    <x v="4"/>
    <s v="CASH2135_R"/>
    <s v="Diebold-Opteva 868 ATM"/>
    <s v="1868RH106385"/>
    <s v="6101"/>
    <s v="Kiskunfélegyháza"/>
    <s v="Petőfi tér 2."/>
    <s v="ok"/>
    <n v="2"/>
    <n v="2"/>
    <x v="11"/>
    <n v="1"/>
    <n v="1"/>
    <n v="1"/>
  </r>
  <r>
    <x v="4"/>
    <s v="CASH2137_R"/>
    <s v="Diebold-Opteva 868 ATM"/>
    <s v="1868RH106387"/>
    <s v="9200"/>
    <s v="Mosonmagyaróvár"/>
    <s v="Fő u. 26."/>
    <s v="ok"/>
    <n v="2"/>
    <n v="2"/>
    <x v="19"/>
    <e v="#N/A"/>
    <n v="0"/>
    <n v="2"/>
  </r>
  <r>
    <x v="4"/>
    <s v="CASH2145_R"/>
    <s v="Diebold-Opteva 868 ATM"/>
    <s v="1868RH106391"/>
    <s v="3200"/>
    <s v="Gyöngyös"/>
    <s v="Bugát Pál tér 6."/>
    <s v="ok"/>
    <n v="2"/>
    <n v="2"/>
    <x v="6"/>
    <n v="1"/>
    <n v="1"/>
    <n v="1"/>
  </r>
  <r>
    <x v="4"/>
    <s v="CASH2150_R"/>
    <s v="Diebold-Opteva 868 ATM"/>
    <s v="1868RH107818"/>
    <s v="5300"/>
    <s v="Karcag"/>
    <s v="Kossuth tér 2-3."/>
    <s v="ok"/>
    <n v="2"/>
    <n v="2"/>
    <x v="16"/>
    <n v="1"/>
    <n v="1"/>
    <n v="1"/>
  </r>
  <r>
    <x v="4"/>
    <s v="CASH2153_R"/>
    <s v="Diebold-Opteva 868 ATM"/>
    <s v="1868RH107813"/>
    <s v="1061"/>
    <s v="Budapest"/>
    <s v="Andrássy út 49."/>
    <s v="ok"/>
    <n v="2"/>
    <n v="2"/>
    <x v="13"/>
    <n v="1"/>
    <n v="1"/>
    <n v="1"/>
  </r>
  <r>
    <x v="4"/>
    <s v="CASH2156_R"/>
    <s v="Diebold-Opteva 868 ATM"/>
    <s v="1868RH106388"/>
    <s v="2840"/>
    <s v="Oroszlány"/>
    <s v="Rákóczi út 80."/>
    <s v="ok"/>
    <n v="2"/>
    <n v="2"/>
    <x v="19"/>
    <n v="1"/>
    <n v="1"/>
    <n v="1"/>
  </r>
  <r>
    <x v="4"/>
    <s v="CASH2157"/>
    <s v="Diebold-Opteva 868 ATM"/>
    <s v="1868RH106389"/>
    <s v="1024"/>
    <s v="Budapest"/>
    <s v="Margit krt. 5/a."/>
    <s v="ok"/>
    <n v="2"/>
    <n v="2"/>
    <x v="0"/>
    <n v="1"/>
    <n v="1"/>
    <n v="1"/>
  </r>
  <r>
    <x v="4"/>
    <s v="CASH2158"/>
    <s v="Diebold-Opteva 868 ATM"/>
    <s v="1868RH106390"/>
    <s v="1085"/>
    <s v="Budapest"/>
    <s v="József krt. 10-12."/>
    <s v="ok"/>
    <n v="2"/>
    <n v="2"/>
    <x v="13"/>
    <n v="1"/>
    <n v="1"/>
    <n v="1"/>
  </r>
  <r>
    <x v="4"/>
    <s v="CASH2159_R"/>
    <s v="Diebold-Opteva 868 ATM"/>
    <s v="1868RH106392"/>
    <s v="1055"/>
    <s v="Budapest"/>
    <s v="Nyugati tér 9."/>
    <s v="ok"/>
    <n v="2"/>
    <n v="2"/>
    <x v="13"/>
    <n v="1"/>
    <n v="1"/>
    <n v="1"/>
  </r>
  <r>
    <x v="4"/>
    <s v="CASH2160"/>
    <s v="Diebold-Opteva 868 ATM"/>
    <s v="1868RH106386"/>
    <s v="1097"/>
    <s v="Budapest"/>
    <s v="Könyves Kálmán krt. 12-14."/>
    <s v="ok"/>
    <n v="2"/>
    <n v="2"/>
    <x v="17"/>
    <n v="1"/>
    <n v="1"/>
    <n v="1"/>
  </r>
  <r>
    <x v="4"/>
    <s v="CASH2177"/>
    <s v="Diebold-Opteva 868 ATM"/>
    <s v="1868RH107814"/>
    <s v="2013"/>
    <s v="Pomáz"/>
    <s v="Huszár u. 25."/>
    <s v="ok"/>
    <n v="2"/>
    <n v="2"/>
    <x v="14"/>
    <n v="1"/>
    <n v="1"/>
    <n v="1"/>
  </r>
  <r>
    <x v="4"/>
    <s v="CASH2180"/>
    <s v="Diebold-Opteva 868 ATM"/>
    <s v="1868RH107811"/>
    <s v="5430"/>
    <s v="Tiszaföldvár"/>
    <s v="Kossuth u. 132."/>
    <s v="ok"/>
    <n v="2"/>
    <n v="2"/>
    <x v="11"/>
    <n v="1"/>
    <n v="1"/>
    <n v="1"/>
  </r>
  <r>
    <x v="4"/>
    <s v="CASH2181"/>
    <s v="Diebold-Opteva 868 ATM"/>
    <s v="1868RH107817"/>
    <s v="5200"/>
    <s v="Törökszentmiklós"/>
    <s v="Kossuth u. 125."/>
    <s v="ok"/>
    <n v="2"/>
    <n v="2"/>
    <x v="11"/>
    <n v="1"/>
    <n v="1"/>
    <n v="1"/>
  </r>
  <r>
    <x v="4"/>
    <s v="CASH2187"/>
    <s v="Diebold-Opteva 868 ATM"/>
    <s v="1868RH107815"/>
    <s v="9330"/>
    <s v="Kapuvár"/>
    <s v="Fő tér 13."/>
    <s v="ok"/>
    <n v="2"/>
    <n v="2"/>
    <x v="8"/>
    <n v="1"/>
    <n v="1"/>
    <n v="1"/>
  </r>
  <r>
    <x v="4"/>
    <s v="CASH2190_R"/>
    <s v="Diebold-Opteva 868 ATM"/>
    <s v="1868RH107812"/>
    <s v="7150"/>
    <s v="Bonyhád"/>
    <s v="Perczel Mór u. 20."/>
    <s v="ok"/>
    <n v="2"/>
    <n v="2"/>
    <x v="12"/>
    <n v="1"/>
    <n v="1"/>
    <n v="1"/>
  </r>
  <r>
    <x v="4"/>
    <s v="CASH2202"/>
    <s v="Diebold-Opteva 868 ATM"/>
    <s v="1868RH107234"/>
    <s v="1087"/>
    <s v="Budapest"/>
    <s v="Baross tér 2."/>
    <s v="ok"/>
    <n v="2"/>
    <n v="2"/>
    <x v="13"/>
    <n v="1"/>
    <n v="1"/>
    <n v="1"/>
  </r>
  <r>
    <x v="4"/>
    <s v="CASH2203_R"/>
    <s v="Diebold-Opteva 868 ATM"/>
    <s v="1868RH107580"/>
    <s v="6600"/>
    <s v="Szentes"/>
    <s v="Kossuth L. u. 13."/>
    <s v="ok"/>
    <n v="2"/>
    <n v="2"/>
    <x v="11"/>
    <n v="1"/>
    <n v="1"/>
    <n v="1"/>
  </r>
  <r>
    <x v="4"/>
    <s v="CASH2205"/>
    <s v="Diebold-Opteva 868 ATM"/>
    <s v="1868RH106393"/>
    <s v="8380"/>
    <s v="Hévíz"/>
    <s v="Rákóczi út 16."/>
    <s v="ok"/>
    <n v="2"/>
    <n v="2"/>
    <x v="9"/>
    <e v="#N/A"/>
    <n v="0"/>
    <n v="2"/>
  </r>
  <r>
    <x v="4"/>
    <s v="CASH2206_R"/>
    <s v="Diebold-Opteva 868 ATM"/>
    <s v="1868RH107235"/>
    <s v="1095"/>
    <s v="Budapest"/>
    <s v="Lechner Ödön fasor 9."/>
    <s v="ok"/>
    <n v="2"/>
    <n v="2"/>
    <x v="17"/>
    <n v="1"/>
    <n v="1"/>
    <n v="1"/>
  </r>
  <r>
    <x v="4"/>
    <s v="CASH2208"/>
    <s v="Diebold-Opteva 868 ATM"/>
    <s v="1868RH107232"/>
    <s v="8000"/>
    <s v="Székesfehérvár"/>
    <s v="Dózsa Gy. u.5."/>
    <s v="ok"/>
    <n v="2"/>
    <n v="2"/>
    <x v="4"/>
    <n v="1"/>
    <n v="1"/>
    <n v="1"/>
  </r>
  <r>
    <x v="4"/>
    <s v="CASH2209"/>
    <s v="Diebold-Opteva 868 ATM"/>
    <s v="1868RH107233"/>
    <s v="7570"/>
    <s v="Barcs"/>
    <s v="Bajcsy-Zsilinszky u. 73."/>
    <s v="ok"/>
    <n v="2"/>
    <n v="2"/>
    <x v="12"/>
    <n v="1"/>
    <n v="1"/>
    <n v="1"/>
  </r>
  <r>
    <x v="4"/>
    <s v="CASH2210"/>
    <s v="Diebold-Opteva 868 ATM"/>
    <s v="1868RH107238"/>
    <s v="1135"/>
    <s v="Budapest"/>
    <s v="Béke tér 9."/>
    <s v="ok"/>
    <n v="2"/>
    <n v="2"/>
    <x v="14"/>
    <e v="#N/A"/>
    <n v="0"/>
    <n v="2"/>
  </r>
  <r>
    <x v="4"/>
    <s v="CASH2211"/>
    <s v="Diebold-Opteva 868 ATM"/>
    <s v="1868RH107237"/>
    <s v="2730"/>
    <s v="Dabas"/>
    <s v="Szent István tér 2."/>
    <s v="ok"/>
    <n v="2"/>
    <n v="2"/>
    <x v="15"/>
    <n v="1"/>
    <n v="1"/>
    <n v="1"/>
  </r>
  <r>
    <x v="4"/>
    <s v="CASH2213_R"/>
    <s v="Diebold-Opteva 868 ATM"/>
    <s v="1868RH107236"/>
    <s v="5540"/>
    <s v="Szarvas"/>
    <s v="Szabadság u. 30."/>
    <s v="ok"/>
    <n v="2"/>
    <n v="2"/>
    <x v="11"/>
    <n v="1"/>
    <n v="1"/>
    <n v="1"/>
  </r>
  <r>
    <x v="4"/>
    <s v="CASH2216_R"/>
    <s v="Diebold-Opteva 868 ATM"/>
    <s v="1868RH107816"/>
    <s v="7300"/>
    <s v="Komló"/>
    <s v="Városház tér 18."/>
    <s v="ok"/>
    <n v="2"/>
    <n v="2"/>
    <x v="12"/>
    <n v="1"/>
    <n v="1"/>
    <n v="1"/>
  </r>
  <r>
    <x v="4"/>
    <s v="CASH2218_R"/>
    <s v="Diebold-Opteva 868 ATM"/>
    <s v="1868RH107239"/>
    <s v="2112"/>
    <s v="Veresegyház"/>
    <s v="Fő u. 37."/>
    <s v="ok"/>
    <n v="2"/>
    <n v="2"/>
    <x v="6"/>
    <n v="1"/>
    <n v="1"/>
    <n v="1"/>
  </r>
  <r>
    <x v="4"/>
    <s v="CASH2220"/>
    <s v="Diebold-Opteva 868 ATM"/>
    <s v="1868RH107240"/>
    <s v="1122"/>
    <s v="Budapest"/>
    <s v="Magyar Jakobinusok tere 1."/>
    <s v="ok"/>
    <n v="2"/>
    <n v="2"/>
    <x v="0"/>
    <n v="1"/>
    <n v="1"/>
    <n v="1"/>
  </r>
  <r>
    <x v="4"/>
    <s v="CASH2221"/>
    <s v="Diebold-Opteva 868 ATM"/>
    <s v="1868RH107750"/>
    <s v="1082"/>
    <s v="Budapest"/>
    <s v="Futó u. 47-53."/>
    <s v="ok"/>
    <n v="2"/>
    <n v="2"/>
    <x v="13"/>
    <e v="#N/A"/>
    <n v="0"/>
    <n v="2"/>
  </r>
  <r>
    <x v="4"/>
    <s v="CASH2222"/>
    <s v="Diebold-Opteva 868 ATM"/>
    <s v="1868RH107241"/>
    <s v="1156"/>
    <s v="Budapest"/>
    <s v="Nyírpalota u. 40-46."/>
    <s v="ok"/>
    <n v="2"/>
    <n v="2"/>
    <x v="14"/>
    <n v="1"/>
    <n v="1"/>
    <n v="1"/>
  </r>
  <r>
    <x v="4"/>
    <s v="CASH2223_R"/>
    <s v="Diebold-Opteva 868 ATM"/>
    <s v="1868RH107819"/>
    <s v="1163"/>
    <s v="Budapest"/>
    <s v="Veres Péter út 105-107."/>
    <s v="ok"/>
    <n v="2"/>
    <n v="2"/>
    <x v="6"/>
    <n v="1"/>
    <n v="1"/>
    <n v="1"/>
  </r>
  <r>
    <x v="4"/>
    <s v="CASH2224_R"/>
    <s v="Diebold-Opteva 868 ATM"/>
    <s v="1868RH107242"/>
    <s v="7800"/>
    <s v="Siklós"/>
    <s v="Felszabadulás u. 42."/>
    <s v="ok"/>
    <n v="2"/>
    <n v="2"/>
    <x v="12"/>
    <n v="1"/>
    <n v="1"/>
    <n v="1"/>
  </r>
  <r>
    <x v="4"/>
    <s v="CASH2227_R"/>
    <s v="Diebold-Opteva 868 ATM"/>
    <s v="1868RH107243"/>
    <s v="3980"/>
    <s v="Sátoraljaújhely"/>
    <s v="Petőfi u. 3."/>
    <s v="ok"/>
    <n v="2"/>
    <n v="2"/>
    <x v="1"/>
    <n v="1"/>
    <n v="1"/>
    <n v="1"/>
  </r>
  <r>
    <x v="4"/>
    <s v="CASH2228_R"/>
    <s v="Diebold-Opteva 868 ATM"/>
    <s v="1868RH107751"/>
    <s v="7700"/>
    <s v="Mohács"/>
    <s v="Szentháromság u. 1-3."/>
    <s v="ok"/>
    <n v="2"/>
    <n v="2"/>
    <x v="12"/>
    <n v="1"/>
    <n v="1"/>
    <n v="1"/>
  </r>
  <r>
    <x v="4"/>
    <s v="CASH2230"/>
    <s v="Diebold-Opteva 868 ATM"/>
    <s v="1868RH107246"/>
    <s v="8400"/>
    <s v="Ajka"/>
    <s v="Szabadság tér 8."/>
    <s v="ok"/>
    <n v="2"/>
    <n v="2"/>
    <x v="4"/>
    <e v="#N/A"/>
    <n v="0"/>
    <n v="2"/>
  </r>
  <r>
    <x v="4"/>
    <s v="CASH2231"/>
    <s v="Diebold-Opteva 868 ATM"/>
    <s v="1868RH107752"/>
    <s v="7020"/>
    <s v="Dunaföldvár"/>
    <s v="Béke tér 13."/>
    <s v="ok"/>
    <n v="2"/>
    <n v="2"/>
    <x v="7"/>
    <n v="1"/>
    <n v="1"/>
    <n v="1"/>
  </r>
  <r>
    <x v="4"/>
    <s v="CASH2232_R"/>
    <s v="Diebold-Opteva 868 ATM"/>
    <s v="1868RH107247"/>
    <s v="2330"/>
    <s v="Dunaharaszti"/>
    <s v="Dózsa Gy. u. 47."/>
    <s v="ok"/>
    <n v="2"/>
    <n v="2"/>
    <x v="15"/>
    <n v="1"/>
    <n v="1"/>
    <n v="1"/>
  </r>
  <r>
    <x v="4"/>
    <s v="CASH2234"/>
    <s v="Diebold-Opteva 868 ATM"/>
    <s v="1868RH107245"/>
    <s v="1026"/>
    <s v="Budapest"/>
    <s v="Pázsit u. 2."/>
    <s v="ok"/>
    <n v="2"/>
    <n v="2"/>
    <x v="0"/>
    <n v="1"/>
    <n v="1"/>
    <n v="1"/>
  </r>
  <r>
    <x v="4"/>
    <s v="CASH2235"/>
    <s v="Diebold-Opteva 868 ATM"/>
    <s v="1868RH107753"/>
    <s v="5520"/>
    <s v="Szeghalom"/>
    <s v="Szabadság tér 2."/>
    <s v="ok"/>
    <n v="2"/>
    <n v="2"/>
    <x v="16"/>
    <n v="1"/>
    <n v="1"/>
    <n v="1"/>
  </r>
  <r>
    <x v="4"/>
    <s v="CASH2238_R"/>
    <s v="Diebold-Opteva 868 ATM"/>
    <s v="1868RH107754"/>
    <s v="6800"/>
    <s v="Hódmezővásárhely"/>
    <s v="Kossuth tér 5."/>
    <s v="ok"/>
    <n v="2"/>
    <n v="2"/>
    <x v="3"/>
    <n v="1"/>
    <n v="1"/>
    <n v="1"/>
  </r>
  <r>
    <x v="4"/>
    <s v="CASH2241"/>
    <s v="Diebold-Opteva 828 FL Cash Recycler"/>
    <s v="1828FH101960"/>
    <s v="7621"/>
    <s v="Pécs"/>
    <s v="Irgalmasok u. 2."/>
    <s v="ok"/>
    <n v="2"/>
    <n v="2"/>
    <x v="12"/>
    <n v="1"/>
    <n v="1"/>
    <n v="1"/>
  </r>
  <r>
    <x v="4"/>
    <s v="CASH2242"/>
    <s v="Diebold-Opteva 828 FL Cash Recycler"/>
    <s v="1828FH101959"/>
    <s v="3360"/>
    <s v="Heves"/>
    <s v="Fő u. 8."/>
    <s v="ok"/>
    <n v="2"/>
    <n v="2"/>
    <x v="6"/>
    <n v="1"/>
    <n v="1"/>
    <n v="1"/>
  </r>
  <r>
    <x v="4"/>
    <s v="CASH2243_R"/>
    <s v="Diebold-Opteva 868 ATM"/>
    <s v="1868RH107248"/>
    <s v="1102"/>
    <s v="Budapest"/>
    <s v="Liget tér 3."/>
    <s v="ok"/>
    <n v="2"/>
    <n v="2"/>
    <x v="17"/>
    <e v="#N/A"/>
    <n v="0"/>
    <n v="2"/>
  </r>
  <r>
    <x v="4"/>
    <s v="CASH2244"/>
    <s v="Diebold-Opteva 868 ATM"/>
    <s v="1868RH107249"/>
    <s v="9600"/>
    <s v="Sárvár"/>
    <s v="Batthyány u. 1."/>
    <s v="ok"/>
    <n v="2"/>
    <n v="2"/>
    <x v="8"/>
    <n v="1"/>
    <n v="1"/>
    <n v="1"/>
  </r>
  <r>
    <x v="4"/>
    <s v="CASH2245_R"/>
    <s v="Diebold-Opteva 868 ATM"/>
    <s v="1868RH107250"/>
    <s v="4900"/>
    <s v="Fehérgyarmat"/>
    <s v="Móricz Zs. u. 2."/>
    <s v="ok"/>
    <n v="2"/>
    <n v="2"/>
    <x v="1"/>
    <n v="1"/>
    <n v="1"/>
    <n v="1"/>
  </r>
  <r>
    <x v="4"/>
    <s v="CASH2246"/>
    <s v="Diebold-Opteva 868 ATM"/>
    <s v="1868RH107251"/>
    <s v="3700"/>
    <s v="Kazincbarcika"/>
    <s v="Egressy Béni u. 1/c fsz. 2."/>
    <s v="ok"/>
    <n v="2"/>
    <n v="2"/>
    <x v="2"/>
    <n v="1"/>
    <n v="1"/>
    <n v="1"/>
  </r>
  <r>
    <x v="4"/>
    <s v="CASH2251"/>
    <s v="Diebold-Opteva 828 FL Cash Recycler"/>
    <s v="1828FH101965"/>
    <s v="8960"/>
    <s v="Lenti"/>
    <s v="Kossuth u. 6."/>
    <s v="ok"/>
    <n v="2"/>
    <n v="2"/>
    <x v="9"/>
    <e v="#N/A"/>
    <n v="0"/>
    <n v="2"/>
  </r>
  <r>
    <x v="4"/>
    <s v="CASH2253"/>
    <s v="Diebold-Opteva 868 ATM"/>
    <s v="1868RH107756"/>
    <s v="1094"/>
    <s v="Budapest"/>
    <s v="Ferenc krt. 1."/>
    <s v="ok"/>
    <n v="2"/>
    <n v="2"/>
    <x v="17"/>
    <n v="1"/>
    <n v="1"/>
    <n v="1"/>
  </r>
  <r>
    <x v="4"/>
    <s v="CASH2256_R"/>
    <s v="Diebold-Opteva 868 ATM"/>
    <s v="1868RH107547"/>
    <s v="1146"/>
    <s v="Budapest"/>
    <s v="Ajtósi Dürer sor 10."/>
    <s v="ok"/>
    <n v="2"/>
    <n v="2"/>
    <x v="14"/>
    <e v="#N/A"/>
    <n v="0"/>
    <n v="2"/>
  </r>
  <r>
    <x v="4"/>
    <s v="CASH2264"/>
    <s v="Diebold-Opteva 868 ATM"/>
    <s v="1868RH107554"/>
    <s v="1138"/>
    <s v="Budapest"/>
    <s v="Váci út 178."/>
    <s v="ok"/>
    <n v="2"/>
    <n v="2"/>
    <x v="14"/>
    <n v="1"/>
    <n v="1"/>
    <n v="1"/>
  </r>
  <r>
    <x v="4"/>
    <s v="CASH2265_R"/>
    <s v="Diebold-Opteva 868 ATM"/>
    <s v="1868RH107548"/>
    <s v="8000"/>
    <s v="Székesfehérvár"/>
    <s v="Liszt Ferenc u. 11."/>
    <s v="ok"/>
    <n v="2"/>
    <n v="2"/>
    <x v="4"/>
    <n v="1"/>
    <n v="1"/>
    <n v="1"/>
  </r>
  <r>
    <x v="4"/>
    <s v="CASH2268"/>
    <s v="Diebold-Opteva 828 FL Cash Recycler"/>
    <s v="1828FH101961"/>
    <s v="8230"/>
    <s v="Balatonfüred"/>
    <s v="Kossuth Lajos u. 5."/>
    <s v="ok"/>
    <n v="2"/>
    <n v="2"/>
    <x v="4"/>
    <n v="1"/>
    <n v="1"/>
    <n v="1"/>
  </r>
  <r>
    <x v="4"/>
    <s v="CASH2270"/>
    <s v="Diebold-Opteva 868 ATM"/>
    <s v="1868RH107549"/>
    <s v="2151"/>
    <s v="Fót"/>
    <s v="Dózsa Gy. u. 18."/>
    <s v="ok"/>
    <n v="2"/>
    <n v="2"/>
    <x v="6"/>
    <n v="1"/>
    <n v="1"/>
    <n v="1"/>
  </r>
  <r>
    <x v="4"/>
    <s v="CASH2273_R"/>
    <s v="Diebold-Opteva 868 ATM"/>
    <s v="1868RH107550"/>
    <s v="2100"/>
    <s v="Gödöllő"/>
    <s v="Szabadság tér 6."/>
    <s v="ok"/>
    <n v="2"/>
    <n v="2"/>
    <x v="10"/>
    <n v="1"/>
    <n v="1"/>
    <n v="1"/>
  </r>
  <r>
    <x v="4"/>
    <s v="CASH2274_R"/>
    <s v="Diebold-Opteva 868 ATM"/>
    <s v="1868RH107551"/>
    <s v="8700"/>
    <s v="Marcali"/>
    <s v="Rákóczi u. 21."/>
    <s v="ok"/>
    <n v="2"/>
    <n v="2"/>
    <x v="9"/>
    <n v="1"/>
    <n v="1"/>
    <n v="1"/>
  </r>
  <r>
    <x v="4"/>
    <s v="CASH2275"/>
    <s v="Diebold-Opteva 868 ATM"/>
    <s v="1868RH107552"/>
    <s v="1075"/>
    <s v="Budapest"/>
    <s v="Károly krt. 17-19."/>
    <s v="ok"/>
    <n v="2"/>
    <n v="2"/>
    <x v="13"/>
    <e v="#N/A"/>
    <n v="0"/>
    <n v="2"/>
  </r>
  <r>
    <x v="4"/>
    <s v="CASH2277"/>
    <s v="Diebold-Opteva 868 ATM"/>
    <s v="1868RH107553"/>
    <s v="2890"/>
    <s v="Tata"/>
    <s v="Ady E. u. 3."/>
    <s v="ok"/>
    <n v="2"/>
    <n v="2"/>
    <x v="19"/>
    <n v="1"/>
    <n v="1"/>
    <n v="1"/>
  </r>
  <r>
    <x v="4"/>
    <s v="CASH2278"/>
    <s v="Diebold-Opteva 828 FL Cash Recycler"/>
    <s v="1828FH101846"/>
    <s v="5350"/>
    <s v="Tiszafüred"/>
    <s v="Örvényi út 1."/>
    <s v="ok"/>
    <n v="2"/>
    <n v="2"/>
    <x v="16"/>
    <n v="1"/>
    <n v="1"/>
    <n v="1"/>
  </r>
  <r>
    <x v="4"/>
    <s v="CASH2279"/>
    <s v="Diebold-Opteva 868 ATM"/>
    <s v="1868RH107572"/>
    <s v="2300"/>
    <s v="Ráckeve"/>
    <s v="Móricz Zs. u. 7."/>
    <s v="ok"/>
    <n v="2"/>
    <n v="2"/>
    <x v="15"/>
    <n v="1"/>
    <n v="1"/>
    <n v="1"/>
  </r>
  <r>
    <x v="4"/>
    <s v="CASH2281"/>
    <s v="Diebold-Opteva 868 ATM"/>
    <s v="1868RH107555"/>
    <s v="3400"/>
    <s v="Mezőkövesd"/>
    <s v="Mátyás király u. 91-93."/>
    <s v="ok"/>
    <n v="2"/>
    <n v="2"/>
    <x v="2"/>
    <n v="1"/>
    <n v="1"/>
    <n v="1"/>
  </r>
  <r>
    <x v="4"/>
    <s v="CASH2283"/>
    <s v="Diebold-Opteva 868 ATM"/>
    <s v="1868RH107556"/>
    <s v="8200"/>
    <s v="Veszprém"/>
    <s v="Cserhát ltp. 8."/>
    <s v="ok"/>
    <n v="2"/>
    <n v="2"/>
    <x v="4"/>
    <n v="1"/>
    <n v="1"/>
    <n v="1"/>
  </r>
  <r>
    <x v="4"/>
    <s v="CASH2285_R"/>
    <s v="Diebold-Opteva 868 ATM"/>
    <s v="1868RH107573"/>
    <s v="6300"/>
    <s v="Kalocsa"/>
    <s v="Szent István út 28."/>
    <s v="ok"/>
    <n v="2"/>
    <n v="2"/>
    <x v="7"/>
    <n v="1"/>
    <n v="1"/>
    <n v="1"/>
  </r>
  <r>
    <x v="4"/>
    <s v="CASH2287_R"/>
    <s v="Diebold-Opteva 868 ATM"/>
    <s v="1868RH107574"/>
    <s v="7000"/>
    <s v="Sárbogárd"/>
    <s v="Ady Endre u. 162."/>
    <s v="ok"/>
    <n v="2"/>
    <n v="2"/>
    <x v="7"/>
    <n v="1"/>
    <n v="1"/>
    <n v="1"/>
  </r>
  <r>
    <x v="4"/>
    <s v="CASH2290_R"/>
    <s v="Diebold-Opteva 868 ATM"/>
    <s v="1868RH107575"/>
    <s v="8300"/>
    <s v="Tapolca"/>
    <s v="Fő tér 5."/>
    <s v="ok"/>
    <n v="2"/>
    <n v="2"/>
    <x v="9"/>
    <n v="1"/>
    <n v="1"/>
    <n v="1"/>
  </r>
  <r>
    <x v="4"/>
    <s v="CASH2292"/>
    <s v="Diebold-Opteva 868 ATM"/>
    <s v="1868RH107757"/>
    <s v="1119"/>
    <s v="Budapest"/>
    <s v="Tétényi út 63."/>
    <s v="ok"/>
    <n v="2"/>
    <n v="2"/>
    <x v="17"/>
    <n v="1"/>
    <n v="1"/>
    <n v="1"/>
  </r>
  <r>
    <x v="4"/>
    <s v="CASH2293"/>
    <s v="Diebold-Opteva 828 FL Cash Recycler"/>
    <s v="1828FH101964"/>
    <s v="2483"/>
    <s v="Gárdony"/>
    <s v="Szabadság u. 5."/>
    <s v="ok"/>
    <n v="2"/>
    <n v="2"/>
    <x v="7"/>
    <n v="1"/>
    <n v="1"/>
    <n v="1"/>
  </r>
  <r>
    <x v="4"/>
    <s v="CASH2295"/>
    <s v="Diebold-Opteva 828 FL Cash Recycler"/>
    <s v="1828FH101967"/>
    <s v="4300"/>
    <s v="Nyírbátor"/>
    <s v="Zrínyi I. u. 6."/>
    <s v="ok"/>
    <n v="2"/>
    <n v="2"/>
    <x v="1"/>
    <n v="1"/>
    <n v="1"/>
    <n v="1"/>
  </r>
  <r>
    <x v="4"/>
    <s v="CASH2296"/>
    <s v="Diebold-Opteva 828 FL Cash Recycler"/>
    <s v="1828FH101966"/>
    <s v="2642"/>
    <s v="Martonvásár"/>
    <s v="Fehérvár u. 1/a."/>
    <s v="ok"/>
    <n v="2"/>
    <n v="2"/>
    <x v="7"/>
    <n v="1"/>
    <n v="1"/>
    <n v="1"/>
  </r>
  <r>
    <x v="4"/>
    <s v="CASH2298"/>
    <s v="Diebold-Opteva 828 FL Cash Recycler"/>
    <s v="1828FH101963"/>
    <s v="1039"/>
    <s v="Budapest"/>
    <s v="Heltai J. tér 15."/>
    <s v="ok"/>
    <n v="2"/>
    <n v="2"/>
    <x v="0"/>
    <n v="1"/>
    <n v="1"/>
    <n v="1"/>
  </r>
  <r>
    <x v="4"/>
    <s v="CASH2307"/>
    <s v="Diebold-Opteva 828 FL Cash Recycler"/>
    <s v="1828FH101962"/>
    <s v="9730"/>
    <s v="Kőszeg"/>
    <s v="Fő tér 4."/>
    <s v="ok"/>
    <n v="2"/>
    <n v="2"/>
    <x v="8"/>
    <e v="#N/A"/>
    <n v="0"/>
    <n v="2"/>
  </r>
  <r>
    <x v="4"/>
    <s v="CASH2312"/>
    <s v="Diebold-Opteva 828 FL Cash Recycler"/>
    <s v="1828FIP00931"/>
    <s v="6795"/>
    <s v="Bordány"/>
    <s v="Park tér 1."/>
    <s v="ok"/>
    <n v="2"/>
    <n v="2"/>
    <x v="3"/>
    <n v="1"/>
    <n v="1"/>
    <n v="1"/>
  </r>
  <r>
    <x v="4"/>
    <s v="CASH2314_R"/>
    <s v="Diebold-Opteva 868 ATM"/>
    <s v="1868RH108034"/>
    <s v="3900"/>
    <s v="Szerencs"/>
    <s v="Kossuth tér 1."/>
    <s v="ok"/>
    <n v="2"/>
    <n v="2"/>
    <x v="1"/>
    <n v="1"/>
    <n v="1"/>
    <n v="1"/>
  </r>
  <r>
    <x v="4"/>
    <s v="CASH2318_R"/>
    <s v="Diebold-Opteva 828 FL Cash Recycler"/>
    <s v="1828FH101958"/>
    <s v="2000"/>
    <s v="Szentendre"/>
    <s v="Fő tér 10."/>
    <s v="ok"/>
    <n v="2"/>
    <n v="2"/>
    <x v="14"/>
    <e v="#N/A"/>
    <n v="0"/>
    <n v="2"/>
  </r>
  <r>
    <x v="4"/>
    <s v="CASH2320"/>
    <s v="Diebold-Opteva 828 FL Cash Recycler"/>
    <s v="1828FH101968"/>
    <s v="4080"/>
    <s v="Hajdúnánás"/>
    <s v="Bocskai u. 2."/>
    <s v="ok"/>
    <n v="2"/>
    <n v="2"/>
    <x v="16"/>
    <n v="1"/>
    <n v="1"/>
    <n v="1"/>
  </r>
  <r>
    <x v="4"/>
    <s v="CASH2349"/>
    <s v="Diebold-Opteva 828 FL Cash Recycler"/>
    <s v="1828FH102240"/>
    <s v="4060"/>
    <s v="Balmazújváros"/>
    <s v="Kossuth tér 1."/>
    <s v="ok"/>
    <n v="2"/>
    <n v="2"/>
    <x v="16"/>
    <n v="1"/>
    <n v="1"/>
    <n v="1"/>
  </r>
  <r>
    <x v="4"/>
    <s v="CASH2354"/>
    <s v="Diebold-Opteva 828 FL Cash Recycler"/>
    <s v="1828FH102238"/>
    <s v="5123"/>
    <s v="Jászárokszállás"/>
    <s v="Móczár Andor tér 9"/>
    <s v="ok"/>
    <n v="2"/>
    <n v="2"/>
    <x v="10"/>
    <e v="#N/A"/>
    <n v="0"/>
    <n v="2"/>
  </r>
  <r>
    <x v="4"/>
    <s v="CASH2359"/>
    <s v="Diebold-Opteva 868 ATM"/>
    <s v="1868RH108038"/>
    <s v="2660"/>
    <s v="Balasagyarmat"/>
    <s v="Rákóczi fejedelem útja 46"/>
    <s v="ok"/>
    <n v="2"/>
    <n v="2"/>
    <x v="6"/>
    <n v="1"/>
    <n v="1"/>
    <n v="1"/>
  </r>
  <r>
    <x v="4"/>
    <s v="CASH2386"/>
    <s v="Diebold-Opteva 828 FL Cash Recycler"/>
    <s v="1828FH102241"/>
    <s v="5630"/>
    <s v="Békés"/>
    <s v="Széchenyi tér 4."/>
    <s v="ok"/>
    <n v="2"/>
    <n v="2"/>
    <x v="3"/>
    <n v="1"/>
    <n v="1"/>
    <n v="1"/>
  </r>
  <r>
    <x v="4"/>
    <s v="CASH2399"/>
    <s v="Diebold-Opteva 828 FL Cash Recycler"/>
    <s v="1828FH102239"/>
    <s v="4440"/>
    <s v="Tiszavasvári"/>
    <s v="Kossuth u.30"/>
    <s v="ok"/>
    <n v="2"/>
    <n v="2"/>
    <x v="1"/>
    <n v="1"/>
    <n v="1"/>
    <n v="1"/>
  </r>
  <r>
    <x v="4"/>
    <s v="CASH2400"/>
    <s v="Diebold-Opteva 868 ATM"/>
    <s v="1868RH105304"/>
    <s v="5500"/>
    <s v="Gyomaendrőd"/>
    <s v="Fő út 194."/>
    <s v="ok"/>
    <n v="2"/>
    <n v="2"/>
    <x v="11"/>
    <n v="3"/>
    <n v="3"/>
    <n v="0"/>
  </r>
  <r>
    <x v="4"/>
    <s v="CASH2411"/>
    <s v="Diebold-Opteva 868 ATM"/>
    <s v="1868RH108037"/>
    <s v="1239"/>
    <s v="Budapest"/>
    <s v="Hősök tere 14."/>
    <s v="ok"/>
    <n v="2"/>
    <n v="2"/>
    <x v="15"/>
    <n v="1"/>
    <n v="1"/>
    <n v="1"/>
  </r>
  <r>
    <x v="4"/>
    <s v="CASH2429"/>
    <s v="Diebold-Opteva 828 FL Cash Recycler"/>
    <s v="1828FH102243"/>
    <s v="1055"/>
    <s v="Budapest"/>
    <s v="Kossuth tér 18."/>
    <s v="ok"/>
    <n v="2"/>
    <n v="2"/>
    <x v="13"/>
    <e v="#N/A"/>
    <n v="0"/>
    <n v="2"/>
  </r>
  <r>
    <x v="4"/>
    <s v="CASH2473"/>
    <s v="Diebold-Opteva 828 FL Cash Recycler"/>
    <s v="1828FH101970"/>
    <s v="2900"/>
    <s v="Komárom"/>
    <s v="Klapka Gy. u. 3."/>
    <s v="ok"/>
    <n v="2"/>
    <n v="2"/>
    <x v="19"/>
    <e v="#N/A"/>
    <n v="0"/>
    <n v="2"/>
  </r>
  <r>
    <x v="4"/>
    <s v="CASH2474"/>
    <s v="Diebold-Opteva 828 FL Cash Recycler"/>
    <s v="1828FH101969"/>
    <s v="2870"/>
    <s v="Kisbér"/>
    <s v="Kossuth Lajos u. 5."/>
    <s v="ok"/>
    <n v="2"/>
    <n v="2"/>
    <x v="4"/>
    <n v="1"/>
    <n v="1"/>
    <n v="1"/>
  </r>
  <r>
    <x v="4"/>
    <s v="CASH2478_R"/>
    <s v="Diebold-Opteva 868 ATM"/>
    <s v="1868RH108035"/>
    <s v="1051"/>
    <s v="Budapest"/>
    <s v="Jószef A. u. 24."/>
    <s v="ok"/>
    <n v="2"/>
    <n v="2"/>
    <x v="13"/>
    <n v="1"/>
    <n v="1"/>
    <n v="1"/>
  </r>
  <r>
    <x v="4"/>
    <s v="CASH2480"/>
    <s v="Diebold-Opteva 828 FL Cash Recycler"/>
    <s v="1828FH102237"/>
    <s v="1149"/>
    <s v="Budapest"/>
    <s v="Róna u. 147."/>
    <s v="ok"/>
    <n v="2"/>
    <n v="2"/>
    <x v="14"/>
    <e v="#N/A"/>
    <n v="0"/>
    <n v="2"/>
  </r>
  <r>
    <x v="4"/>
    <s v="CASH2484_R"/>
    <s v="Diebold-Opteva 868 ATM"/>
    <s v="1868RH107755"/>
    <s v="6200"/>
    <s v="Kiskőrös"/>
    <s v="Petőfi tér 2."/>
    <s v="ok"/>
    <n v="2"/>
    <n v="2"/>
    <x v="7"/>
    <n v="1"/>
    <n v="1"/>
    <n v="1"/>
  </r>
  <r>
    <x v="4"/>
    <s v="CASH2487"/>
    <s v="Diebold-Opteva 828 FL Cash Recycler"/>
    <s v="1828FIP00111"/>
    <s v="2170"/>
    <s v="Aszód"/>
    <s v="Kossuth u.27"/>
    <s v="ok"/>
    <n v="2"/>
    <n v="2"/>
    <x v="10"/>
    <e v="#N/A"/>
    <n v="0"/>
    <n v="2"/>
  </r>
  <r>
    <x v="4"/>
    <s v="CASH2501_R"/>
    <s v="Diebold-Opteva 868 ATM"/>
    <s v="1868RIP00255"/>
    <s v="5800"/>
    <s v="Mezőkovácsháza"/>
    <s v="Árpád út 161"/>
    <s v="ok"/>
    <n v="2"/>
    <n v="2"/>
    <x v="3"/>
    <n v="1"/>
    <n v="1"/>
    <n v="1"/>
  </r>
  <r>
    <x v="4"/>
    <s v="CASH2503"/>
    <s v="Diebold-Opteva 828 FL Cash Recycler"/>
    <s v="1828FIP00113"/>
    <s v="3580"/>
    <s v="Tiszaújváros"/>
    <s v="Sz. István út 4-6."/>
    <s v="ok"/>
    <n v="2"/>
    <n v="2"/>
    <x v="2"/>
    <n v="1"/>
    <n v="1"/>
    <n v="1"/>
  </r>
  <r>
    <x v="4"/>
    <s v="CASH2508"/>
    <s v="Diebold-Opteva 828 FL Cash Recycler"/>
    <s v="1828FH101971"/>
    <s v="5310"/>
    <s v="Kisújszállás"/>
    <s v="Szabadság út 1."/>
    <s v="ok"/>
    <n v="2"/>
    <n v="2"/>
    <x v="11"/>
    <e v="#N/A"/>
    <n v="0"/>
    <n v="2"/>
  </r>
  <r>
    <x v="4"/>
    <s v="CASH2509"/>
    <s v="Diebold-Opteva 868 ATM"/>
    <s v="1868RH108036"/>
    <s v="2092"/>
    <s v="Budakeszi"/>
    <s v="Fő út 128."/>
    <s v="ok"/>
    <n v="2"/>
    <n v="2"/>
    <x v="17"/>
    <e v="#N/A"/>
    <n v="0"/>
    <n v="2"/>
  </r>
  <r>
    <x v="4"/>
    <s v="CASH2510"/>
    <s v="Diebold-Opteva 828 FL Cash Recycler"/>
    <s v="1828FH102242"/>
    <s v="2131"/>
    <s v="Göd"/>
    <s v="Pesti út 46."/>
    <s v="ok"/>
    <n v="2"/>
    <n v="2"/>
    <x v="6"/>
    <n v="1"/>
    <n v="1"/>
    <n v="1"/>
  </r>
  <r>
    <x v="4"/>
    <s v="CASH2511"/>
    <s v="Diebold-Opteva 828 FL Cash Recycler"/>
    <s v="1828FIP00114"/>
    <s v="5400"/>
    <s v="Mezőtúr"/>
    <s v="Kossuth tér 3-5."/>
    <s v="ok"/>
    <n v="2"/>
    <n v="2"/>
    <x v="11"/>
    <n v="1"/>
    <n v="1"/>
    <n v="1"/>
  </r>
  <r>
    <x v="4"/>
    <s v="CASH2512"/>
    <s v="Diebold-Opteva 828 FL Cash Recycler"/>
    <s v="1828FIP00128"/>
    <s v="8420"/>
    <s v="Zirc"/>
    <s v="Petőfi Sándor u. 2"/>
    <s v="ok"/>
    <n v="2"/>
    <n v="0"/>
    <x v="4"/>
    <e v="#N/A"/>
    <n v="0"/>
    <n v="0"/>
  </r>
  <r>
    <x v="4"/>
    <s v="CASH2513"/>
    <s v="Diebold-Opteva 828 FL Cash Recycler"/>
    <s v="1828FIP00115"/>
    <s v="7130"/>
    <s v="Tolna"/>
    <s v="Kossuth L. u.33"/>
    <s v="ok"/>
    <n v="2"/>
    <n v="2"/>
    <x v="7"/>
    <n v="1"/>
    <n v="1"/>
    <n v="1"/>
  </r>
  <r>
    <x v="4"/>
    <s v="CASH2514"/>
    <s v="Diebold-Opteva 828 FL Cash Recycler"/>
    <s v="1828FH102246"/>
    <s v="1062"/>
    <s v="Budapest"/>
    <s v="Váci út 1-3."/>
    <s v="ok"/>
    <n v="2"/>
    <n v="2"/>
    <x v="13"/>
    <e v="#N/A"/>
    <n v="0"/>
    <n v="2"/>
  </r>
  <r>
    <x v="4"/>
    <s v="CASH2515"/>
    <s v="Diebold-Opteva 828 FL Cash Recycler"/>
    <s v="1828FIP00116"/>
    <s v="7030"/>
    <s v="Paks"/>
    <s v="Dózsa György u. 21."/>
    <s v="ok"/>
    <n v="2"/>
    <n v="2"/>
    <x v="7"/>
    <n v="1"/>
    <n v="1"/>
    <n v="1"/>
  </r>
  <r>
    <x v="4"/>
    <s v="CASH2521"/>
    <s v="Diebold-Opteva 828 FL Cash Recycler"/>
    <s v="1828FIP00110"/>
    <s v="3060"/>
    <s v="Pásztó"/>
    <s v="Kölcsey u. 4."/>
    <s v="ok"/>
    <n v="2"/>
    <n v="2"/>
    <x v="10"/>
    <n v="1"/>
    <n v="1"/>
    <n v="1"/>
  </r>
  <r>
    <x v="4"/>
    <s v="CASH2522"/>
    <s v="Diebold-Opteva 828 FL Cash Recycler"/>
    <s v="1828FIP00112"/>
    <s v="2220"/>
    <s v="Vecsés"/>
    <s v="Fő út 158."/>
    <s v="ok"/>
    <n v="2"/>
    <n v="2"/>
    <x v="15"/>
    <n v="1"/>
    <n v="1"/>
    <n v="1"/>
  </r>
  <r>
    <x v="4"/>
    <s v="CASH2524_R"/>
    <s v="Diebold-Opteva 868 ATM"/>
    <s v="1868RIP00249"/>
    <s v="7500"/>
    <s v="Nagyatád"/>
    <s v="Bajcsy ZS. u. 1/a"/>
    <s v="ok"/>
    <n v="2"/>
    <n v="2"/>
    <x v="12"/>
    <n v="1"/>
    <n v="1"/>
    <n v="1"/>
  </r>
  <r>
    <x v="4"/>
    <s v="CASH2525"/>
    <s v="Diebold-Opteva 828 FL Cash Recycler"/>
    <s v="1828FIP00120"/>
    <s v="2230"/>
    <s v="Gyömrő"/>
    <s v="Szent István u.22"/>
    <s v="ok"/>
    <n v="2"/>
    <n v="2"/>
    <x v="10"/>
    <n v="1"/>
    <n v="1"/>
    <n v="1"/>
  </r>
  <r>
    <x v="4"/>
    <s v="CASH2526"/>
    <s v="Diebold-Opteva 828 FL Cash Recycler"/>
    <s v="1828FIP00119"/>
    <s v="2200"/>
    <s v="Monor"/>
    <s v="Kossuth u.71/a"/>
    <s v="ok"/>
    <n v="2"/>
    <n v="2"/>
    <x v="15"/>
    <n v="1"/>
    <n v="1"/>
    <n v="1"/>
  </r>
  <r>
    <x v="4"/>
    <s v="CASH2528"/>
    <s v="Diebold-Opteva 828 FL Cash Recycler"/>
    <s v="1828FIP00117"/>
    <s v="8868"/>
    <s v="Letenye"/>
    <s v="Szabadság tér 7."/>
    <s v="ok"/>
    <n v="2"/>
    <n v="2"/>
    <x v="9"/>
    <n v="1"/>
    <n v="1"/>
    <n v="1"/>
  </r>
  <r>
    <x v="4"/>
    <s v="CASH2529_R"/>
    <s v="Diebold-Opteva 868 ATM"/>
    <s v="1868RIP00250"/>
    <s v="5100"/>
    <s v="Jászberény"/>
    <s v="Szabadság tér 1."/>
    <s v="ok"/>
    <n v="2"/>
    <n v="2"/>
    <x v="10"/>
    <n v="1"/>
    <n v="1"/>
    <n v="1"/>
  </r>
  <r>
    <x v="4"/>
    <s v="CASH2531"/>
    <s v="Diebold-Opteva 828 FL Cash Recycler"/>
    <s v="1828FH102244"/>
    <s v="9400"/>
    <s v="Sopron"/>
    <s v="Selmeci u. 15-17."/>
    <s v="ok"/>
    <n v="2"/>
    <n v="2"/>
    <x v="8"/>
    <n v="1"/>
    <n v="1"/>
    <n v="1"/>
  </r>
  <r>
    <x v="4"/>
    <s v="CASH2535"/>
    <s v="Diebold-Opteva 828 FL Cash Recycler"/>
    <s v="1828FIP00121"/>
    <s v="1126"/>
    <s v="Budapest"/>
    <s v="Csörsz u. 43."/>
    <s v="ok"/>
    <n v="2"/>
    <n v="2"/>
    <x v="0"/>
    <n v="1"/>
    <n v="1"/>
    <n v="1"/>
  </r>
  <r>
    <x v="4"/>
    <s v="CASH2536_R"/>
    <s v="Diebold-Opteva 868 ATM"/>
    <s v="1868RIP00256"/>
    <s v="3860"/>
    <s v="Encs"/>
    <s v="Petőfi u. 63-65."/>
    <s v="ok"/>
    <n v="2"/>
    <n v="2"/>
    <x v="2"/>
    <n v="1"/>
    <n v="1"/>
    <n v="1"/>
  </r>
  <r>
    <x v="4"/>
    <s v="CASH2540"/>
    <s v="Diebold-Opteva 828 FL Cash Recycler"/>
    <s v="1828FIP00123"/>
    <s v="6120"/>
    <s v="Kiskunmajsa"/>
    <s v="Fő út 67"/>
    <s v="ok"/>
    <n v="2"/>
    <n v="2"/>
    <x v="7"/>
    <n v="1"/>
    <n v="1"/>
    <n v="1"/>
  </r>
  <r>
    <x v="4"/>
    <s v="CASH2547"/>
    <s v="Diebold-Opteva 828 FL Cash Recycler"/>
    <s v="1828FIP00118"/>
    <s v="2941"/>
    <s v="Ács"/>
    <s v="Fő út 9/5"/>
    <s v="ok"/>
    <n v="2"/>
    <n v="2"/>
    <x v="19"/>
    <n v="1"/>
    <n v="1"/>
    <n v="1"/>
  </r>
  <r>
    <x v="4"/>
    <s v="CASH2549"/>
    <s v="Diebold-Opteva 828 FL Cash Recycler"/>
    <s v="1828FIP00124"/>
    <s v="6060"/>
    <s v="Tiszakécske"/>
    <s v="Béke tér 6"/>
    <s v="ok"/>
    <n v="2"/>
    <n v="2"/>
    <x v="11"/>
    <n v="1"/>
    <n v="1"/>
    <n v="1"/>
  </r>
  <r>
    <x v="4"/>
    <s v="CASH2550"/>
    <s v="Diebold-Opteva 868 ATM"/>
    <s v="1868RIP00253"/>
    <s v="1042"/>
    <s v="Budapest"/>
    <s v="Árpád út 41-43"/>
    <s v="ok"/>
    <n v="2"/>
    <n v="2"/>
    <x v="0"/>
    <n v="1"/>
    <n v="1"/>
    <n v="1"/>
  </r>
  <r>
    <x v="4"/>
    <s v="CASH2551"/>
    <s v="Diebold-Opteva 828 FL Cash Recycler"/>
    <s v="1828FIP00129"/>
    <s v="1028"/>
    <s v="Budapest"/>
    <s v="Hidegkúti út 167."/>
    <s v="ok"/>
    <n v="2"/>
    <n v="2"/>
    <x v="0"/>
    <n v="1"/>
    <n v="1"/>
    <n v="1"/>
  </r>
  <r>
    <x v="4"/>
    <s v="CASH2555"/>
    <s v="Diebold-Opteva 868 ATM"/>
    <s v="1868RIP00252"/>
    <s v="1173"/>
    <s v="Budapest"/>
    <s v="Ferihegyi út 74."/>
    <s v="ok"/>
    <n v="2"/>
    <n v="2"/>
    <x v="10"/>
    <e v="#N/A"/>
    <n v="0"/>
    <n v="2"/>
  </r>
  <r>
    <x v="4"/>
    <s v="CASH2557"/>
    <s v="Diebold-Opteva 828 FL Cash Recycler"/>
    <s v="1828FIP00127"/>
    <s v="2085"/>
    <s v="Pilisvörösvár"/>
    <s v="Fő u.30."/>
    <s v="ok"/>
    <n v="2"/>
    <n v="2"/>
    <x v="0"/>
    <n v="1"/>
    <n v="1"/>
    <n v="1"/>
  </r>
  <r>
    <x v="4"/>
    <s v="CASH2562"/>
    <s v="Diebold-Opteva 828 FL Cash Recycler"/>
    <s v="1828FIP00126"/>
    <s v="1118"/>
    <s v="Budapest"/>
    <s v="Rétköz u. 5."/>
    <s v="ok"/>
    <n v="2"/>
    <n v="2"/>
    <x v="17"/>
    <n v="1"/>
    <n v="1"/>
    <n v="1"/>
  </r>
  <r>
    <x v="4"/>
    <s v="CASH2563"/>
    <s v="Diebold-Opteva 828 FL Cash Recycler"/>
    <s v="1828FH102245"/>
    <s v="8154"/>
    <s v="Polgárdi"/>
    <s v="Batthyány u.115."/>
    <s v="ok"/>
    <n v="2"/>
    <n v="2"/>
    <x v="4"/>
    <n v="1"/>
    <n v="1"/>
    <n v="1"/>
  </r>
  <r>
    <x v="4"/>
    <s v="CASH2568"/>
    <s v="Diebold-Opteva 828 FL Cash Recycler"/>
    <s v="1828FIP00125"/>
    <s v="6640"/>
    <s v="Csongrád"/>
    <s v="Hunyadi tér 6-10."/>
    <s v="ok"/>
    <n v="2"/>
    <n v="2"/>
    <x v="11"/>
    <e v="#N/A"/>
    <n v="0"/>
    <n v="2"/>
  </r>
  <r>
    <x v="4"/>
    <s v="CASH2569"/>
    <s v="Diebold-Opteva 828 FL Cash Recycler"/>
    <s v="1828FIP00134"/>
    <s v="8660"/>
    <s v="Tab"/>
    <s v="Kossuth L. u. 134."/>
    <s v="ok"/>
    <n v="2"/>
    <n v="2"/>
    <x v="4"/>
    <n v="1"/>
    <n v="1"/>
    <n v="1"/>
  </r>
  <r>
    <x v="4"/>
    <s v="CASH2572"/>
    <s v="Diebold-Opteva 828 FL Cash Recycler"/>
    <s v="1828FIP00130"/>
    <s v="7900"/>
    <s v="Szigetvár"/>
    <s v="Széchenyi u. 4."/>
    <s v="ok"/>
    <n v="2"/>
    <n v="2"/>
    <x v="12"/>
    <n v="1"/>
    <n v="1"/>
    <n v="1"/>
  </r>
  <r>
    <x v="4"/>
    <s v="CASH2573"/>
    <s v="Diebold-Opteva 828 FL Cash Recycler"/>
    <s v="1828FIP00131"/>
    <s v="8130"/>
    <s v="Enying"/>
    <s v="Kossuth L.u.18."/>
    <s v="ok"/>
    <n v="2"/>
    <n v="2"/>
    <x v="4"/>
    <n v="1"/>
    <n v="1"/>
    <n v="1"/>
  </r>
  <r>
    <x v="4"/>
    <s v="CASH2574"/>
    <s v="Diebold-Opteva 828 FL Cash Recycler"/>
    <s v="1828FIP00136"/>
    <s v="9970"/>
    <s v="Szentgotthárd"/>
    <s v="Széll Kálmán tér 23"/>
    <s v="ok"/>
    <n v="2"/>
    <n v="2"/>
    <x v="8"/>
    <n v="1"/>
    <n v="1"/>
    <n v="1"/>
  </r>
  <r>
    <x v="4"/>
    <s v="CASH2575"/>
    <s v="Diebold-Opteva 868 ATM"/>
    <s v="1868RIP00258"/>
    <s v="9300"/>
    <s v="Csorna"/>
    <s v="Soproni út 60."/>
    <s v="ok"/>
    <n v="2"/>
    <n v="2"/>
    <x v="8"/>
    <n v="1"/>
    <n v="1"/>
    <n v="1"/>
  </r>
  <r>
    <x v="4"/>
    <s v="CASH2579"/>
    <s v="Diebold-Opteva 828 FL Cash Recycler"/>
    <s v="1828FIP00122"/>
    <s v="6440"/>
    <s v="Jánoshalma"/>
    <s v="Rákóczi u.10"/>
    <s v="ok"/>
    <n v="2"/>
    <n v="2"/>
    <x v="7"/>
    <n v="1"/>
    <n v="1"/>
    <n v="1"/>
  </r>
  <r>
    <x v="4"/>
    <s v="CASH2580_R"/>
    <s v="Diebold-Opteva 868 ATM"/>
    <s v="1868RIP00251"/>
    <s v="4150"/>
    <s v="Püspökladány"/>
    <s v="Kossuth u. 22."/>
    <s v="ok"/>
    <n v="2"/>
    <n v="2"/>
    <x v="16"/>
    <n v="1"/>
    <n v="1"/>
    <n v="1"/>
  </r>
  <r>
    <x v="4"/>
    <s v="CASH2588"/>
    <s v="Diebold-Opteva 868 ATM"/>
    <s v="1868RIP00254"/>
    <s v="8790"/>
    <s v="Zalaszentgrót"/>
    <s v="Dózsa György út 16-18."/>
    <s v="ok"/>
    <n v="2"/>
    <n v="2"/>
    <x v="9"/>
    <e v="#N/A"/>
    <n v="0"/>
    <n v="2"/>
  </r>
  <r>
    <x v="4"/>
    <s v="CASH2589"/>
    <s v="Diebold-Opteva 828 FL Cash Recycler"/>
    <s v="1828FIP00132"/>
    <s v="6760"/>
    <s v="Kistelek"/>
    <s v="Kossuth L.u.6-8."/>
    <s v="ok"/>
    <n v="2"/>
    <n v="2"/>
    <x v="3"/>
    <n v="1"/>
    <n v="1"/>
    <n v="1"/>
  </r>
  <r>
    <x v="4"/>
    <s v="CASH2590"/>
    <s v="Diebold-Opteva 828 FL Cash Recycler"/>
    <s v="1828FIP00133"/>
    <s v="8330"/>
    <s v="Sümeg"/>
    <s v="Kossuth u.8"/>
    <s v="ok"/>
    <n v="2"/>
    <n v="2"/>
    <x v="9"/>
    <e v="#N/A"/>
    <n v="0"/>
    <n v="2"/>
  </r>
  <r>
    <x v="4"/>
    <s v="CASH2606"/>
    <s v="Diebold-Opteva 868 ATM"/>
    <s v="1868RIP00260"/>
    <s v="1036"/>
    <s v="Budapest"/>
    <s v="Bécsi út 57-61."/>
    <s v="ok"/>
    <n v="2"/>
    <n v="2"/>
    <x v="0"/>
    <n v="1"/>
    <n v="1"/>
    <n v="1"/>
  </r>
  <r>
    <x v="4"/>
    <s v="CASH2611"/>
    <s v="Diebold-Opteva 828 FL Cash Recycler"/>
    <s v="1828FIP00135"/>
    <s v="5600"/>
    <s v="Békéscsaba"/>
    <s v="Andrássy út 37-43."/>
    <s v="ok"/>
    <n v="2"/>
    <n v="2"/>
    <x v="3"/>
    <n v="1"/>
    <n v="1"/>
    <n v="1"/>
  </r>
  <r>
    <x v="4"/>
    <s v="CASH2616_R"/>
    <s v="Diebold-Opteva 868 ATM"/>
    <s v="1868RH107244"/>
    <s v="6720"/>
    <s v="Szeged"/>
    <s v="Széchenyi tér 9."/>
    <s v="ok"/>
    <n v="2"/>
    <n v="2"/>
    <x v="3"/>
    <n v="1"/>
    <n v="1"/>
    <n v="1"/>
  </r>
  <r>
    <x v="4"/>
    <s v="CASH2623_R"/>
    <s v="Diebold-Opteva 868 ATM"/>
    <s v="1868RIP00261"/>
    <s v="9022"/>
    <s v="Győr"/>
    <s v="Szent István u. 29-31."/>
    <s v="ok"/>
    <n v="2"/>
    <n v="2"/>
    <x v="19"/>
    <n v="1"/>
    <n v="1"/>
    <n v="1"/>
  </r>
  <r>
    <x v="4"/>
    <s v="CASH2628_R"/>
    <s v="Diebold-Opteva 868 ATM"/>
    <s v="1868RIP00257"/>
    <s v="1203"/>
    <s v="Budapest"/>
    <s v="Kossut L. u. 37/b"/>
    <s v="ok"/>
    <n v="2"/>
    <n v="2"/>
    <x v="15"/>
    <n v="1"/>
    <n v="1"/>
    <n v="1"/>
  </r>
  <r>
    <x v="4"/>
    <s v="CASH2634_R"/>
    <s v="Diebold-Opteva 378 Cash Recycler"/>
    <s v="1378FDC03861"/>
    <s v="1146"/>
    <s v="Budapest"/>
    <s v="Ajtósi Dürer sor 10."/>
    <s v="ok"/>
    <n v="2"/>
    <n v="1"/>
    <x v="14"/>
    <e v="#N/A"/>
    <n v="0"/>
    <n v="1"/>
  </r>
  <r>
    <x v="4"/>
    <s v="CASH2711_R"/>
    <s v="Diebold-Opteva 378 Cash Recycler"/>
    <s v="1378FDC03856"/>
    <s v="3390"/>
    <s v="Füzesabony"/>
    <s v="Rákóczi út 63."/>
    <s v="ok"/>
    <n v="2"/>
    <n v="2"/>
    <x v="6"/>
    <n v="1"/>
    <n v="1"/>
    <n v="1"/>
  </r>
  <r>
    <x v="4"/>
    <s v="CASH2733"/>
    <s v="Diebold-Opteva 868 ATM"/>
    <s v="1868RIP00259"/>
    <s v="1184"/>
    <s v="Budapest"/>
    <s v="Üllői út 400."/>
    <s v="ok"/>
    <n v="2"/>
    <n v="2"/>
    <x v="15"/>
    <n v="1"/>
    <n v="1"/>
    <n v="1"/>
  </r>
  <r>
    <x v="4"/>
    <s v="CASH2753"/>
    <s v="Diebold-Opteva 828 FL Cash Recycler"/>
    <s v="1828FIP00987"/>
    <s v="3300"/>
    <s v="Eger"/>
    <s v="Barkóczy út 3."/>
    <s v="ok"/>
    <n v="2"/>
    <n v="2"/>
    <x v="2"/>
    <n v="1"/>
    <n v="1"/>
    <n v="1"/>
  </r>
  <r>
    <x v="4"/>
    <s v="CASH2762"/>
    <s v="Diebold-Opteva 868 ATM"/>
    <s v="1868RH107749"/>
    <s v="2120"/>
    <s v="Dunakeszi"/>
    <s v="Fő u. 31."/>
    <s v="ok"/>
    <n v="2"/>
    <n v="2"/>
    <x v="14"/>
    <n v="2"/>
    <n v="2"/>
    <n v="0"/>
  </r>
  <r>
    <x v="4"/>
    <s v="CASH2763"/>
    <s v="Diebold-Opteva 828 FL Cash Recycler"/>
    <s v="1828FIP00986"/>
    <s v="4400"/>
    <s v="Nyíregyháza"/>
    <s v="Korányi Frigyes u. 5."/>
    <s v="ok"/>
    <n v="2"/>
    <n v="2"/>
    <x v="1"/>
    <n v="1"/>
    <n v="1"/>
    <n v="1"/>
  </r>
  <r>
    <x v="4"/>
    <s v="CASH2764"/>
    <s v="Diebold-Opteva 378 Cash Recycler"/>
    <s v="1378FDC03857"/>
    <s v="1106"/>
    <s v="Budapest"/>
    <s v="Örs vezér tere 25/a"/>
    <s v="ok"/>
    <n v="2"/>
    <n v="2"/>
    <x v="17"/>
    <e v="#N/A"/>
    <n v="0"/>
    <n v="2"/>
  </r>
  <r>
    <x v="4"/>
    <s v="CASH2801"/>
    <s v="Diebold-Opteva 828 FL Cash Recycler"/>
    <s v="1828FIP01035"/>
    <s v="5900"/>
    <s v="Orosháza"/>
    <s v="Rákóczi u. 5."/>
    <s v="ok"/>
    <n v="2"/>
    <n v="0"/>
    <x v="3"/>
    <e v="#N/A"/>
    <n v="0"/>
    <n v="0"/>
  </r>
  <r>
    <x v="4"/>
    <s v="CASH2826_R"/>
    <s v="Diebold-Opteva 378 Cash Recycler"/>
    <s v="1378FDC03855"/>
    <s v="9200"/>
    <s v="Mosonmagyaróvár"/>
    <s v="Szent László tér 2."/>
    <s v="ok"/>
    <n v="2"/>
    <n v="1"/>
    <x v="19"/>
    <e v="#N/A"/>
    <n v="0"/>
    <n v="1"/>
  </r>
  <r>
    <x v="4"/>
    <s v="CASH2848"/>
    <s v="Diebold-Opteva 828 FL Cash Recycler"/>
    <s v="1828FIP00930"/>
    <s v="1221"/>
    <s v="Budapest"/>
    <s v="Kossuth Lajos u. 25-29."/>
    <s v="ok"/>
    <n v="2"/>
    <n v="2"/>
    <x v="17"/>
    <e v="#N/A"/>
    <n v="0"/>
    <n v="2"/>
  </r>
  <r>
    <x v="4"/>
    <s v="CASH2849"/>
    <s v="Diebold-Opteva 378 Cash Recycler"/>
    <s v="1378FDC03862"/>
    <s v="9501"/>
    <s v="Celldömölk"/>
    <s v="Dr. Géfin L. tér 13."/>
    <s v="ok"/>
    <n v="2"/>
    <n v="2"/>
    <x v="8"/>
    <e v="#N/A"/>
    <n v="0"/>
    <n v="2"/>
  </r>
  <r>
    <x v="4"/>
    <s v="CASH5105"/>
    <s v="Diebold-Opteva 868 ATM"/>
    <s v="1868RH106117"/>
    <s v="8000"/>
    <s v="Székesfehérvár"/>
    <s v="Ady Endre u. 2."/>
    <s v="ok"/>
    <n v="2"/>
    <n v="2"/>
    <x v="4"/>
    <n v="1"/>
    <n v="1"/>
    <n v="1"/>
  </r>
  <r>
    <x v="4"/>
    <s v="CAST2988"/>
    <s v="Diebold-Opteva 868 ATM"/>
    <s v="1868RH106111"/>
    <s v="1095"/>
    <s v="Budapest"/>
    <s v="Lechner Ödön fasor 9."/>
    <s v="ok"/>
    <n v="0"/>
    <n v="0"/>
    <x v="17"/>
    <e v="#N/A"/>
    <n v="0"/>
    <n v="0"/>
  </r>
  <r>
    <x v="4"/>
    <s v="CAST2990"/>
    <s v="Diebold-Opteva 378 Cash Recycler"/>
    <s v="1378FDC03854"/>
    <s v="1095"/>
    <s v="Budapest"/>
    <s v="Lechner Ödön fasor 9."/>
    <s v="ok"/>
    <n v="0"/>
    <n v="0"/>
    <x v="20"/>
    <e v="#N/A"/>
    <n v="0"/>
    <n v="0"/>
  </r>
  <r>
    <x v="4"/>
    <s v="TESAT908"/>
    <s v="CINEO C2560"/>
    <s v="5300829108"/>
    <s v="1095"/>
    <s v="Budapest"/>
    <s v="Lechner Ödön fasor 9."/>
    <s v="ok"/>
    <n v="0"/>
    <n v="0"/>
    <x v="20"/>
    <e v="#N/A"/>
    <n v="0"/>
    <n v="0"/>
  </r>
  <r>
    <x v="5"/>
    <s v="MGND0101"/>
    <s v="Diebold-Opteva 562r 3 High-Standard ATM"/>
    <s v="562RRH100053"/>
    <s v="1055"/>
    <s v="Budapest"/>
    <s v="Balassi Bálint u. 9-11."/>
    <s v="ok"/>
    <n v="2"/>
    <n v="2"/>
    <x v="13"/>
    <e v="#N/A"/>
    <n v="0"/>
    <n v="2"/>
  </r>
  <r>
    <x v="5"/>
    <s v="MGND1001"/>
    <s v="Diebold-Opteva 750 ATM Outdoor"/>
    <s v="1750F3320027"/>
    <s v="1062"/>
    <s v="Budapest"/>
    <s v="Andrássy út 98."/>
    <s v="ok"/>
    <n v="2"/>
    <n v="2"/>
    <x v="13"/>
    <e v="#N/A"/>
    <n v="0"/>
    <n v="2"/>
  </r>
  <r>
    <x v="5"/>
    <s v="MGND1301"/>
    <s v="OPT562 1GIG-DVD-UPS-LAN-A6-CEN3(4HIGH)"/>
    <s v="1562RH124076"/>
    <s v="2083"/>
    <s v="Solymár"/>
    <s v="Várhegy u. 1. (Várhegy Társasház)"/>
    <s v="ok"/>
    <n v="2"/>
    <n v="2"/>
    <x v="0"/>
    <e v="#N/A"/>
    <n v="0"/>
    <n v="2"/>
  </r>
  <r>
    <x v="5"/>
    <s v="MGND1401"/>
    <s v="OPT562 1GIG-DVD-UPS-LAN-A6-CEN3(4HIGH)"/>
    <s v="1562R3320353"/>
    <s v="1191"/>
    <s v="Budapest"/>
    <s v="Kossuth tér 5."/>
    <s v="ok"/>
    <n v="2"/>
    <n v="2"/>
    <x v="10"/>
    <e v="#N/A"/>
    <n v="0"/>
    <n v="2"/>
  </r>
  <r>
    <x v="5"/>
    <s v="MGND1501"/>
    <s v="OPT562 1GIG-DVD-UPS-LAN-A6-CEN3(4HIGH)"/>
    <s v="1562RH128385"/>
    <s v="1111"/>
    <s v="Budapest"/>
    <s v="Bartók Béla út 34."/>
    <s v="ok"/>
    <n v="2"/>
    <n v="2"/>
    <x v="17"/>
    <n v="1"/>
    <n v="1"/>
    <n v="1"/>
  </r>
  <r>
    <x v="5"/>
    <s v="MGND2001"/>
    <s v="OPT562 1GIG-DVD-UPS-LAN-A6-CEN3(4HIGH)"/>
    <s v="1562RH136373"/>
    <s v="1032"/>
    <s v="Budapest"/>
    <s v="Bécsi út 195."/>
    <s v="ok"/>
    <n v="2"/>
    <n v="2"/>
    <x v="0"/>
    <e v="#N/A"/>
    <n v="0"/>
    <n v="2"/>
  </r>
  <r>
    <x v="5"/>
    <s v="MGND2201"/>
    <s v="OPT562 1GIG-DVD-UPS-LAN-A6-CEN3(4HIGH)"/>
    <s v="1562RH129339"/>
    <s v="1088"/>
    <s v="Budapest"/>
    <s v="Rákóczi út 1-3."/>
    <s v="ok"/>
    <n v="2"/>
    <n v="2"/>
    <x v="13"/>
    <e v="#N/A"/>
    <n v="0"/>
    <n v="2"/>
  </r>
  <r>
    <x v="5"/>
    <s v="MGND2301"/>
    <s v="OPT562 1GIG-DVD-UPS-LAN-A6-CEN3(4HIGH)"/>
    <s v="1562RH124872"/>
    <s v="2120"/>
    <s v="Dunakeszi"/>
    <s v="Fő út 41."/>
    <s v="ok"/>
    <n v="2"/>
    <n v="2"/>
    <x v="14"/>
    <n v="1"/>
    <n v="1"/>
    <n v="1"/>
  </r>
  <r>
    <x v="5"/>
    <s v="MGND2401"/>
    <s v="OPT562 1GIG-DVD-UPS-LAN-A6-CEN3(4HIGH)"/>
    <s v="1562RH129294"/>
    <s v="8000"/>
    <s v="Székesfehérvár"/>
    <s v="Kossuth u. 14."/>
    <s v="ok"/>
    <n v="2"/>
    <n v="2"/>
    <x v="4"/>
    <e v="#N/A"/>
    <n v="0"/>
    <n v="2"/>
  </r>
  <r>
    <x v="6"/>
    <s v="S6T11593"/>
    <s v="CINEO C4560"/>
    <s v="5310150559"/>
    <s v="1027"/>
    <s v="Budapest"/>
    <s v="Kapás u. 11-15."/>
    <s v="ok"/>
    <n v="2"/>
    <n v="2"/>
    <x v="0"/>
    <e v="#N/A"/>
    <n v="0"/>
    <n v="2"/>
  </r>
  <r>
    <x v="6"/>
    <s v="S6T50101"/>
    <s v="Diebold-Opteva 760 ATM Outdoor"/>
    <s v="1760RH123969"/>
    <s v="7754"/>
    <s v="Bóly"/>
    <s v="Hősök tere 8/c"/>
    <s v="ok"/>
    <n v="2"/>
    <n v="2"/>
    <x v="12"/>
    <n v="1"/>
    <n v="1"/>
    <n v="1"/>
  </r>
  <r>
    <x v="6"/>
    <s v="S6T50102"/>
    <s v="ProCash 2050"/>
    <s v="XXS6T50102"/>
    <s v="7751"/>
    <s v="Szederkény"/>
    <s v="Pécsi u. 40."/>
    <s v="ok"/>
    <n v="2"/>
    <n v="2"/>
    <x v="12"/>
    <n v="1"/>
    <n v="1"/>
    <n v="1"/>
  </r>
  <r>
    <x v="6"/>
    <s v="S6T50103"/>
    <s v="Diebold-Opteva 760 ATM Outdoor"/>
    <s v="1760R3300086"/>
    <s v="7753"/>
    <s v="Szajk"/>
    <s v="Hősök tere 8."/>
    <s v="ok"/>
    <n v="2"/>
    <n v="0"/>
    <x v="12"/>
    <e v="#N/A"/>
    <n v="0"/>
    <n v="0"/>
  </r>
  <r>
    <x v="6"/>
    <s v="S6T50105"/>
    <s v="ProCash 2050"/>
    <s v="XXS6T50105"/>
    <s v="7811"/>
    <s v="Szalánta"/>
    <s v="Hunyadi u. 112."/>
    <s v="ok"/>
    <n v="2"/>
    <n v="0"/>
    <x v="12"/>
    <e v="#N/A"/>
    <n v="0"/>
    <n v="0"/>
  </r>
  <r>
    <x v="6"/>
    <s v="S6T50106"/>
    <s v="ProCash 2050"/>
    <s v="XXS6T50106"/>
    <s v="7766"/>
    <s v="Újpetre"/>
    <s v="Kossuth u. 16/a"/>
    <s v="ok"/>
    <n v="2"/>
    <n v="2"/>
    <x v="12"/>
    <n v="1"/>
    <n v="1"/>
    <n v="1"/>
  </r>
  <r>
    <x v="6"/>
    <s v="S6T50301_BZ"/>
    <s v="Diebold-Questar 3410 ATM"/>
    <s v="XXS6T50301_BZ"/>
    <s v="7696"/>
    <s v="Hidas"/>
    <s v="Dózsa u. 1."/>
    <s v="ok"/>
    <n v="2"/>
    <n v="2"/>
    <x v="21"/>
    <e v="#N/A"/>
    <n v="0"/>
    <n v="2"/>
  </r>
  <r>
    <x v="6"/>
    <s v="S6T50302"/>
    <s v="Diebold-Opteva 760 ATM Outdoor"/>
    <s v="1760RH129405"/>
    <s v="7694"/>
    <s v="Hosszúhetény"/>
    <s v="Fő u. 176."/>
    <s v="ok"/>
    <n v="2"/>
    <n v="2"/>
    <x v="12"/>
    <n v="1"/>
    <n v="1"/>
    <n v="1"/>
  </r>
  <r>
    <x v="6"/>
    <s v="S6T50304"/>
    <s v="Diebold-Opteva 760 ATM Outdoor"/>
    <s v="1760RH125093"/>
    <s v="7720"/>
    <s v="Pécsvárad"/>
    <s v="Kossuth L. u. 10."/>
    <s v="ok"/>
    <n v="2"/>
    <n v="2"/>
    <x v="12"/>
    <e v="#N/A"/>
    <n v="0"/>
    <n v="2"/>
  </r>
  <r>
    <x v="6"/>
    <s v="S6T50305_BZ"/>
    <s v="Diebold-Questar 3410 ATM"/>
    <s v="XXS6T50305_BZ"/>
    <s v="7745"/>
    <s v="Olasz"/>
    <s v="Kossuth u. 22."/>
    <s v="ok"/>
    <n v="2"/>
    <n v="2"/>
    <x v="21"/>
    <e v="#N/A"/>
    <n v="0"/>
    <n v="2"/>
  </r>
  <r>
    <x v="6"/>
    <s v="S6T50309"/>
    <s v="Diebold-Opteva 760 ATM Outdoor"/>
    <s v="1760RH127658"/>
    <s v="7710"/>
    <s v="Mecseknádasd"/>
    <s v="Rákóczi u. 40."/>
    <s v="ok"/>
    <n v="2"/>
    <n v="2"/>
    <x v="12"/>
    <e v="#N/A"/>
    <n v="0"/>
    <n v="2"/>
  </r>
  <r>
    <x v="6"/>
    <s v="S6T50310"/>
    <s v="ProCash 2150"/>
    <s v="XXS6T50310"/>
    <s v="7600"/>
    <s v="Pécs"/>
    <s v="Komlói út 4."/>
    <s v="ok"/>
    <n v="2"/>
    <n v="2"/>
    <x v="12"/>
    <n v="1"/>
    <n v="1"/>
    <n v="1"/>
  </r>
  <r>
    <x v="6"/>
    <s v="S6T50312_BZ"/>
    <s v="Diebold-Questar 3410 ATM"/>
    <s v="XXS6T50312_BZ"/>
    <s v="7150"/>
    <s v="Bonyhád"/>
    <s v="Szabadság tér 8."/>
    <s v="ok"/>
    <n v="2"/>
    <n v="2"/>
    <x v="21"/>
    <n v="1"/>
    <n v="1"/>
    <n v="1"/>
  </r>
  <r>
    <x v="6"/>
    <s v="S6T50314_BZ"/>
    <s v="Diebold-Questar 3410 ATM"/>
    <s v="XXS6T50314_BZ"/>
    <s v="7030"/>
    <s v="Paks"/>
    <s v="Villany u. 4."/>
    <s v="ok"/>
    <n v="2"/>
    <n v="2"/>
    <x v="21"/>
    <e v="#N/A"/>
    <n v="0"/>
    <n v="2"/>
  </r>
  <r>
    <x v="6"/>
    <s v="S6T50315_BZ"/>
    <s v="Diebold-Questar 3410 ATM"/>
    <s v="XXS6T50315_BZ"/>
    <s v="7100"/>
    <s v="Szekszárd"/>
    <s v="Garai tér 16."/>
    <s v="ok"/>
    <n v="2"/>
    <n v="2"/>
    <x v="21"/>
    <e v="#N/A"/>
    <n v="0"/>
    <n v="2"/>
  </r>
  <r>
    <x v="6"/>
    <s v="S6T50316"/>
    <s v="ProCash 2050"/>
    <s v="XXS6T50316"/>
    <s v="8900"/>
    <s v="Zalaegerszeg"/>
    <s v="Tompa M. u. 1-3."/>
    <s v="ok"/>
    <n v="2"/>
    <n v="2"/>
    <x v="9"/>
    <n v="1"/>
    <n v="1"/>
    <n v="1"/>
  </r>
  <r>
    <x v="6"/>
    <s v="S6T50319"/>
    <s v="Diebold-Opteva 760 ATM Outdoor"/>
    <s v="1760R3320870"/>
    <s v="8800"/>
    <s v="Nagykanizsa"/>
    <s v="Zrínyi u. 15."/>
    <s v="ok"/>
    <n v="2"/>
    <n v="2"/>
    <x v="9"/>
    <n v="1"/>
    <n v="1"/>
    <n v="1"/>
  </r>
  <r>
    <x v="6"/>
    <s v="S6T50394"/>
    <s v="Diebold-Opteva 760 ATM Outdoor"/>
    <s v="1760RCF00075"/>
    <s v="8852"/>
    <s v="Zákány"/>
    <s v="Május 1. u. 6."/>
    <s v="ok"/>
    <n v="2"/>
    <n v="2"/>
    <x v="9"/>
    <n v="1"/>
    <n v="1"/>
    <n v="1"/>
  </r>
  <r>
    <x v="6"/>
    <s v="S6T50395"/>
    <s v="Diebold-Opteva 760 ATM Outdoor"/>
    <s v="1760R3320186"/>
    <s v="8840"/>
    <s v="Csurgó"/>
    <s v="Csokonai utca 14."/>
    <s v="ok"/>
    <n v="2"/>
    <n v="2"/>
    <x v="9"/>
    <n v="1"/>
    <n v="1"/>
    <n v="1"/>
  </r>
  <r>
    <x v="6"/>
    <s v="S6T50402"/>
    <s v="Diebold-Opteva 760 ATM Outdoor"/>
    <s v="1760RCF00110"/>
    <s v="7622"/>
    <s v="Pécs"/>
    <s v="Citrom u. 5."/>
    <s v="ok"/>
    <n v="2"/>
    <n v="2"/>
    <x v="12"/>
    <e v="#N/A"/>
    <n v="0"/>
    <n v="2"/>
  </r>
  <r>
    <x v="6"/>
    <s v="S6T50413"/>
    <s v="Diebold-Opteva 560 ATM Outdoor"/>
    <s v="1560RCF00566"/>
    <s v="7700"/>
    <s v="Mohács"/>
    <s v="Horváth K. utca 3."/>
    <s v="ok"/>
    <n v="2"/>
    <n v="2"/>
    <x v="12"/>
    <e v="#N/A"/>
    <n v="0"/>
    <n v="2"/>
  </r>
  <r>
    <x v="6"/>
    <s v="S6T50415"/>
    <s v="OPT562 1GIG-DVD-UPS-LAN-A6-CEN3(4HIGH)"/>
    <s v="1562RH155237"/>
    <s v="9021"/>
    <s v="Győr"/>
    <s v="Árpád u. 25."/>
    <s v="ok"/>
    <n v="2"/>
    <n v="2"/>
    <x v="19"/>
    <e v="#N/A"/>
    <n v="0"/>
    <n v="2"/>
  </r>
  <r>
    <x v="6"/>
    <s v="S6T50416"/>
    <s v="OPT562 1GIG-DVD-UPS-LAN-A6-CEN3(4HIGH)"/>
    <s v="1562RH142488"/>
    <s v="9021"/>
    <s v="Győr"/>
    <s v="Árpád u. 25."/>
    <s v="ok"/>
    <n v="2"/>
    <n v="2"/>
    <x v="19"/>
    <e v="#N/A"/>
    <n v="0"/>
    <n v="2"/>
  </r>
  <r>
    <x v="6"/>
    <s v="S6T50701"/>
    <s v="Diebold-Opteva 760 ATM Outdoor"/>
    <s v="1760R3320847"/>
    <s v="7940"/>
    <s v="Szentlőrinc"/>
    <s v="Munkácsy u. 19."/>
    <s v="ok"/>
    <n v="2"/>
    <n v="2"/>
    <x v="12"/>
    <e v="#N/A"/>
    <n v="0"/>
    <n v="2"/>
  </r>
  <r>
    <x v="6"/>
    <s v="S6T50702"/>
    <s v="OPT562 1GIG-DVD-UPS-LAN-A6-CEN3(4HIGH)"/>
    <s v="1562RH125247"/>
    <s v="7838"/>
    <s v="Vajszló"/>
    <s v="Kodolányi tér 2."/>
    <s v="ok"/>
    <n v="2"/>
    <n v="2"/>
    <x v="12"/>
    <n v="1"/>
    <n v="1"/>
    <n v="1"/>
  </r>
  <r>
    <x v="6"/>
    <s v="S6T50704"/>
    <s v="Diebold-Opteva 760 ATM Outdoor"/>
    <s v="1760RH129403"/>
    <s v="7960"/>
    <s v="Sellye"/>
    <s v="Mátyás király u. 73."/>
    <s v="ok"/>
    <n v="2"/>
    <n v="2"/>
    <x v="12"/>
    <e v="#N/A"/>
    <n v="0"/>
    <n v="2"/>
  </r>
  <r>
    <x v="6"/>
    <s v="S6T50804"/>
    <s v="Diebold-Opteva 760 ATM Outdoor"/>
    <s v="1760RH126532"/>
    <s v="7900"/>
    <s v="Szigetvár"/>
    <s v="József Attila u. 19."/>
    <s v="ok"/>
    <n v="2"/>
    <n v="2"/>
    <x v="12"/>
    <n v="1"/>
    <n v="1"/>
    <n v="1"/>
  </r>
  <r>
    <x v="6"/>
    <s v="S6T50805"/>
    <s v="OPT562 1GIG-DVD-UPS-LAN-A6-CEN3(4HIGH)"/>
    <s v="1562RH124543"/>
    <s v="6000"/>
    <s v="Kecskemét"/>
    <s v="Dobó krt 15."/>
    <s v="ok"/>
    <n v="2"/>
    <n v="2"/>
    <x v="11"/>
    <n v="1"/>
    <n v="1"/>
    <n v="1"/>
  </r>
  <r>
    <x v="6"/>
    <s v="S6T50806"/>
    <s v="Diebold-Opteva 760 ATM Outdoor"/>
    <s v="1760RH127777"/>
    <s v="7622"/>
    <s v="Pécs"/>
    <s v="Bajcsy-Zs. u. 7."/>
    <s v="ok"/>
    <n v="2"/>
    <n v="0"/>
    <x v="12"/>
    <e v="#N/A"/>
    <n v="0"/>
    <n v="0"/>
  </r>
  <r>
    <x v="6"/>
    <s v="S6T50809"/>
    <s v="Diebold-Opteva 760 ATM Outdoor"/>
    <s v="1760RH126601"/>
    <s v="7936"/>
    <s v="Szentlászló"/>
    <s v="Kossuth u. 1/c"/>
    <s v="ok"/>
    <n v="2"/>
    <n v="2"/>
    <x v="12"/>
    <e v="#N/A"/>
    <n v="0"/>
    <n v="2"/>
  </r>
  <r>
    <x v="6"/>
    <s v="S6T50813_BZ"/>
    <s v="Diebold-Questar 3410 ATM"/>
    <s v="XXS6T50813_BZ"/>
    <s v="7985"/>
    <s v="Nagydobsza"/>
    <s v="Fő u. 1/b"/>
    <s v="ok"/>
    <n v="2"/>
    <n v="2"/>
    <x v="21"/>
    <e v="#N/A"/>
    <n v="0"/>
    <n v="2"/>
  </r>
  <r>
    <x v="6"/>
    <s v="S6T50814"/>
    <s v="Diebold-Opteva 560 ATM Outdoor"/>
    <s v="1560R3300990"/>
    <s v="7815"/>
    <s v="Harkány"/>
    <s v="Kossuth u. 16."/>
    <s v="ok"/>
    <n v="2"/>
    <n v="2"/>
    <x v="12"/>
    <e v="#N/A"/>
    <n v="0"/>
    <n v="2"/>
  </r>
  <r>
    <x v="6"/>
    <s v="S6T50815"/>
    <s v="ProCash 1500"/>
    <s v="XXS6T50815"/>
    <s v="7761"/>
    <s v="Kozármisleny"/>
    <s v="Orgona u. 2."/>
    <s v="ok"/>
    <n v="2"/>
    <n v="2"/>
    <x v="12"/>
    <e v="#N/A"/>
    <n v="0"/>
    <n v="2"/>
  </r>
  <r>
    <x v="6"/>
    <s v="S6T50820_BZ"/>
    <s v="Diebold-Questar 3410 ATM"/>
    <s v="XXS6T50820_BZ"/>
    <s v="7975"/>
    <s v="Kétújfalu"/>
    <s v="József A. u. 35."/>
    <s v="ok"/>
    <n v="2"/>
    <n v="2"/>
    <x v="21"/>
    <e v="#N/A"/>
    <n v="0"/>
    <n v="2"/>
  </r>
  <r>
    <x v="6"/>
    <s v="S6T50822"/>
    <s v="ProCash 2050"/>
    <s v="XXS6T50822"/>
    <s v="7632"/>
    <s v="Pécs"/>
    <s v="Csontváry u. 10."/>
    <s v="ok"/>
    <n v="2"/>
    <n v="2"/>
    <x v="12"/>
    <n v="1"/>
    <n v="1"/>
    <n v="1"/>
  </r>
  <r>
    <x v="6"/>
    <s v="S6T50823"/>
    <s v="ProCash 2100"/>
    <s v="5300057613"/>
    <s v="8623"/>
    <s v="Balatonföldvár"/>
    <s v="Balatonszentgyörgyi út 1."/>
    <s v="ok"/>
    <n v="2"/>
    <n v="2"/>
    <x v="4"/>
    <n v="1"/>
    <n v="1"/>
    <n v="1"/>
  </r>
  <r>
    <x v="6"/>
    <s v="S6T50825"/>
    <s v="Diebold-Opteva 760 ATM Outdoor"/>
    <s v="1760RH122523"/>
    <s v="8621"/>
    <s v="Zamárdi"/>
    <s v="Szabadság tér 5."/>
    <s v="ok"/>
    <n v="2"/>
    <n v="2"/>
    <x v="4"/>
    <n v="1"/>
    <n v="1"/>
    <n v="1"/>
  </r>
  <r>
    <x v="6"/>
    <s v="S6T50827"/>
    <s v="OPT562 1GIG-DVD-UPS-LAN-A6-CEN3(4HIGH)"/>
    <s v="1562R3301402"/>
    <s v="8654"/>
    <s v="Ságvár"/>
    <s v="Petőfi u. 18/6"/>
    <s v="ok"/>
    <n v="2"/>
    <n v="2"/>
    <x v="4"/>
    <n v="1"/>
    <n v="1"/>
    <n v="1"/>
  </r>
  <r>
    <x v="6"/>
    <s v="S6T50828_BZ"/>
    <s v="Diebold-Questar 3410 ATM"/>
    <s v="XXS6T50828_BZ"/>
    <s v="7285"/>
    <s v="Törökkoppány"/>
    <s v="Petőfi út 2."/>
    <s v="ok"/>
    <n v="2"/>
    <n v="2"/>
    <x v="21"/>
    <e v="#N/A"/>
    <n v="0"/>
    <n v="2"/>
  </r>
  <r>
    <x v="6"/>
    <s v="S6T50829"/>
    <s v="Diebold-Opteva 760 ATM Outdoor"/>
    <s v="1760RH126434"/>
    <s v="8660"/>
    <s v="Tab"/>
    <s v="Kossuth Lajos u. 80."/>
    <s v="ok"/>
    <n v="2"/>
    <n v="2"/>
    <x v="4"/>
    <e v="#N/A"/>
    <n v="0"/>
    <n v="2"/>
  </r>
  <r>
    <x v="6"/>
    <s v="S6T50830"/>
    <s v="Diebold-Opteva 760 ATM Outdoor"/>
    <s v="1760RCF00484"/>
    <s v="8600"/>
    <s v="Siófok"/>
    <s v="Széchenyi u. 6"/>
    <s v="ok"/>
    <n v="2"/>
    <n v="2"/>
    <x v="4"/>
    <e v="#N/A"/>
    <n v="0"/>
    <n v="2"/>
  </r>
  <r>
    <x v="6"/>
    <s v="S6T50832"/>
    <s v="Diebold-Opteva 760 ATM Outdoor"/>
    <s v="1760RH128697"/>
    <s v="7400"/>
    <s v="Kaposvár"/>
    <s v="Áchim András u. 4."/>
    <s v="ok"/>
    <n v="2"/>
    <n v="2"/>
    <x v="12"/>
    <n v="1"/>
    <n v="1"/>
    <n v="1"/>
  </r>
  <r>
    <x v="6"/>
    <s v="S6T50833"/>
    <s v="Diebold-Opteva 522 Lobby Cash Dispenser"/>
    <s v="1522FH104752"/>
    <s v="7570"/>
    <s v="Barcs"/>
    <s v="Bajcsy-Zsilinszky u. 83."/>
    <s v="ok"/>
    <n v="2"/>
    <n v="2"/>
    <x v="12"/>
    <e v="#N/A"/>
    <n v="0"/>
    <n v="2"/>
  </r>
  <r>
    <x v="6"/>
    <s v="S6T50834"/>
    <s v="OPT562 1GIG-DVD-UPS-LAN-A6-CEN3(4HIGH)"/>
    <s v="1562RH134502"/>
    <s v="7600"/>
    <s v="Pécs"/>
    <s v="Páfrány u. 2."/>
    <s v="ok"/>
    <n v="2"/>
    <n v="1"/>
    <x v="12"/>
    <e v="#N/A"/>
    <n v="0"/>
    <n v="1"/>
  </r>
  <r>
    <x v="6"/>
    <s v="S6T51009"/>
    <s v="OPT562 1GIG-DVD-UPS-LAN-A6-CEN3(4HIGH)"/>
    <s v="1562RH159080"/>
    <s v="6430"/>
    <s v="Bácsalmás"/>
    <s v="Gróf Teleki József u. 2."/>
    <s v="ok"/>
    <n v="2"/>
    <n v="2"/>
    <x v="7"/>
    <e v="#N/A"/>
    <n v="0"/>
    <n v="2"/>
  </r>
  <r>
    <x v="6"/>
    <s v="S6T51101"/>
    <s v="ProCash 2050"/>
    <s v="5300006433"/>
    <s v="6440"/>
    <s v="Jánoshalma"/>
    <s v="Kossuth u. 4."/>
    <s v="ok"/>
    <n v="2"/>
    <n v="2"/>
    <x v="7"/>
    <n v="1"/>
    <n v="1"/>
    <n v="1"/>
  </r>
  <r>
    <x v="6"/>
    <s v="S6T51102"/>
    <s v="CSC/450 system"/>
    <s v="SSB3213015"/>
    <s v="6447"/>
    <s v="Felsőszentiván"/>
    <s v="Szabadság u. 9."/>
    <s v="ok"/>
    <n v="2"/>
    <n v="2"/>
    <x v="7"/>
    <e v="#N/A"/>
    <n v="0"/>
    <n v="2"/>
  </r>
  <r>
    <x v="6"/>
    <s v="S6T51501"/>
    <s v="OPT562 1GIG-DVD-UPS-LAN-A6-CEN3(4HIGH)"/>
    <s v="1562RH156698"/>
    <s v="6326"/>
    <s v="Harta"/>
    <s v="Kossuth Lajos u. 31."/>
    <s v="ok"/>
    <n v="2"/>
    <n v="2"/>
    <x v="7"/>
    <n v="1"/>
    <n v="1"/>
    <n v="1"/>
  </r>
  <r>
    <x v="6"/>
    <s v="S6T51702"/>
    <s v="ProCash 1500xe RL USB"/>
    <s v="XXS6T51702"/>
    <s v="6131"/>
    <s v="Szank"/>
    <s v="Béke u. 38."/>
    <s v="ok"/>
    <n v="2"/>
    <n v="2"/>
    <x v="7"/>
    <n v="1"/>
    <n v="1"/>
    <n v="1"/>
  </r>
  <r>
    <x v="6"/>
    <s v="S6T51703"/>
    <s v="OPT562 1GIG-DVD-UPS-LAN-A6-CEN3(4HIGH)"/>
    <s v="1562RH138599"/>
    <s v="6133"/>
    <s v="Jászszentlászló"/>
    <s v="Rákóczi út 1."/>
    <s v="ok"/>
    <n v="2"/>
    <n v="2"/>
    <x v="7"/>
    <n v="1"/>
    <n v="1"/>
    <n v="1"/>
  </r>
  <r>
    <x v="6"/>
    <s v="S6T51704"/>
    <s v="ProCash 2150xe"/>
    <s v="5300453208"/>
    <s v="6044"/>
    <s v="Hetényegyháza"/>
    <s v="Szegfű u. 2/A"/>
    <s v="ok"/>
    <n v="2"/>
    <n v="2"/>
    <x v="7"/>
    <e v="#N/A"/>
    <n v="0"/>
    <n v="2"/>
  </r>
  <r>
    <x v="6"/>
    <s v="S6T51706"/>
    <s v="ProCash 2150xe"/>
    <s v="XXS6T51706"/>
    <s v="6045"/>
    <s v="Lajosmizse"/>
    <s v="Dózsa u. 74."/>
    <s v="ok"/>
    <n v="2"/>
    <n v="0"/>
    <x v="7"/>
    <e v="#N/A"/>
    <n v="0"/>
    <n v="0"/>
  </r>
  <r>
    <x v="6"/>
    <s v="S6T51708"/>
    <s v="ProCash 2150xe"/>
    <s v="5300116667"/>
    <s v="6449"/>
    <s v="Mélykút"/>
    <s v="Petőfi tér 3."/>
    <s v="ok"/>
    <n v="2"/>
    <n v="2"/>
    <x v="7"/>
    <n v="1"/>
    <n v="1"/>
    <n v="1"/>
  </r>
  <r>
    <x v="6"/>
    <s v="S6T51709"/>
    <s v="ProCash 2150xe"/>
    <s v="5300113770"/>
    <s v="6000"/>
    <s v="Kecskemét"/>
    <s v="Széchenyi sétány 5."/>
    <s v="ok"/>
    <n v="2"/>
    <n v="2"/>
    <x v="11"/>
    <e v="#N/A"/>
    <n v="0"/>
    <n v="2"/>
  </r>
  <r>
    <x v="6"/>
    <s v="S6T51710"/>
    <s v="ProCash 2150xe"/>
    <s v="5300221510"/>
    <s v="6112"/>
    <s v="Pálmonostora"/>
    <s v="Posta u. 14."/>
    <s v="ok"/>
    <n v="2"/>
    <n v="2"/>
    <x v="11"/>
    <n v="1"/>
    <n v="1"/>
    <n v="1"/>
  </r>
  <r>
    <x v="6"/>
    <s v="S6T51711"/>
    <s v="ProCash 2150xe"/>
    <s v="5300141081"/>
    <s v="6066"/>
    <s v="Tiszaalpár"/>
    <s v="Alkotmány u. 10."/>
    <s v="ok"/>
    <n v="2"/>
    <n v="2"/>
    <x v="11"/>
    <e v="#N/A"/>
    <n v="0"/>
    <n v="2"/>
  </r>
  <r>
    <x v="6"/>
    <s v="S6T51712"/>
    <s v="ProCash 2150xe"/>
    <s v="5300242753"/>
    <s v="6000"/>
    <s v="Kecskemét"/>
    <s v="Szabadság tér 3/a."/>
    <s v="ok"/>
    <n v="2"/>
    <n v="2"/>
    <x v="11"/>
    <e v="#N/A"/>
    <n v="0"/>
    <n v="2"/>
  </r>
  <r>
    <x v="6"/>
    <s v="S6T51713"/>
    <s v="ProCash 2150xe"/>
    <s v="5300242737"/>
    <s v="6097"/>
    <s v="Kunadacs"/>
    <s v="Kossuth u. 42/a."/>
    <s v="ok"/>
    <n v="2"/>
    <n v="2"/>
    <x v="15"/>
    <e v="#N/A"/>
    <n v="0"/>
    <n v="2"/>
  </r>
  <r>
    <x v="6"/>
    <s v="S6T51714"/>
    <s v="ProCash 2150xe"/>
    <s v="5300307078"/>
    <s v="6045"/>
    <s v="Ladánybene"/>
    <s v="Fő u. 51."/>
    <s v="ok"/>
    <n v="2"/>
    <n v="2"/>
    <x v="15"/>
    <e v="#N/A"/>
    <n v="0"/>
    <n v="2"/>
  </r>
  <r>
    <x v="6"/>
    <s v="S6T51715"/>
    <s v="ProCash 2150xe"/>
    <s v="5300278481"/>
    <s v="6135"/>
    <s v="Csólyospálos"/>
    <s v="Kossuth u. 79."/>
    <s v="ok"/>
    <n v="2"/>
    <n v="2"/>
    <x v="7"/>
    <e v="#N/A"/>
    <n v="0"/>
    <n v="2"/>
  </r>
  <r>
    <x v="6"/>
    <s v="S6T51716"/>
    <s v="Diebold-Opteva 560 ATM Outdoor"/>
    <s v="1560R3301584"/>
    <s v="6060"/>
    <s v="Tiszakécske"/>
    <s v="Szent Imre tér 13."/>
    <s v="ok"/>
    <n v="2"/>
    <n v="2"/>
    <x v="11"/>
    <e v="#N/A"/>
    <n v="0"/>
    <n v="2"/>
  </r>
  <r>
    <x v="6"/>
    <s v="S6T51717"/>
    <s v="OPT562 1GIG-DVD-UPS-LAN-A6-CEN3(4HIGH)"/>
    <s v="1562RH128676"/>
    <s v="2344"/>
    <s v="Dömsöd"/>
    <s v="Kossuth L. u. 61."/>
    <s v="ok"/>
    <n v="2"/>
    <n v="2"/>
    <x v="15"/>
    <n v="1"/>
    <n v="1"/>
    <n v="1"/>
  </r>
  <r>
    <x v="6"/>
    <s v="S6T51721"/>
    <s v="Diebold-Opteva 760 ATM Outdoor"/>
    <s v="1760RCF00467"/>
    <s v="6500"/>
    <s v="Baja"/>
    <s v="Szentháromság tér 7."/>
    <s v="ok"/>
    <n v="2"/>
    <n v="2"/>
    <x v="12"/>
    <e v="#N/A"/>
    <n v="0"/>
    <n v="2"/>
  </r>
  <r>
    <x v="6"/>
    <s v="S6T51725"/>
    <s v="OPT562 1GIG-DVD-UPS-LAN-A6-CEN3(4HIGH)"/>
    <s v="1562RH139158"/>
    <s v="2300"/>
    <s v="Ráckeve"/>
    <s v="Kossuth Lajos u. 32."/>
    <s v="ok"/>
    <n v="2"/>
    <n v="2"/>
    <x v="15"/>
    <n v="1"/>
    <n v="1"/>
    <n v="1"/>
  </r>
  <r>
    <x v="6"/>
    <s v="S6T51726"/>
    <s v="OPT562 1GIG-DVD-UPS-LAN-A6-CEN3(4HIGH)"/>
    <s v="1562RH139367"/>
    <s v="6113"/>
    <s v="Petőfiszállás"/>
    <s v="Kossuth u. 63."/>
    <s v="ok"/>
    <n v="2"/>
    <n v="2"/>
    <x v="3"/>
    <e v="#N/A"/>
    <n v="0"/>
    <n v="2"/>
  </r>
  <r>
    <x v="6"/>
    <s v="S6T51727"/>
    <s v="OPT562 1GIG-DVD-UPS-LAN-A6-CEN3(4HIGH)"/>
    <s v="1562RH139368"/>
    <s v="2340"/>
    <s v="Kiskunlacháza"/>
    <s v="Rákóczi u. 9."/>
    <s v="ok"/>
    <n v="2"/>
    <n v="2"/>
    <x v="15"/>
    <n v="1"/>
    <n v="1"/>
    <n v="1"/>
  </r>
  <r>
    <x v="6"/>
    <s v="S6T51732"/>
    <s v="ProCash 2150"/>
    <s v="XXS6T51732"/>
    <s v="6400"/>
    <s v="Kiskunhalas"/>
    <s v="Kossuth u. 4."/>
    <s v="ok"/>
    <n v="2"/>
    <n v="2"/>
    <x v="7"/>
    <e v="#N/A"/>
    <n v="0"/>
    <n v="2"/>
  </r>
  <r>
    <x v="6"/>
    <s v="S6T51736"/>
    <s v="Diebold-Opteva 760 ATM Outdoor"/>
    <s v="1760RH126604"/>
    <s v="6230"/>
    <s v="Soltvadkert"/>
    <s v="Ifjúság u. 4."/>
    <s v="ok"/>
    <n v="2"/>
    <n v="2"/>
    <x v="7"/>
    <e v="#N/A"/>
    <n v="0"/>
    <n v="2"/>
  </r>
  <r>
    <x v="6"/>
    <s v="S6T51738"/>
    <s v="OPT562 1GIG-DVD-UPS-LAN-A6-CEN3(4HIGH)"/>
    <s v="1562RH145157"/>
    <s v="6236"/>
    <s v="Tázlár"/>
    <s v="Templom köz 5."/>
    <s v="ok"/>
    <n v="2"/>
    <n v="0"/>
    <x v="7"/>
    <e v="#N/A"/>
    <n v="0"/>
    <n v="0"/>
  </r>
  <r>
    <x v="6"/>
    <s v="S6T51739"/>
    <s v="OPT562 1GIG-DVD-UPS-LAN-A6-CEN3(4HIGH)"/>
    <s v="1562RH145967"/>
    <s v="2336"/>
    <s v="Dunavarsány"/>
    <s v="Kossuth Lajos utca 38."/>
    <s v="ok"/>
    <n v="2"/>
    <n v="2"/>
    <x v="15"/>
    <n v="1"/>
    <n v="1"/>
    <n v="1"/>
  </r>
  <r>
    <x v="6"/>
    <s v="S6T51740"/>
    <s v="ProCash 2150xe"/>
    <s v="5300150707"/>
    <s v="6134"/>
    <s v="Kömpöc"/>
    <s v="Petőfi S. u. 5."/>
    <s v="ok"/>
    <n v="2"/>
    <n v="2"/>
    <x v="7"/>
    <e v="#N/A"/>
    <n v="0"/>
    <n v="2"/>
  </r>
  <r>
    <x v="6"/>
    <s v="S6T51741"/>
    <s v="ProCash 2150xe"/>
    <s v="XXS6T51741"/>
    <s v="6077"/>
    <s v="Orgovány"/>
    <s v="Kölcsei u. 2/A."/>
    <s v="ok"/>
    <n v="2"/>
    <n v="2"/>
    <x v="7"/>
    <e v="#N/A"/>
    <n v="0"/>
    <n v="2"/>
  </r>
  <r>
    <x v="6"/>
    <s v="S6T51742"/>
    <s v="OPT562 1GIG-DVD-UPS-LAN-A6-CEN3(4HIGH)"/>
    <s v="XXS6T51742"/>
    <s v="6114"/>
    <s v="Bugac"/>
    <s v="Béke utca 18."/>
    <s v="ok"/>
    <n v="2"/>
    <n v="2"/>
    <x v="11"/>
    <e v="#N/A"/>
    <n v="0"/>
    <n v="2"/>
  </r>
  <r>
    <x v="6"/>
    <s v="S6T51743"/>
    <s v="OPT562 1GIG-DVD-UPS-LAN-A6-CEN3(4HIGH)"/>
    <s v="1562R3301390"/>
    <s v="6328"/>
    <s v="Dunapataj"/>
    <s v="Ordasi utca 26."/>
    <s v="ok"/>
    <n v="2"/>
    <n v="2"/>
    <x v="7"/>
    <e v="#N/A"/>
    <n v="0"/>
    <n v="2"/>
  </r>
  <r>
    <x v="6"/>
    <s v="S6T51744"/>
    <s v="OPT562 1GIG-DVD-UPS-LAN-A6-CEN3(4HIGH)"/>
    <s v="1562R3301397"/>
    <s v="6334"/>
    <s v="Géderlak"/>
    <s v="Kossuth Lajos utca 66."/>
    <s v="ok"/>
    <n v="2"/>
    <n v="2"/>
    <x v="7"/>
    <e v="#N/A"/>
    <n v="0"/>
    <n v="2"/>
  </r>
  <r>
    <x v="6"/>
    <s v="S6T51745"/>
    <s v="OPT562 1GIG-DVD-UPS-LAN-A6-CEN3(4HIGH)"/>
    <s v="1562R3301396"/>
    <s v="6320"/>
    <s v="Solt"/>
    <s v="Posta utca 14."/>
    <s v="ok"/>
    <n v="2"/>
    <n v="2"/>
    <x v="7"/>
    <e v="#N/A"/>
    <n v="0"/>
    <n v="2"/>
  </r>
  <r>
    <x v="6"/>
    <s v="S6T51746"/>
    <s v="OPT562 1GIG-DVD-UPS-LAN-A6-CEN3(4HIGH)"/>
    <s v="1562RH132702"/>
    <s v="6336"/>
    <s v="Szakmár"/>
    <s v="Árpád utca 5."/>
    <s v="ok"/>
    <n v="2"/>
    <n v="2"/>
    <x v="7"/>
    <n v="1"/>
    <n v="1"/>
    <n v="1"/>
  </r>
  <r>
    <x v="6"/>
    <s v="S6T51747"/>
    <s v="OPT562 1GIG-DVD-UPS-LAN-A6-CEN3(4HIGH)"/>
    <s v="1562RH156629"/>
    <s v="6078"/>
    <s v="Jakabszállás"/>
    <s v="Petőfi Sándor u. 4."/>
    <s v="ok"/>
    <n v="2"/>
    <n v="2"/>
    <x v="7"/>
    <e v="#N/A"/>
    <n v="0"/>
    <n v="2"/>
  </r>
  <r>
    <x v="6"/>
    <s v="S6T51902"/>
    <s v="Diebold-Opteva 562r 3 High-Standard ATM"/>
    <s v="562RRH100582"/>
    <s v="6100"/>
    <s v="Kiskunfélegyháza"/>
    <s v="Gorkij u. 4."/>
    <s v="ok"/>
    <n v="2"/>
    <n v="2"/>
    <x v="11"/>
    <e v="#N/A"/>
    <n v="0"/>
    <n v="2"/>
  </r>
  <r>
    <x v="6"/>
    <s v="S6T51903"/>
    <s v="Diebold-1064ix ATM Indoor"/>
    <s v="4789-71-12579"/>
    <s v="6115"/>
    <s v="Kunszállás"/>
    <s v="Dózsa György út 27."/>
    <s v="ok"/>
    <n v="2"/>
    <n v="2"/>
    <x v="11"/>
    <e v="#N/A"/>
    <n v="0"/>
    <n v="2"/>
  </r>
  <r>
    <x v="6"/>
    <s v="S6T51904"/>
    <s v="Diebold-1064ix ATM Indoor"/>
    <s v="4789-41-07361"/>
    <s v="6033"/>
    <s v="Városföld"/>
    <s v="Felszabadulás u. 6."/>
    <s v="ok"/>
    <n v="2"/>
    <n v="0"/>
    <x v="11"/>
    <e v="#N/A"/>
    <n v="0"/>
    <n v="0"/>
  </r>
  <r>
    <x v="6"/>
    <s v="S6T52001"/>
    <s v="ProCash 2050"/>
    <s v="XXS6T52001"/>
    <s v="6065"/>
    <s v="Lakitelek"/>
    <s v="Liget u. 2."/>
    <s v="ok"/>
    <n v="2"/>
    <n v="2"/>
    <x v="11"/>
    <n v="1"/>
    <n v="1"/>
    <n v="1"/>
  </r>
  <r>
    <x v="6"/>
    <s v="S6T52002"/>
    <s v="ProCash 2050"/>
    <s v="XXS6T52002"/>
    <s v="6032"/>
    <s v="Nyárlőrinc"/>
    <s v="Dózsa u. 12/a"/>
    <s v="ok"/>
    <n v="2"/>
    <n v="2"/>
    <x v="11"/>
    <e v="#N/A"/>
    <n v="0"/>
    <n v="2"/>
  </r>
  <r>
    <x v="6"/>
    <s v="S6T52003"/>
    <s v="ProCash 2050"/>
    <s v="5300032755"/>
    <s v="6031"/>
    <s v="Szentkirály"/>
    <s v="Kossuth u. 13/1"/>
    <s v="ok"/>
    <n v="2"/>
    <n v="2"/>
    <x v="11"/>
    <e v="#N/A"/>
    <n v="0"/>
    <n v="2"/>
  </r>
  <r>
    <x v="6"/>
    <s v="S6T52004"/>
    <s v="ProCash 2050"/>
    <s v="XXS6T52004"/>
    <s v="6000"/>
    <s v="Kecskemét"/>
    <s v="Kisfaludy u. 8."/>
    <s v="ok"/>
    <n v="2"/>
    <n v="0"/>
    <x v="11"/>
    <e v="#N/A"/>
    <n v="0"/>
    <n v="0"/>
  </r>
  <r>
    <x v="6"/>
    <s v="S6T52301"/>
    <s v="OPT562 1GIG-DVD-UPS-LAN-A6-CEN3(4HIGH)"/>
    <s v="1562RH120096"/>
    <s v="6345"/>
    <s v="Nemesnádudvar"/>
    <s v="Petofi Sándor út. 41/b"/>
    <s v="ok"/>
    <n v="2"/>
    <n v="2"/>
    <x v="7"/>
    <n v="1"/>
    <n v="1"/>
    <n v="1"/>
  </r>
  <r>
    <x v="6"/>
    <s v="S6T52501"/>
    <s v="OPT562 1GIG-DVD-UPS-LAN-A6-CEN3(4HIGH)"/>
    <s v="562RRH100581"/>
    <s v="6000"/>
    <s v="Kecskemét"/>
    <s v="Kőhíd u. 6."/>
    <s v="ok"/>
    <n v="2"/>
    <n v="2"/>
    <x v="11"/>
    <e v="#N/A"/>
    <n v="0"/>
    <n v="2"/>
  </r>
  <r>
    <x v="6"/>
    <s v="S6T52504"/>
    <s v="OPT562 1GIG-DVD-UPS-LAN-A6-CEN3(4HIGH)"/>
    <s v="1562RCF00947"/>
    <s v="6085"/>
    <s v="Fülöpszállás"/>
    <s v="Kiskunság tér 1."/>
    <s v="ok"/>
    <n v="2"/>
    <n v="2"/>
    <x v="7"/>
    <e v="#N/A"/>
    <n v="0"/>
    <n v="2"/>
  </r>
  <r>
    <x v="6"/>
    <s v="S6T52505"/>
    <s v="OPT562 1GIG-DVD-UPS-LAN-A6-CEN3(4HIGH)"/>
    <s v="1562RCF00946"/>
    <s v="6200"/>
    <s v="Kiskőrös"/>
    <s v="Petőfi tér 1."/>
    <s v="ok"/>
    <n v="2"/>
    <n v="2"/>
    <x v="7"/>
    <e v="#N/A"/>
    <n v="0"/>
    <n v="2"/>
  </r>
  <r>
    <x v="6"/>
    <s v="S6T52506"/>
    <s v="OPT562 1GIG-DVD-UPS-LAN-A6-CEN3(4HIGH)"/>
    <s v="1562RCF00949"/>
    <s v="6237"/>
    <s v="Kecel"/>
    <s v="Fő tér 8."/>
    <s v="ok"/>
    <n v="2"/>
    <n v="2"/>
    <x v="7"/>
    <e v="#N/A"/>
    <n v="0"/>
    <n v="2"/>
  </r>
  <r>
    <x v="6"/>
    <s v="S6T52507"/>
    <s v="OPT562 1GIG-DVD-UPS-LAN-A6-CEN3(4HIGH)"/>
    <s v="1562RH131985"/>
    <s v="6222"/>
    <s v="Csengőd"/>
    <s v="Dózsa György út 69."/>
    <s v="ok"/>
    <n v="2"/>
    <n v="2"/>
    <x v="7"/>
    <n v="1"/>
    <n v="1"/>
    <n v="1"/>
  </r>
  <r>
    <x v="6"/>
    <s v="S6T52508"/>
    <s v="OPT562 1GIG-DVD-UPS-LAN-A6-CEN3(4HIGH)"/>
    <s v="1562RH144919"/>
    <s v="6239"/>
    <s v="Császártöltés"/>
    <s v="Bajai utca 1."/>
    <s v="ok"/>
    <n v="2"/>
    <n v="0"/>
    <x v="7"/>
    <e v="#N/A"/>
    <n v="0"/>
    <n v="0"/>
  </r>
  <r>
    <x v="6"/>
    <s v="S6T52509"/>
    <s v="Diebold-Opteva 760 ATM Outdoor"/>
    <s v="1760RH131254"/>
    <s v="6070"/>
    <s v="Izsák"/>
    <s v="Szabadság tér 10."/>
    <s v="ok"/>
    <n v="2"/>
    <n v="2"/>
    <x v="7"/>
    <n v="1"/>
    <n v="1"/>
    <n v="1"/>
  </r>
  <r>
    <x v="6"/>
    <s v="S6T52510"/>
    <s v="ProCash 2050"/>
    <s v="XXS6T52510"/>
    <s v="6076"/>
    <s v="Ágasegyháza"/>
    <s v="Rákóczi út 66."/>
    <s v="ok"/>
    <n v="2"/>
    <n v="2"/>
    <x v="7"/>
    <e v="#N/A"/>
    <n v="0"/>
    <n v="2"/>
  </r>
  <r>
    <x v="6"/>
    <s v="S6T52511"/>
    <s v="Diebold-Opteva 760 ATM Outdoor"/>
    <s v="1760R3320139"/>
    <s v="6075"/>
    <s v="Páhi"/>
    <s v="Rákóczi utca 46."/>
    <s v="ok"/>
    <n v="2"/>
    <n v="2"/>
    <x v="7"/>
    <e v="#N/A"/>
    <n v="0"/>
    <n v="2"/>
  </r>
  <r>
    <x v="6"/>
    <s v="S6T52512"/>
    <s v="OPT562 1GIG-DVD-UPS-LAN-A6-CEN3(4HIGH)"/>
    <s v="1562R3301389"/>
    <s v="6224"/>
    <s v="Tabdi"/>
    <s v="Vasút utca 3."/>
    <s v="ok"/>
    <n v="2"/>
    <n v="2"/>
    <x v="7"/>
    <e v="#N/A"/>
    <n v="0"/>
    <n v="2"/>
  </r>
  <r>
    <x v="6"/>
    <s v="S6T52513"/>
    <s v="Diebold-Opteva 760 ATM Outdoor"/>
    <s v="1760RH131253"/>
    <s v="6221"/>
    <s v="Akasztó"/>
    <s v="Fő u. 53."/>
    <s v="ok"/>
    <n v="2"/>
    <n v="2"/>
    <x v="7"/>
    <n v="1"/>
    <n v="1"/>
    <n v="1"/>
  </r>
  <r>
    <x v="6"/>
    <s v="S6T52802"/>
    <s v="OPT562 1GIG-DVD-UPS-LAN-A6-CEN3(4HIGH)"/>
    <s v="1562RH139004"/>
    <s v="6090"/>
    <s v="Kunszentmiklós"/>
    <s v="Kálvin tér 11."/>
    <s v="ok"/>
    <n v="2"/>
    <n v="2"/>
    <x v="15"/>
    <n v="1"/>
    <n v="1"/>
    <n v="1"/>
  </r>
  <r>
    <x v="6"/>
    <s v="S6T52803"/>
    <s v="OPT562 1GIG-DVD-UPS-LAN-A6-CEN3(4HIGH)"/>
    <s v="1562RH132666"/>
    <s v="6098"/>
    <s v="Tass"/>
    <s v="Széchenyi krt. 75."/>
    <s v="ok"/>
    <n v="2"/>
    <n v="2"/>
    <x v="15"/>
    <n v="1"/>
    <n v="1"/>
    <n v="1"/>
  </r>
  <r>
    <x v="6"/>
    <s v="S6T53101"/>
    <s v="OPT562 1GIG-DVD-UPS-LAN-A6-CEN3(4HIGH)"/>
    <s v="1562RH145158"/>
    <s v="6423"/>
    <s v="Kelebia"/>
    <s v="Ady E. u. 1321."/>
    <s v="ok"/>
    <n v="2"/>
    <n v="2"/>
    <x v="7"/>
    <e v="#N/A"/>
    <n v="0"/>
    <n v="2"/>
  </r>
  <r>
    <x v="6"/>
    <s v="S6T53203"/>
    <s v="ProCash 2150"/>
    <s v="6100692461"/>
    <s v="5502"/>
    <s v="Gyomaendrőd"/>
    <s v="Blaha u. 5."/>
    <s v="ok"/>
    <n v="2"/>
    <n v="2"/>
    <x v="11"/>
    <e v="#N/A"/>
    <n v="0"/>
    <n v="2"/>
  </r>
  <r>
    <x v="6"/>
    <s v="S6T53205"/>
    <s v="ProCash 2150xe"/>
    <s v="5300248392"/>
    <s v="5650"/>
    <s v="Mezőberény"/>
    <s v="Békési út 6."/>
    <s v="ok"/>
    <n v="2"/>
    <n v="2"/>
    <x v="11"/>
    <n v="1"/>
    <n v="1"/>
    <n v="1"/>
  </r>
  <r>
    <x v="6"/>
    <s v="S6T53206"/>
    <s v="ProCash 2150"/>
    <s v="6101079234"/>
    <s v="5622"/>
    <s v="Köröstarcsa"/>
    <s v="Kossuth u. 17."/>
    <s v="ok"/>
    <n v="2"/>
    <n v="2"/>
    <x v="11"/>
    <n v="1"/>
    <n v="1"/>
    <n v="1"/>
  </r>
  <r>
    <x v="6"/>
    <s v="S6T53207"/>
    <s v="ProCash 2150"/>
    <s v="6100783713"/>
    <s v="5643"/>
    <s v="Bélmegyer"/>
    <s v="Petőfi u. 21."/>
    <s v="ok"/>
    <n v="2"/>
    <n v="2"/>
    <x v="3"/>
    <e v="#N/A"/>
    <n v="0"/>
    <n v="2"/>
  </r>
  <r>
    <x v="6"/>
    <s v="S6T53208"/>
    <s v="ProCash 2100xe USB Rearload"/>
    <s v="5300377755"/>
    <s v="5672"/>
    <s v="Murony"/>
    <s v="Szarvasi u. 20."/>
    <s v="ok"/>
    <n v="2"/>
    <n v="2"/>
    <x v="3"/>
    <n v="1"/>
    <n v="1"/>
    <n v="1"/>
  </r>
  <r>
    <x v="6"/>
    <s v="S6T53209"/>
    <s v="ProCash 2150xe USB"/>
    <s v="5300415927"/>
    <s v="5555"/>
    <s v="Hunya"/>
    <s v="Rákóczi u. 6."/>
    <s v="ok"/>
    <n v="2"/>
    <n v="2"/>
    <x v="11"/>
    <n v="1"/>
    <n v="1"/>
    <n v="1"/>
  </r>
  <r>
    <x v="6"/>
    <s v="S6T53302"/>
    <s v="ProCash 2150xe"/>
    <s v="XXS6T53302"/>
    <s v="5932"/>
    <s v="Gádoros"/>
    <s v="Nagy u. 63."/>
    <s v="ok"/>
    <n v="2"/>
    <n v="2"/>
    <x v="3"/>
    <n v="1"/>
    <n v="1"/>
    <n v="1"/>
  </r>
  <r>
    <x v="6"/>
    <s v="S6T53303"/>
    <s v="ProCash 2150xe"/>
    <s v="5300145145"/>
    <s v="5940"/>
    <s v="Tótkomlós"/>
    <s v="Kossuth u. 1."/>
    <s v="ok"/>
    <n v="2"/>
    <n v="2"/>
    <x v="3"/>
    <n v="1"/>
    <n v="1"/>
    <n v="1"/>
  </r>
  <r>
    <x v="6"/>
    <s v="S6T53304"/>
    <s v="ProCash 2150xe"/>
    <s v="5300222546"/>
    <s v="5931"/>
    <s v="Nagyszénás"/>
    <s v="Hősök u. 2/A"/>
    <s v="ok"/>
    <n v="2"/>
    <n v="2"/>
    <x v="3"/>
    <n v="1"/>
    <n v="1"/>
    <n v="1"/>
  </r>
  <r>
    <x v="6"/>
    <s v="S6T53305"/>
    <s v="ProCash 1500xe RL USB"/>
    <s v="5300466341"/>
    <s v="5675"/>
    <s v="Telekgerendás"/>
    <s v="Ady u. 18/1."/>
    <s v="ok"/>
    <n v="2"/>
    <n v="2"/>
    <x v="3"/>
    <n v="1"/>
    <n v="1"/>
    <n v="1"/>
  </r>
  <r>
    <x v="6"/>
    <s v="S6T53306"/>
    <s v="ProCash 2150xe"/>
    <s v="5300249974"/>
    <s v="5662"/>
    <s v="Csanádapáca"/>
    <s v="Batthyány u. 3."/>
    <s v="ok"/>
    <n v="2"/>
    <n v="2"/>
    <x v="3"/>
    <n v="1"/>
    <n v="1"/>
    <n v="1"/>
  </r>
  <r>
    <x v="6"/>
    <s v="S6T53307"/>
    <s v="ProCash 1500xe RL USB"/>
    <s v="5300358124"/>
    <s v="5920"/>
    <s v="Csorvás"/>
    <s v="Rákóczi u. 1."/>
    <s v="ok"/>
    <n v="2"/>
    <n v="2"/>
    <x v="3"/>
    <e v="#N/A"/>
    <n v="0"/>
    <n v="2"/>
  </r>
  <r>
    <x v="6"/>
    <s v="S6T53308"/>
    <s v="ProCash 2150xe"/>
    <s v="5300162360"/>
    <s v="5946"/>
    <s v="Békéssámson"/>
    <s v="Szabadság u. 66."/>
    <s v="ok"/>
    <n v="2"/>
    <n v="2"/>
    <x v="3"/>
    <n v="1"/>
    <n v="1"/>
    <n v="1"/>
  </r>
  <r>
    <x v="6"/>
    <s v="S6T53312"/>
    <s v="OPT562 1GIG-DVD-UPS-LAN-A6-CEN3(4HIGH)"/>
    <s v="1562RH127792"/>
    <s v="5600"/>
    <s v="Békéscsaba"/>
    <s v="Andrássy út 29-33."/>
    <s v="ok"/>
    <n v="2"/>
    <n v="2"/>
    <x v="3"/>
    <n v="1"/>
    <n v="1"/>
    <n v="1"/>
  </r>
  <r>
    <x v="6"/>
    <s v="S6T53601"/>
    <s v="ProCash 2150xe"/>
    <s v="5300166949"/>
    <s v="5700"/>
    <s v="Gyula"/>
    <s v="Városház utca 23."/>
    <s v="ok"/>
    <n v="2"/>
    <n v="2"/>
    <x v="3"/>
    <n v="1"/>
    <n v="1"/>
    <n v="1"/>
  </r>
  <r>
    <x v="6"/>
    <s v="S6T53701"/>
    <s v="Diebold-Opteva 562r 3 High-Standard ATM"/>
    <s v="562RRH100023"/>
    <s v="5553"/>
    <s v="Kondoros"/>
    <s v="Csabai út 14."/>
    <s v="ok"/>
    <n v="2"/>
    <n v="2"/>
    <x v="3"/>
    <e v="#N/A"/>
    <n v="0"/>
    <n v="2"/>
  </r>
  <r>
    <x v="6"/>
    <s v="S6T53702"/>
    <s v="Diebold-Opteva 760 ATM Outdoor"/>
    <s v="1760RCF00640"/>
    <s v="5600"/>
    <s v="Békéscsaba"/>
    <s v="Orosházi út 47."/>
    <s v="ok"/>
    <n v="2"/>
    <n v="2"/>
    <x v="3"/>
    <n v="1"/>
    <n v="1"/>
    <n v="1"/>
  </r>
  <r>
    <x v="6"/>
    <s v="S6T53704"/>
    <s v="OPT562 1GIG-DVD-UPS-LAN-A6-CEN3(4HIGH)"/>
    <s v="1562RH133132"/>
    <s v="5600"/>
    <s v="Békéscsaba"/>
    <s v="Lencsési út 42."/>
    <s v="ok"/>
    <n v="2"/>
    <n v="2"/>
    <x v="3"/>
    <e v="#N/A"/>
    <n v="0"/>
    <n v="2"/>
  </r>
  <r>
    <x v="6"/>
    <s v="S6T54008"/>
    <s v="OPT562 1GIG-DVD-UPS-LAN-A6-CEN3(4HIGH)"/>
    <s v="1562RH144917"/>
    <s v="5567"/>
    <s v="Zsadány"/>
    <s v="Béke utca 92."/>
    <s v="ok"/>
    <n v="2"/>
    <n v="2"/>
    <x v="16"/>
    <n v="1"/>
    <n v="1"/>
    <n v="1"/>
  </r>
  <r>
    <x v="6"/>
    <s v="S6T54201"/>
    <s v="ProCash 2050xe USB"/>
    <s v="5300827421"/>
    <s v="3412"/>
    <s v="Bogács"/>
    <s v="Táncsics út 2."/>
    <s v="ok"/>
    <n v="2"/>
    <n v="2"/>
    <x v="2"/>
    <n v="1"/>
    <n v="1"/>
    <n v="1"/>
  </r>
  <r>
    <x v="6"/>
    <s v="S6T54202"/>
    <s v="ProCash 2050xe"/>
    <s v="5300272280"/>
    <s v="3433"/>
    <s v="Nyékládháza"/>
    <s v="Kossuth út 59."/>
    <s v="ok"/>
    <n v="2"/>
    <n v="2"/>
    <x v="2"/>
    <n v="1"/>
    <n v="1"/>
    <n v="1"/>
  </r>
  <r>
    <x v="6"/>
    <s v="S6T54203"/>
    <s v="ProCash 2050xe"/>
    <s v="5300209265"/>
    <s v="3450"/>
    <s v="Mezőcsát"/>
    <s v="Kossuth út 7."/>
    <s v="ok"/>
    <n v="2"/>
    <n v="2"/>
    <x v="2"/>
    <n v="1"/>
    <n v="1"/>
    <n v="1"/>
  </r>
  <r>
    <x v="6"/>
    <s v="S6T54204"/>
    <s v="ProCash 2050xe USB"/>
    <s v="5300818926"/>
    <s v="3594"/>
    <s v="Hejőpapi"/>
    <s v="Kossuth út 93."/>
    <s v="ok"/>
    <n v="2"/>
    <n v="2"/>
    <x v="2"/>
    <n v="1"/>
    <n v="1"/>
    <n v="1"/>
  </r>
  <r>
    <x v="6"/>
    <s v="S6T54205"/>
    <s v="ProCash 2050xe USB"/>
    <s v="5300819008"/>
    <s v="3458"/>
    <s v="Tiszakeszi"/>
    <s v="Községház út 38."/>
    <s v="ok"/>
    <n v="2"/>
    <n v="2"/>
    <x v="2"/>
    <e v="#N/A"/>
    <n v="0"/>
    <n v="2"/>
  </r>
  <r>
    <x v="6"/>
    <s v="S6T54304"/>
    <s v="ProCash 2150xe"/>
    <s v="XXS6T54304"/>
    <s v="3794"/>
    <s v="Boldva"/>
    <s v="Mátyás kir. u. 76."/>
    <s v="ok"/>
    <n v="2"/>
    <n v="2"/>
    <x v="2"/>
    <n v="1"/>
    <n v="1"/>
    <n v="1"/>
  </r>
  <r>
    <x v="6"/>
    <s v="S6T54305"/>
    <s v="ProCash 2150xe"/>
    <s v="5300214620"/>
    <s v="3786"/>
    <s v="Lak"/>
    <s v="Kossuth u. 1/c."/>
    <s v="ok"/>
    <n v="2"/>
    <n v="2"/>
    <x v="2"/>
    <n v="1"/>
    <n v="1"/>
    <n v="1"/>
  </r>
  <r>
    <x v="6"/>
    <s v="S6T54306"/>
    <s v="ProCash 2150xe"/>
    <s v="5300214619"/>
    <s v="3796"/>
    <s v="Borsodszirák"/>
    <s v="Fő u. 16."/>
    <s v="ok"/>
    <n v="2"/>
    <n v="2"/>
    <x v="2"/>
    <n v="1"/>
    <n v="1"/>
    <n v="1"/>
  </r>
  <r>
    <x v="6"/>
    <s v="S6T54501"/>
    <s v="ProCash 2050xe USB"/>
    <s v="5300824368"/>
    <s v="3561"/>
    <s v="Felsőzsolca"/>
    <s v="Kassai út 28."/>
    <s v="ok"/>
    <n v="2"/>
    <n v="2"/>
    <x v="2"/>
    <n v="1"/>
    <n v="1"/>
    <n v="1"/>
  </r>
  <r>
    <x v="6"/>
    <s v="S6T54502"/>
    <s v="ProCash 2150xe"/>
    <s v="5300095397"/>
    <s v="3525"/>
    <s v="Miskolc"/>
    <s v="Széchenyi u. 70."/>
    <s v="ok"/>
    <n v="2"/>
    <n v="2"/>
    <x v="2"/>
    <e v="#N/A"/>
    <n v="0"/>
    <n v="2"/>
  </r>
  <r>
    <x v="6"/>
    <s v="S6T54503"/>
    <s v="ProCash 2150xe"/>
    <s v="5300129569"/>
    <s v="3564"/>
    <s v="Hernádnémeti"/>
    <s v="Bajcsy-Zs. u. 1."/>
    <s v="ok"/>
    <n v="2"/>
    <n v="2"/>
    <x v="2"/>
    <e v="#N/A"/>
    <n v="0"/>
    <n v="2"/>
  </r>
  <r>
    <x v="6"/>
    <s v="S6T54504"/>
    <s v="ProCash 2150xe"/>
    <s v="5300249865"/>
    <s v="3571"/>
    <s v="Alsózsolca"/>
    <s v="Kossuth u. 121."/>
    <s v="ok"/>
    <n v="2"/>
    <n v="2"/>
    <x v="2"/>
    <n v="1"/>
    <n v="1"/>
    <n v="1"/>
  </r>
  <r>
    <x v="6"/>
    <s v="S6T54505"/>
    <s v="ProCash 2050xe"/>
    <s v="5300187254"/>
    <s v="3711"/>
    <s v="Szirmabesenyő"/>
    <s v="Mátyás király út 9."/>
    <s v="ok"/>
    <n v="2"/>
    <n v="2"/>
    <x v="2"/>
    <n v="1"/>
    <n v="1"/>
    <n v="1"/>
  </r>
  <r>
    <x v="6"/>
    <s v="S6T54506"/>
    <s v="ProCash 2150xe"/>
    <s v="5300107804"/>
    <s v="3770"/>
    <s v="Sajószentpéter"/>
    <s v="Kossuth L. út 179"/>
    <s v="ok"/>
    <n v="2"/>
    <n v="2"/>
    <x v="2"/>
    <n v="1"/>
    <n v="1"/>
    <n v="1"/>
  </r>
  <r>
    <x v="6"/>
    <s v="S6T54508"/>
    <s v="OPT562 1GIG-DVD-UPS-LAN-A6-CEN3(4HIGH)"/>
    <s v="1562RH159124"/>
    <s v="3500"/>
    <s v="Miskolc"/>
    <s v="Széchenyi u. 70."/>
    <s v="ok"/>
    <n v="2"/>
    <n v="2"/>
    <x v="2"/>
    <e v="#N/A"/>
    <n v="0"/>
    <n v="2"/>
  </r>
  <r>
    <x v="6"/>
    <s v="S6T54601"/>
    <s v="ProCash 2050xe"/>
    <s v="5300486156"/>
    <s v="3812"/>
    <s v="Homrogd"/>
    <s v="Kossuth út 125."/>
    <s v="ok"/>
    <n v="2"/>
    <n v="2"/>
    <x v="2"/>
    <n v="1"/>
    <n v="1"/>
    <n v="1"/>
  </r>
  <r>
    <x v="6"/>
    <s v="S6T54602"/>
    <s v="ProCash 2050xe"/>
    <s v="5300249939"/>
    <s v="3849"/>
    <s v="Forró"/>
    <s v="Fő út 58."/>
    <s v="ok"/>
    <n v="2"/>
    <n v="2"/>
    <x v="2"/>
    <e v="#N/A"/>
    <n v="0"/>
    <n v="2"/>
  </r>
  <r>
    <x v="6"/>
    <s v="S6T54603"/>
    <s v="ProCash 2050xe"/>
    <s v="5300486146"/>
    <s v="3851"/>
    <s v="Ináncs"/>
    <s v="Rákóczi út 1/a"/>
    <s v="ok"/>
    <n v="2"/>
    <n v="2"/>
    <x v="2"/>
    <n v="1"/>
    <n v="1"/>
    <n v="1"/>
  </r>
  <r>
    <x v="6"/>
    <s v="S6T54604"/>
    <s v="CSC/450 system"/>
    <s v="5300071595"/>
    <s v="3821"/>
    <s v="Krasznokvajda"/>
    <s v="Petőfi út 11."/>
    <s v="ok"/>
    <n v="2"/>
    <n v="2"/>
    <x v="2"/>
    <e v="#N/A"/>
    <n v="0"/>
    <n v="2"/>
  </r>
  <r>
    <x v="6"/>
    <s v="S6T54606"/>
    <s v="ProCash 2050xe"/>
    <s v="5300249958"/>
    <s v="3842"/>
    <s v="Halmaj"/>
    <s v="Fő út 8."/>
    <s v="ok"/>
    <n v="2"/>
    <n v="2"/>
    <x v="2"/>
    <n v="1"/>
    <n v="1"/>
    <n v="1"/>
  </r>
  <r>
    <x v="6"/>
    <s v="S6T54607"/>
    <s v="ProCash 2050xe"/>
    <s v="5300249957"/>
    <s v="3800"/>
    <s v="Szikszó"/>
    <s v="Bolt út 26."/>
    <s v="ok"/>
    <n v="2"/>
    <n v="2"/>
    <x v="2"/>
    <e v="#N/A"/>
    <n v="0"/>
    <n v="2"/>
  </r>
  <r>
    <x v="6"/>
    <s v="S6T54608"/>
    <s v="CSC/450 system"/>
    <s v="SSB3212996"/>
    <s v="3814"/>
    <s v="Felsővadász"/>
    <s v="Dózsa Gy. út 15."/>
    <s v="ok"/>
    <n v="2"/>
    <n v="2"/>
    <x v="2"/>
    <e v="#N/A"/>
    <n v="0"/>
    <n v="2"/>
  </r>
  <r>
    <x v="6"/>
    <s v="S6T54609"/>
    <s v="ProCash 2050xe"/>
    <s v="5300328653"/>
    <s v="3860"/>
    <s v="Encs"/>
    <s v="Petőfi Sándor út 22."/>
    <s v="ok"/>
    <n v="2"/>
    <n v="2"/>
    <x v="2"/>
    <n v="1"/>
    <n v="1"/>
    <n v="1"/>
  </r>
  <r>
    <x v="6"/>
    <s v="S6T54610"/>
    <s v="ProCash 2050xe"/>
    <s v="NR6101299709"/>
    <s v="3895"/>
    <s v="Gönc"/>
    <s v="Kossuth utca 44."/>
    <s v="ok"/>
    <n v="2"/>
    <n v="2"/>
    <x v="2"/>
    <n v="1"/>
    <n v="1"/>
    <n v="1"/>
  </r>
  <r>
    <x v="6"/>
    <s v="S6T54612"/>
    <s v="ProCash 2050xe"/>
    <s v="5300497326"/>
    <s v="3876"/>
    <s v="Hidasnémeti"/>
    <s v="Kassai út 47."/>
    <s v="ok"/>
    <n v="2"/>
    <n v="2"/>
    <x v="2"/>
    <n v="1"/>
    <n v="1"/>
    <n v="1"/>
  </r>
  <r>
    <x v="6"/>
    <s v="S6T54613"/>
    <s v="ProCash 2050xe"/>
    <s v="5300497445"/>
    <s v="3872"/>
    <s v="Novajidrány"/>
    <s v="Kossuth Lajos utca 56."/>
    <s v="ok"/>
    <n v="2"/>
    <n v="2"/>
    <x v="2"/>
    <n v="1"/>
    <n v="1"/>
    <n v="1"/>
  </r>
  <r>
    <x v="6"/>
    <s v="S6T54614"/>
    <s v="ProCash 2050xe"/>
    <s v="XXS6T54614"/>
    <s v="3896"/>
    <s v="Telkibánya"/>
    <s v="Petőfi Sándor út 3."/>
    <s v="ok"/>
    <n v="2"/>
    <n v="2"/>
    <x v="2"/>
    <e v="#N/A"/>
    <n v="0"/>
    <n v="2"/>
  </r>
  <r>
    <x v="6"/>
    <s v="S6T54616"/>
    <s v="OPT562 1GIG-DVD-UPS-LAN-A6-CEN3(4HIGH)"/>
    <s v="1562RH141910"/>
    <s v="3973"/>
    <s v="Cigánd"/>
    <s v="Fő út 75."/>
    <s v="ok"/>
    <n v="2"/>
    <n v="2"/>
    <x v="1"/>
    <e v="#N/A"/>
    <n v="0"/>
    <n v="2"/>
  </r>
  <r>
    <x v="6"/>
    <s v="S6T54617"/>
    <s v="OPT562 1GIG-DVD-UPS-LAN-A6-CEN3(4HIGH)"/>
    <s v="1562RH141911"/>
    <s v="3963"/>
    <s v="Karcsa"/>
    <s v="Táncsics út 51."/>
    <s v="ok"/>
    <n v="2"/>
    <n v="0"/>
    <x v="1"/>
    <e v="#N/A"/>
    <n v="0"/>
    <n v="0"/>
  </r>
  <r>
    <x v="6"/>
    <s v="S6T54618"/>
    <s v="OPT562 1GIG-DVD-UPS-LAN-A6-CEN3(4HIGH)"/>
    <s v="1562RH127793"/>
    <s v="3932"/>
    <s v="Erdőbénye"/>
    <s v="Kossuth u. 17."/>
    <s v="ok"/>
    <n v="2"/>
    <n v="2"/>
    <x v="1"/>
    <e v="#N/A"/>
    <n v="0"/>
    <n v="2"/>
  </r>
  <r>
    <x v="6"/>
    <s v="S6T54619"/>
    <s v="OPT562 1GIG-DVD-UPS-LAN-A6-CEN3(4HIGH)"/>
    <s v="1562RH147066"/>
    <s v="3933"/>
    <s v="Olaszliszka"/>
    <s v="Szent István u. 7."/>
    <s v="ok"/>
    <n v="2"/>
    <n v="2"/>
    <x v="1"/>
    <e v="#N/A"/>
    <n v="0"/>
    <n v="2"/>
  </r>
  <r>
    <x v="6"/>
    <s v="S6T54620"/>
    <s v="OPT562 1GIG-DVD-UPS-LAN-A6-CEN3(4HIGH)"/>
    <s v="1562R3320561"/>
    <s v="3971"/>
    <s v="Tiszakarád"/>
    <s v="Dózsa tér 2."/>
    <s v="ok"/>
    <n v="2"/>
    <n v="2"/>
    <x v="1"/>
    <e v="#N/A"/>
    <n v="0"/>
    <n v="2"/>
  </r>
  <r>
    <x v="6"/>
    <s v="S6T54621"/>
    <s v="OPT562 1GIG-DVD-UPS-LAN-A6-CEN3(4HIGH)"/>
    <s v="1562RH127742"/>
    <s v="3934"/>
    <s v="Tolcsva"/>
    <s v="Szabadság tér 6."/>
    <s v="ok"/>
    <n v="2"/>
    <n v="2"/>
    <x v="1"/>
    <n v="1"/>
    <n v="1"/>
    <n v="1"/>
  </r>
  <r>
    <x v="6"/>
    <s v="S6T54622"/>
    <s v="OPT562 1GIG-DVD-UPS-LAN-A6-CEN3(4HIGH)"/>
    <s v="1562RH127781"/>
    <s v="3955"/>
    <s v="Kenézlő"/>
    <s v="Nagyváradi u. 31."/>
    <s v="ok"/>
    <n v="2"/>
    <n v="2"/>
    <x v="1"/>
    <e v="#N/A"/>
    <n v="0"/>
    <n v="2"/>
  </r>
  <r>
    <x v="6"/>
    <s v="S6T54623"/>
    <s v="OPT562 1GIG-DVD-UPS-LAN-A6-CEN3(4HIGH)"/>
    <s v="1562RH131285"/>
    <s v="3987"/>
    <s v="Bodroghalom"/>
    <s v="Szabadság út 118."/>
    <s v="ok"/>
    <n v="2"/>
    <n v="2"/>
    <x v="1"/>
    <e v="#N/A"/>
    <n v="0"/>
    <n v="2"/>
  </r>
  <r>
    <x v="6"/>
    <s v="S6T54626"/>
    <s v="OPT562 1GIG-DVD-UPS-LAN-A6-CEN3(4HIGH)"/>
    <s v="1562RH136371"/>
    <s v="3916"/>
    <s v="Bodrogkeresztúr"/>
    <s v="Kossuth utca 55."/>
    <s v="ok"/>
    <n v="2"/>
    <n v="2"/>
    <x v="1"/>
    <e v="#N/A"/>
    <n v="0"/>
    <n v="2"/>
  </r>
  <r>
    <x v="6"/>
    <s v="S6T54627"/>
    <s v="Diebold-Opteva 560 ATM Outdoor"/>
    <s v="1560R3302881"/>
    <s v="1117"/>
    <s v="Budapest"/>
    <s v="Tétényi út 13."/>
    <s v="ok"/>
    <n v="2"/>
    <n v="2"/>
    <x v="17"/>
    <n v="1"/>
    <n v="1"/>
    <n v="1"/>
  </r>
  <r>
    <x v="6"/>
    <s v="S6T54628"/>
    <s v="Diebold-Opteva 560 ATM Outdoor"/>
    <s v="1560R3302880"/>
    <s v="3994"/>
    <s v="Pálháza"/>
    <s v="Dózsa György út 119."/>
    <s v="ok"/>
    <n v="2"/>
    <n v="2"/>
    <x v="1"/>
    <n v="1"/>
    <n v="1"/>
    <n v="1"/>
  </r>
  <r>
    <x v="6"/>
    <s v="S6T54629"/>
    <s v="OPT562 1GIG-DVD-UPS-LAN-A6-CEN3(4HIGH)"/>
    <s v="1562RH135484"/>
    <s v="3881"/>
    <s v="Abaújszántó"/>
    <s v="Béke út 32."/>
    <s v="ok"/>
    <n v="2"/>
    <n v="2"/>
    <x v="1"/>
    <n v="1"/>
    <n v="1"/>
    <n v="1"/>
  </r>
  <r>
    <x v="6"/>
    <s v="S6T55101"/>
    <s v="Diebold-Opteva 760 ATM Outdoor"/>
    <s v="1760RH123964"/>
    <s v="3400"/>
    <s v="Mezőkövesd"/>
    <s v="Mátyás király út 70."/>
    <s v="ok"/>
    <n v="2"/>
    <n v="2"/>
    <x v="2"/>
    <n v="1"/>
    <n v="1"/>
    <n v="1"/>
  </r>
  <r>
    <x v="6"/>
    <s v="S6T55103"/>
    <s v="OPT562 1GIG-DVD-UPS-LAN-A6-CEN3(4HIGH)"/>
    <s v="1562R3320091"/>
    <s v="3441"/>
    <s v="Mezőkeresztes"/>
    <s v="Dózsa Gy. u. 37."/>
    <s v="ok"/>
    <n v="2"/>
    <n v="2"/>
    <x v="2"/>
    <n v="1"/>
    <n v="1"/>
    <n v="1"/>
  </r>
  <r>
    <x v="6"/>
    <s v="S6T55104"/>
    <s v="CSC/450 system"/>
    <s v="XXS6T55104"/>
    <s v="3434"/>
    <s v="Mályi"/>
    <s v="Fő u. 18."/>
    <s v="ok"/>
    <n v="2"/>
    <n v="2"/>
    <x v="2"/>
    <n v="1"/>
    <n v="1"/>
    <n v="1"/>
  </r>
  <r>
    <x v="6"/>
    <s v="S6T55105"/>
    <s v="Diebold-Opteva 760 ATM Outdoor"/>
    <s v="1760RH125090"/>
    <s v="3530"/>
    <s v="Miskolc"/>
    <s v="Vörösmarty u. 43."/>
    <s v="ok"/>
    <n v="2"/>
    <n v="2"/>
    <x v="2"/>
    <n v="1"/>
    <n v="1"/>
    <n v="1"/>
  </r>
  <r>
    <x v="6"/>
    <s v="S6T55106"/>
    <s v="CSC/450 system"/>
    <s v="XXS6T55106"/>
    <s v="3422"/>
    <s v="Bükkábrány"/>
    <s v="Mátyás Király u. 15."/>
    <s v="ok"/>
    <n v="2"/>
    <n v="2"/>
    <x v="2"/>
    <n v="1"/>
    <n v="1"/>
    <n v="1"/>
  </r>
  <r>
    <x v="6"/>
    <s v="S6T55109"/>
    <s v="OPT562 1GIG-DVD-UPS-LAN-A6-CEN3(4HIGH)"/>
    <s v="1562R3320390"/>
    <s v="3418"/>
    <s v="Szentistván"/>
    <s v="Széchenyi út 10."/>
    <s v="ok"/>
    <n v="2"/>
    <n v="2"/>
    <x v="2"/>
    <n v="1"/>
    <n v="1"/>
    <n v="1"/>
  </r>
  <r>
    <x v="6"/>
    <s v="S6T55111"/>
    <s v="CSC/450 system"/>
    <s v="XXS6T55111"/>
    <s v="3462"/>
    <s v="Borsodivánka"/>
    <s v="Szabadság u. 4."/>
    <s v="ok"/>
    <n v="2"/>
    <n v="2"/>
    <x v="2"/>
    <e v="#N/A"/>
    <n v="0"/>
    <n v="2"/>
  </r>
  <r>
    <x v="6"/>
    <s v="S6T55112"/>
    <s v="Diebold-Opteva 760 ATM Outdoor"/>
    <s v="1760RCF00498"/>
    <s v="3431"/>
    <s v="Vatta"/>
    <s v="Szemere Bertalan u. 24."/>
    <s v="ok"/>
    <n v="2"/>
    <n v="2"/>
    <x v="2"/>
    <n v="1"/>
    <n v="1"/>
    <n v="1"/>
  </r>
  <r>
    <x v="6"/>
    <s v="S6T55113"/>
    <s v="OPT562 1GIG-DVD-UPS-LAN-A6-CEN3(4HIGH)"/>
    <s v="1562R3320092"/>
    <s v="3580"/>
    <s v="Tiszaújváros"/>
    <s v="Szent István u. 29/b"/>
    <s v="ok"/>
    <n v="2"/>
    <n v="2"/>
    <x v="2"/>
    <n v="1"/>
    <n v="1"/>
    <n v="1"/>
  </r>
  <r>
    <x v="6"/>
    <s v="S6T55114"/>
    <s v="ProCash 2050xe"/>
    <s v="5300118332"/>
    <s v="3500"/>
    <s v="Miskolc"/>
    <s v="Gutenberg u. 1."/>
    <s v="ok"/>
    <n v="2"/>
    <n v="2"/>
    <x v="2"/>
    <n v="1"/>
    <n v="1"/>
    <n v="1"/>
  </r>
  <r>
    <x v="6"/>
    <s v="S6T55401"/>
    <s v="ProCash 2050"/>
    <s v="6100785098"/>
    <s v="3600"/>
    <s v="Ózd"/>
    <s v="Brassói út 1."/>
    <s v="ok"/>
    <n v="2"/>
    <n v="2"/>
    <x v="2"/>
    <e v="#N/A"/>
    <n v="0"/>
    <n v="2"/>
  </r>
  <r>
    <x v="6"/>
    <s v="S6T55402"/>
    <s v="ProCash 2150xe"/>
    <s v="5300204194"/>
    <s v="3630"/>
    <s v="Putnok"/>
    <s v="Mohos sétány"/>
    <s v="ok"/>
    <n v="2"/>
    <n v="2"/>
    <x v="2"/>
    <n v="1"/>
    <n v="1"/>
    <n v="1"/>
  </r>
  <r>
    <x v="6"/>
    <s v="S6T55403"/>
    <s v="CSC/450 system"/>
    <s v="SSB3211077"/>
    <s v="3671"/>
    <s v="Borsodnádasd"/>
    <s v="Köztársaság u. 21."/>
    <s v="ok"/>
    <n v="2"/>
    <n v="2"/>
    <x v="2"/>
    <n v="1"/>
    <n v="1"/>
    <n v="1"/>
  </r>
  <r>
    <x v="6"/>
    <s v="S6T55404"/>
    <s v="ProCash 2150xe"/>
    <s v="5300204188"/>
    <s v="3533"/>
    <s v="Miskolc"/>
    <s v="Vasgyári út 3."/>
    <s v="ok"/>
    <n v="2"/>
    <n v="2"/>
    <x v="2"/>
    <n v="1"/>
    <n v="1"/>
    <n v="1"/>
  </r>
  <r>
    <x v="6"/>
    <s v="S6T55406"/>
    <s v="ProCash 2150xe"/>
    <s v="5300071668"/>
    <s v="3070"/>
    <s v="Bátonyterenye"/>
    <s v="Ózdi út 47."/>
    <s v="ok"/>
    <n v="2"/>
    <n v="2"/>
    <x v="6"/>
    <e v="#N/A"/>
    <n v="0"/>
    <n v="2"/>
  </r>
  <r>
    <x v="6"/>
    <s v="S6T55407"/>
    <s v="ProCash 2150xe"/>
    <s v="5300071667"/>
    <s v="3041"/>
    <s v="Héhalom"/>
    <s v="Petőfi u. 7."/>
    <s v="ok"/>
    <n v="2"/>
    <n v="2"/>
    <x v="6"/>
    <n v="1"/>
    <n v="1"/>
    <n v="1"/>
  </r>
  <r>
    <x v="6"/>
    <s v="S6T55408"/>
    <s v="ProCash 2150xe"/>
    <s v="5300084505"/>
    <s v="3100"/>
    <s v="Salgótarján"/>
    <s v="Rákóczi út 53-55."/>
    <s v="ok"/>
    <n v="2"/>
    <n v="2"/>
    <x v="6"/>
    <e v="#N/A"/>
    <n v="0"/>
    <n v="2"/>
  </r>
  <r>
    <x v="6"/>
    <s v="S6T55410"/>
    <s v="ProCash 2150xe"/>
    <s v="5300162412"/>
    <s v="3182"/>
    <s v="Karancslapujtő"/>
    <s v="Rákóczi út 66."/>
    <s v="ok"/>
    <n v="2"/>
    <n v="2"/>
    <x v="6"/>
    <n v="1"/>
    <n v="1"/>
    <n v="1"/>
  </r>
  <r>
    <x v="6"/>
    <s v="S6T55411"/>
    <s v="ProCash 2050xe USB"/>
    <s v="5300611904"/>
    <s v="2688"/>
    <s v="Vanyarc"/>
    <s v="Sziráki út 1."/>
    <s v="ok"/>
    <n v="2"/>
    <n v="2"/>
    <x v="5"/>
    <n v="1"/>
    <n v="1"/>
    <n v="1"/>
  </r>
  <r>
    <x v="6"/>
    <s v="S6T55412"/>
    <s v="ProCash 2050xe USB"/>
    <s v="5300611790"/>
    <s v="3626"/>
    <s v="Hangony"/>
    <s v="Rákóczi út 71."/>
    <s v="ok"/>
    <n v="2"/>
    <n v="2"/>
    <x v="2"/>
    <e v="#N/A"/>
    <n v="0"/>
    <n v="2"/>
  </r>
  <r>
    <x v="6"/>
    <s v="S6T55413"/>
    <s v="ProCash 2050xe USB"/>
    <s v="5300611846"/>
    <s v="2191"/>
    <s v="Bag"/>
    <s v="Petőfi tér 14."/>
    <s v="ok"/>
    <n v="2"/>
    <n v="2"/>
    <x v="5"/>
    <n v="1"/>
    <n v="1"/>
    <n v="1"/>
  </r>
  <r>
    <x v="6"/>
    <s v="S6T55415"/>
    <s v="ProCash 2150xe"/>
    <s v="XXS6T55415"/>
    <s v="3100"/>
    <s v="Somoskőújfalu"/>
    <s v="Semmelweis út HRSZ.: 9877/1."/>
    <s v="ok"/>
    <n v="2"/>
    <n v="2"/>
    <x v="6"/>
    <e v="#N/A"/>
    <n v="0"/>
    <n v="2"/>
  </r>
  <r>
    <x v="6"/>
    <s v="S6T55601"/>
    <s v="ProCash 2150xe"/>
    <s v="5300249968"/>
    <s v="3733"/>
    <s v="Rudabánya"/>
    <s v="Petőfi út 8."/>
    <s v="ok"/>
    <n v="2"/>
    <n v="2"/>
    <x v="2"/>
    <e v="#N/A"/>
    <n v="0"/>
    <n v="2"/>
  </r>
  <r>
    <x v="6"/>
    <s v="S6T55602"/>
    <s v="Diebold-Opteva 560 ATM Outdoor"/>
    <s v="1560R3302993"/>
    <s v="3752"/>
    <s v="Szendrő"/>
    <s v="Hősök tere 2."/>
    <s v="ok"/>
    <n v="2"/>
    <n v="2"/>
    <x v="2"/>
    <e v="#N/A"/>
    <n v="0"/>
    <n v="2"/>
  </r>
  <r>
    <x v="6"/>
    <s v="S6T55603"/>
    <s v="Diebold-Opteva 560 ATM Outdoor"/>
    <s v="1560R3303609"/>
    <s v="3763"/>
    <s v="Bódvaszilas"/>
    <s v="Akácos u. 2/b"/>
    <s v="ok"/>
    <n v="2"/>
    <n v="2"/>
    <x v="2"/>
    <n v="1"/>
    <n v="1"/>
    <n v="1"/>
  </r>
  <r>
    <x v="6"/>
    <s v="S6T55801"/>
    <s v="ProCash 2150xe"/>
    <s v="5300316432"/>
    <s v="3909"/>
    <s v="Mád"/>
    <s v="Rákóczi u. 46."/>
    <s v="ok"/>
    <n v="2"/>
    <n v="2"/>
    <x v="1"/>
    <n v="1"/>
    <n v="1"/>
    <n v="1"/>
  </r>
  <r>
    <x v="6"/>
    <s v="S6T55802"/>
    <s v="ProCash 2150xe"/>
    <s v="5300316414"/>
    <s v="3915"/>
    <s v="Tarcal"/>
    <s v="Fő út 66."/>
    <s v="ok"/>
    <n v="2"/>
    <n v="2"/>
    <x v="1"/>
    <e v="#N/A"/>
    <n v="0"/>
    <n v="2"/>
  </r>
  <r>
    <x v="6"/>
    <s v="S6T55803"/>
    <s v="ProCash 2050xe USB"/>
    <s v="5300620561"/>
    <s v="3900"/>
    <s v="Szerencs"/>
    <s v="Rákóczi út 105."/>
    <s v="ok"/>
    <n v="2"/>
    <n v="2"/>
    <x v="1"/>
    <n v="1"/>
    <n v="1"/>
    <n v="1"/>
  </r>
  <r>
    <x v="6"/>
    <s v="S6T56801"/>
    <s v="ProCash 2050xe"/>
    <s v="XXS6T56801"/>
    <s v="6775"/>
    <s v="Kiszombor"/>
    <s v="József A. u. 1."/>
    <s v="ok"/>
    <n v="2"/>
    <n v="2"/>
    <x v="3"/>
    <n v="1"/>
    <n v="1"/>
    <n v="1"/>
  </r>
  <r>
    <x v="6"/>
    <s v="S6T56802"/>
    <s v="ProCash 2100"/>
    <s v="XXAS6T56802"/>
    <s v="6900"/>
    <s v="Makó"/>
    <s v="Úri u. 1."/>
    <s v="ok"/>
    <n v="2"/>
    <n v="2"/>
    <x v="3"/>
    <n v="1"/>
    <n v="1"/>
    <n v="1"/>
  </r>
  <r>
    <x v="6"/>
    <s v="S6T56803"/>
    <s v="Diebold-Opteva 720 ATM Indoor"/>
    <s v="1720FH120312"/>
    <s v="6921"/>
    <s v="Maroslele"/>
    <s v="Szabadság tér 1."/>
    <s v="ok"/>
    <n v="2"/>
    <n v="2"/>
    <x v="3"/>
    <n v="1"/>
    <n v="1"/>
    <n v="1"/>
  </r>
  <r>
    <x v="6"/>
    <s v="S6T56902"/>
    <s v="ProCash 1500"/>
    <s v="XXS6T56902"/>
    <s v="6753"/>
    <s v="Tápé"/>
    <s v="Budai Nagy Antal u. 27/c"/>
    <s v="ok"/>
    <n v="2"/>
    <n v="2"/>
    <x v="3"/>
    <n v="1"/>
    <n v="1"/>
    <n v="1"/>
  </r>
  <r>
    <x v="6"/>
    <s v="S6T56903"/>
    <s v="ProCash 2050"/>
    <s v="XXS6T56903"/>
    <s v="6781"/>
    <s v="Domaszék"/>
    <s v="Köztársaság tér 4."/>
    <s v="ok"/>
    <n v="2"/>
    <n v="2"/>
    <x v="3"/>
    <n v="1"/>
    <n v="1"/>
    <n v="1"/>
  </r>
  <r>
    <x v="6"/>
    <s v="S6T56904"/>
    <s v="ProCash 1500"/>
    <s v="XXS6T56904"/>
    <s v="6783"/>
    <s v="Ásotthalom"/>
    <s v="Szent István tér 2/a"/>
    <s v="ok"/>
    <n v="2"/>
    <n v="2"/>
    <x v="3"/>
    <n v="1"/>
    <n v="1"/>
    <n v="1"/>
  </r>
  <r>
    <x v="6"/>
    <s v="S6T56905"/>
    <s v="ProCash 2050"/>
    <s v="XXS6T56905"/>
    <s v="6787"/>
    <s v="Zákányszék"/>
    <s v="Szegfű J. u. 51/a"/>
    <s v="ok"/>
    <n v="2"/>
    <n v="2"/>
    <x v="3"/>
    <n v="1"/>
    <n v="1"/>
    <n v="1"/>
  </r>
  <r>
    <x v="6"/>
    <s v="S6T56906"/>
    <s v="ProCash 2150"/>
    <s v="XXS6T56906"/>
    <s v="6791"/>
    <s v="Kiskundorozsma"/>
    <s v="Dorozsmai út 196."/>
    <s v="ok"/>
    <n v="2"/>
    <n v="2"/>
    <x v="3"/>
    <n v="1"/>
    <n v="1"/>
    <n v="1"/>
  </r>
  <r>
    <x v="6"/>
    <s v="S6T56908"/>
    <s v="OPT562 1GIG-DVD-UPS-LAN-A6-CEN3(4HIGH)"/>
    <s v="1562RH153487"/>
    <s v="6931"/>
    <s v="Apátfalva"/>
    <s v="Hunyadi utca 18."/>
    <s v="ok"/>
    <n v="2"/>
    <n v="2"/>
    <x v="3"/>
    <n v="1"/>
    <n v="1"/>
    <n v="1"/>
  </r>
  <r>
    <x v="6"/>
    <s v="S6T56909"/>
    <s v="ProCash 285"/>
    <s v="56DY300026"/>
    <s v="6728"/>
    <s v="Szeged"/>
    <s v="Kollégiumi út 6."/>
    <s v="ok"/>
    <n v="2"/>
    <n v="2"/>
    <x v="3"/>
    <e v="#N/A"/>
    <n v="0"/>
    <n v="2"/>
  </r>
  <r>
    <x v="6"/>
    <s v="S6T57101"/>
    <s v="ProCash 2100"/>
    <s v="XXS6T57101"/>
    <s v="6762"/>
    <s v="Sándorfalva"/>
    <s v="Alkotmány krt. 21."/>
    <s v="ok"/>
    <n v="2"/>
    <n v="2"/>
    <x v="3"/>
    <n v="1"/>
    <n v="1"/>
    <n v="1"/>
  </r>
  <r>
    <x v="6"/>
    <s v="S6T57102"/>
    <s v="ProCash 2100"/>
    <s v="XXS6T57102"/>
    <s v="6792"/>
    <s v="Zsombó"/>
    <s v="Andrássy út 104."/>
    <s v="ok"/>
    <n v="2"/>
    <n v="2"/>
    <x v="3"/>
    <n v="1"/>
    <n v="1"/>
    <n v="1"/>
  </r>
  <r>
    <x v="6"/>
    <s v="S6T57103"/>
    <s v="ProCash 2100"/>
    <s v="XXS6T57103"/>
    <s v="6763"/>
    <s v="Szatymaz"/>
    <s v="Dózsa György u. 25-27."/>
    <s v="ok"/>
    <n v="2"/>
    <n v="2"/>
    <x v="3"/>
    <n v="1"/>
    <n v="1"/>
    <n v="1"/>
  </r>
  <r>
    <x v="6"/>
    <s v="S6T57220"/>
    <s v="ProCash 2050"/>
    <s v="5300027282"/>
    <s v="6622"/>
    <s v="Nagymágocs"/>
    <s v="Szentesi út 52/A"/>
    <s v="ok"/>
    <n v="2"/>
    <n v="2"/>
    <x v="3"/>
    <n v="1"/>
    <n v="1"/>
    <n v="1"/>
  </r>
  <r>
    <x v="6"/>
    <s v="S6T57401"/>
    <s v="Diebold-Opteva 760 ATM Outdoor"/>
    <s v="XXS6T57401"/>
    <s v="6720"/>
    <s v="Szeged"/>
    <s v="Oroszlán u. 1."/>
    <s v="ok"/>
    <n v="2"/>
    <n v="0"/>
    <x v="3"/>
    <e v="#N/A"/>
    <n v="0"/>
    <n v="0"/>
  </r>
  <r>
    <x v="6"/>
    <s v="S6T57402"/>
    <s v="ProCash 2150"/>
    <s v="XXS6T57402"/>
    <s v="6764"/>
    <s v="Balástya"/>
    <s v="Rákóczi u. 15."/>
    <s v="ok"/>
    <n v="2"/>
    <n v="2"/>
    <x v="3"/>
    <n v="1"/>
    <n v="1"/>
    <n v="1"/>
  </r>
  <r>
    <x v="6"/>
    <s v="S6T57403"/>
    <s v="ProCash 2100"/>
    <s v="6100304862"/>
    <s v="6726"/>
    <s v="Szeged"/>
    <s v="Fő fasor 19."/>
    <s v="ok"/>
    <n v="2"/>
    <n v="0"/>
    <x v="3"/>
    <e v="#N/A"/>
    <n v="0"/>
    <n v="0"/>
  </r>
  <r>
    <x v="6"/>
    <s v="S6T57405"/>
    <s v="ProCash 2150"/>
    <s v="XXS6T57405"/>
    <s v="6821"/>
    <s v="Székkutas"/>
    <s v="Vásárhelyi út 5."/>
    <s v="ok"/>
    <n v="2"/>
    <n v="2"/>
    <x v="3"/>
    <n v="1"/>
    <n v="1"/>
    <n v="1"/>
  </r>
  <r>
    <x v="6"/>
    <s v="S6T57409"/>
    <s v="ProCash 2050"/>
    <s v="5300027281"/>
    <s v="6913"/>
    <s v="Csanádpalota"/>
    <s v="Kelemen L. tér 10."/>
    <s v="ok"/>
    <n v="2"/>
    <n v="0"/>
    <x v="3"/>
    <e v="#N/A"/>
    <n v="0"/>
    <n v="0"/>
  </r>
  <r>
    <x v="6"/>
    <s v="S6T57413"/>
    <s v="ProCash 1500"/>
    <s v="XXAS6T57608"/>
    <s v="6722"/>
    <s v="Szeged"/>
    <s v="Mikszáth Kálmán u. 15."/>
    <s v="ok"/>
    <n v="2"/>
    <n v="2"/>
    <x v="3"/>
    <n v="1"/>
    <n v="1"/>
    <n v="1"/>
  </r>
  <r>
    <x v="6"/>
    <s v="S6T57415"/>
    <s v="Diebold-Opteva 522 Lobby Cash Dispenser"/>
    <s v="1522FH119143"/>
    <s v="6760"/>
    <s v="Kistelek"/>
    <s v="Szent László tér 2."/>
    <s v="ok"/>
    <n v="2"/>
    <n v="2"/>
    <x v="3"/>
    <n v="1"/>
    <n v="1"/>
    <n v="1"/>
  </r>
  <r>
    <x v="6"/>
    <s v="S6T57602"/>
    <s v="ProCash 2100"/>
    <s v="XXS6T57602"/>
    <s v="6750"/>
    <s v="Algyő"/>
    <s v="Búvár u. 2."/>
    <s v="ok"/>
    <n v="2"/>
    <n v="2"/>
    <x v="3"/>
    <n v="1"/>
    <n v="1"/>
    <n v="1"/>
  </r>
  <r>
    <x v="6"/>
    <s v="S6T57603"/>
    <s v="ProCash 2100"/>
    <s v="XXAS6T57603"/>
    <s v="6412"/>
    <s v="Balotaszállás"/>
    <s v="Fő tér 1."/>
    <s v="ok"/>
    <n v="2"/>
    <n v="0"/>
    <x v="7"/>
    <e v="#N/A"/>
    <n v="0"/>
    <n v="0"/>
  </r>
  <r>
    <x v="6"/>
    <s v="S6T57604"/>
    <s v="ProCash 2050xe"/>
    <s v="XXAS6T57604"/>
    <s v="6793"/>
    <s v="Forráskút"/>
    <s v="Fő u. 74."/>
    <s v="ok"/>
    <n v="2"/>
    <n v="2"/>
    <x v="3"/>
    <n v="1"/>
    <n v="1"/>
    <n v="1"/>
  </r>
  <r>
    <x v="6"/>
    <s v="S6T57607"/>
    <s v="ProCash 2100"/>
    <s v="XXS6T57607"/>
    <s v="6235"/>
    <s v="Bócsa"/>
    <s v="Kecskeméti út 20."/>
    <s v="ok"/>
    <n v="2"/>
    <n v="2"/>
    <x v="7"/>
    <n v="1"/>
    <n v="1"/>
    <n v="1"/>
  </r>
  <r>
    <x v="6"/>
    <s v="S6T57609"/>
    <s v="ProCash 2050xe"/>
    <s v="XXAS6T57609"/>
    <s v="6723"/>
    <s v="Szeged"/>
    <s v="Retek u. 23-25."/>
    <s v="ok"/>
    <n v="2"/>
    <n v="2"/>
    <x v="3"/>
    <n v="1"/>
    <n v="1"/>
    <n v="1"/>
  </r>
  <r>
    <x v="6"/>
    <s v="S6T57701"/>
    <s v="ProCash 2050"/>
    <s v="XXS6T57701"/>
    <s v="2454"/>
    <s v="Iváncsa"/>
    <s v="Szövetkezet köz 1."/>
    <s v="ok"/>
    <n v="2"/>
    <n v="2"/>
    <x v="5"/>
    <n v="1"/>
    <n v="1"/>
    <n v="1"/>
  </r>
  <r>
    <x v="6"/>
    <s v="S6T57702"/>
    <s v="ProCash 2050"/>
    <s v="XXS6T57702"/>
    <s v="2451"/>
    <s v="Ercsi"/>
    <s v="Szent István u. 3."/>
    <s v="ok"/>
    <n v="2"/>
    <n v="2"/>
    <x v="5"/>
    <n v="1"/>
    <n v="1"/>
    <n v="1"/>
  </r>
  <r>
    <x v="6"/>
    <s v="S6T57703"/>
    <s v="ProCash 2050"/>
    <s v="XXS6T57703"/>
    <s v="2465"/>
    <s v="Ráckeresztúr"/>
    <s v="Hősök tere 4/2"/>
    <s v="ok"/>
    <n v="2"/>
    <n v="2"/>
    <x v="5"/>
    <n v="1"/>
    <n v="1"/>
    <n v="1"/>
  </r>
  <r>
    <x v="6"/>
    <s v="S6T57704"/>
    <s v="ProCash 2050"/>
    <s v="XXS6T57704"/>
    <s v="2490"/>
    <s v="Pusztaszabolcs"/>
    <s v="Adonyi u. 41."/>
    <s v="ok"/>
    <n v="2"/>
    <n v="2"/>
    <x v="5"/>
    <n v="1"/>
    <n v="1"/>
    <n v="1"/>
  </r>
  <r>
    <x v="6"/>
    <s v="S6T57801"/>
    <s v="Diebold-Opteva 562r 3 High-Standard ATM"/>
    <s v="562RRH100425"/>
    <s v="8000"/>
    <s v="Székesfehérvár"/>
    <s v="Budai út 42."/>
    <s v="ok"/>
    <n v="2"/>
    <n v="2"/>
    <x v="4"/>
    <e v="#N/A"/>
    <n v="0"/>
    <n v="2"/>
  </r>
  <r>
    <x v="6"/>
    <s v="S6T57802"/>
    <s v="OPT562 1GIG-DVD-UPS-LAN-A6-CEN3(4HIGH)"/>
    <s v="1562RH120085"/>
    <s v="2481"/>
    <s v="Velence"/>
    <s v="Gerle u. 2."/>
    <s v="ok"/>
    <n v="2"/>
    <n v="2"/>
    <x v="7"/>
    <n v="1"/>
    <n v="1"/>
    <n v="1"/>
  </r>
  <r>
    <x v="6"/>
    <s v="S6T57803"/>
    <s v="Diebold-Opteva 562r 3 High-Standard ATM"/>
    <s v="562RRH100904"/>
    <s v="2484"/>
    <s v="Agárd"/>
    <s v="Balatoni út 43."/>
    <s v="ok"/>
    <n v="2"/>
    <n v="2"/>
    <x v="7"/>
    <e v="#N/A"/>
    <n v="0"/>
    <n v="2"/>
  </r>
  <r>
    <x v="6"/>
    <s v="S6T57804"/>
    <s v="OPT562 1GIG-DVD-UPS-LAN-A6-CEN3(4HIGH)"/>
    <s v="1562RCF00033"/>
    <s v="8111"/>
    <s v="Seregélyes"/>
    <s v="Fő u. 169."/>
    <s v="ok"/>
    <n v="2"/>
    <n v="2"/>
    <x v="7"/>
    <n v="1"/>
    <n v="1"/>
    <n v="1"/>
  </r>
  <r>
    <x v="6"/>
    <s v="S6T57806"/>
    <s v="Diebold-Opteva 760 ATM Outdoor"/>
    <s v="1760RCF00086"/>
    <s v="8127"/>
    <s v="Aba"/>
    <s v="Petofi S. u. 95."/>
    <s v="ok"/>
    <n v="2"/>
    <n v="2"/>
    <x v="4"/>
    <n v="1"/>
    <n v="1"/>
    <n v="1"/>
  </r>
  <r>
    <x v="6"/>
    <s v="S6T57807"/>
    <s v="Diebold-Opteva 520 ATM Indoor"/>
    <s v="1520FCF00563"/>
    <s v="8130"/>
    <s v="Enying"/>
    <s v="Deák F. u. 1."/>
    <s v="ok"/>
    <n v="2"/>
    <n v="2"/>
    <x v="4"/>
    <e v="#N/A"/>
    <n v="0"/>
    <n v="2"/>
  </r>
  <r>
    <x v="6"/>
    <s v="S6T57808"/>
    <s v="ProCash Compact"/>
    <s v="6100195845"/>
    <s v="1042"/>
    <s v="Budapest"/>
    <s v="Árpád u. 90-92."/>
    <s v="ok"/>
    <n v="2"/>
    <n v="2"/>
    <x v="5"/>
    <e v="#N/A"/>
    <n v="0"/>
    <n v="2"/>
  </r>
  <r>
    <x v="6"/>
    <s v="S6T57809"/>
    <s v="OPT562 1GIG-DVD-UPS-LAN-A6-CEN3(4HIGH)"/>
    <s v="1562RH135485"/>
    <s v="2462"/>
    <s v="Martonvásár"/>
    <s v="Brunszwick Teréz u 3."/>
    <s v="ok"/>
    <n v="2"/>
    <n v="2"/>
    <x v="7"/>
    <n v="1"/>
    <n v="1"/>
    <n v="1"/>
  </r>
  <r>
    <x v="6"/>
    <s v="S6T57811"/>
    <s v="Diebold-Opteva 522 Lobby Cash Dispenser"/>
    <s v="1522FH110228"/>
    <s v="8151"/>
    <s v="Szabadbattyán"/>
    <s v="Csíkvár tér 10."/>
    <s v="ok"/>
    <n v="2"/>
    <n v="2"/>
    <x v="4"/>
    <e v="#N/A"/>
    <n v="0"/>
    <n v="2"/>
  </r>
  <r>
    <x v="6"/>
    <s v="S6T57812"/>
    <s v="OPT562 1GIG-DVD-UPS-LAN-A6-CEN3(4HIGH)"/>
    <s v="1562R3301393"/>
    <s v="2476"/>
    <s v="Pázmánd"/>
    <s v="Fő utca 87."/>
    <s v="ok"/>
    <n v="2"/>
    <n v="2"/>
    <x v="4"/>
    <n v="1"/>
    <n v="1"/>
    <n v="1"/>
  </r>
  <r>
    <x v="6"/>
    <s v="S6T57813"/>
    <s v="Diebold-Opteva 522 Lobby Cash Dispenser"/>
    <s v="1560RCF01059"/>
    <s v="2475"/>
    <s v="Kápolnásnyék"/>
    <s v="Fő u. 29."/>
    <s v="ok"/>
    <n v="2"/>
    <n v="2"/>
    <x v="4"/>
    <n v="1"/>
    <n v="1"/>
    <n v="1"/>
  </r>
  <r>
    <x v="6"/>
    <s v="S6T58102"/>
    <s v="ProCash 2150"/>
    <s v="5300005109"/>
    <s v="7017"/>
    <s v="Mezőszilas"/>
    <s v="Petőfi Sándor u. 12."/>
    <s v="ok"/>
    <n v="2"/>
    <n v="2"/>
    <x v="7"/>
    <e v="#N/A"/>
    <n v="0"/>
    <n v="2"/>
  </r>
  <r>
    <x v="6"/>
    <s v="S6T58103"/>
    <s v="ProCash 2000xe USB Rearload"/>
    <s v="5300355516X"/>
    <s v="8136"/>
    <s v="Lajoskomárom"/>
    <s v="Enyingi u. 3."/>
    <s v="ok"/>
    <n v="2"/>
    <n v="2"/>
    <x v="7"/>
    <e v="#N/A"/>
    <n v="0"/>
    <n v="2"/>
  </r>
  <r>
    <x v="6"/>
    <s v="S6T58104"/>
    <s v="ProCash 2050xe USB"/>
    <s v="5300624978"/>
    <s v="7013"/>
    <s v="Cece"/>
    <s v="Jókai Mór u. 2."/>
    <s v="ok"/>
    <n v="2"/>
    <n v="2"/>
    <x v="7"/>
    <n v="1"/>
    <n v="1"/>
    <n v="1"/>
  </r>
  <r>
    <x v="6"/>
    <s v="S6T58105"/>
    <s v="ProCash 2050xe USB"/>
    <s v="5300648551"/>
    <s v="8124"/>
    <s v="Káloz"/>
    <s v="Bajcsy-Zsilinszky u. 3."/>
    <s v="ok"/>
    <n v="2"/>
    <n v="2"/>
    <x v="7"/>
    <n v="1"/>
    <n v="1"/>
    <n v="1"/>
  </r>
  <r>
    <x v="6"/>
    <s v="S6T58106"/>
    <s v="ProCash 1500xe RL USB"/>
    <s v="5300651212X"/>
    <s v="8135"/>
    <s v="Dég"/>
    <s v="Széchenyi u. 49."/>
    <s v="ok"/>
    <n v="2"/>
    <n v="2"/>
    <x v="7"/>
    <n v="1"/>
    <n v="1"/>
    <n v="1"/>
  </r>
  <r>
    <x v="6"/>
    <s v="S6T58108"/>
    <s v="ProCash 2050xe USB"/>
    <s v="5300776003X"/>
    <s v="7000"/>
    <s v="Sárbogárd"/>
    <s v="Ady Endre út 107."/>
    <s v="ok"/>
    <n v="2"/>
    <n v="2"/>
    <x v="7"/>
    <n v="1"/>
    <n v="1"/>
    <n v="1"/>
  </r>
  <r>
    <x v="6"/>
    <s v="S6T58902"/>
    <s v="Diebold-Opteva 760 ATM Outdoor"/>
    <s v="1760RH121756"/>
    <s v="9343"/>
    <s v="Beled"/>
    <s v="Rákóczi út 131."/>
    <s v="ok"/>
    <n v="2"/>
    <n v="2"/>
    <x v="8"/>
    <n v="1"/>
    <n v="1"/>
    <n v="1"/>
  </r>
  <r>
    <x v="6"/>
    <s v="S6T58903"/>
    <s v="OPT562 1GIG-DVD-UPS-LAN-A6-CEN3(4HIGH)"/>
    <s v="1562RH157484"/>
    <s v="9342"/>
    <s v="Mihályi"/>
    <s v="Hunyadi u. 9."/>
    <s v="ok"/>
    <n v="2"/>
    <n v="2"/>
    <x v="8"/>
    <n v="1"/>
    <n v="1"/>
    <n v="1"/>
  </r>
  <r>
    <x v="6"/>
    <s v="S6T59001"/>
    <s v="OPT562 1GIG-DVD-UPS-LAN-A6-CEN3(4HIGH)"/>
    <s v="1562R3320388"/>
    <s v="9155"/>
    <s v="Lébény"/>
    <s v="Fő u. 85."/>
    <s v="ok"/>
    <n v="2"/>
    <n v="2"/>
    <x v="19"/>
    <n v="1"/>
    <n v="1"/>
    <n v="1"/>
  </r>
  <r>
    <x v="6"/>
    <s v="S6T59002"/>
    <s v="OPT562 1GIG-DVD-UPS-LAN-A6-CEN3(4HIGH)"/>
    <s v="1562RH145965"/>
    <s v="9181"/>
    <s v="Kimle"/>
    <s v="Fő út 92."/>
    <s v="ok"/>
    <n v="2"/>
    <n v="2"/>
    <x v="19"/>
    <e v="#N/A"/>
    <n v="0"/>
    <n v="2"/>
  </r>
  <r>
    <x v="6"/>
    <s v="S6T59003"/>
    <s v="ProCash 2000xe Frontload"/>
    <s v="5300128281"/>
    <s v="9151"/>
    <s v="Abda"/>
    <s v="Bécsi út 67/a."/>
    <s v="ok"/>
    <n v="2"/>
    <n v="2"/>
    <x v="5"/>
    <n v="1"/>
    <n v="1"/>
    <n v="1"/>
  </r>
  <r>
    <x v="6"/>
    <s v="S6T59004"/>
    <s v="OPT562 1GIG-DVD-UPS-LAN-A6-CEN3(4HIGH)"/>
    <s v="1562RH128151"/>
    <s v="9184"/>
    <s v="Kunsziget"/>
    <s v="Kossuth tér 1."/>
    <s v="ok"/>
    <n v="2"/>
    <n v="2"/>
    <x v="19"/>
    <e v="#N/A"/>
    <n v="0"/>
    <n v="2"/>
  </r>
  <r>
    <x v="6"/>
    <s v="S6T59005"/>
    <s v="OPT562 1GIG-DVD-UPS-LAN-A6-CEN3(4HIGH)"/>
    <s v="562RRH103148"/>
    <s v="9153"/>
    <s v="Öttevény"/>
    <s v="Fő út 104"/>
    <s v="ok"/>
    <n v="2"/>
    <n v="2"/>
    <x v="19"/>
    <e v="#N/A"/>
    <n v="0"/>
    <n v="2"/>
  </r>
  <r>
    <x v="6"/>
    <s v="S6T59102"/>
    <s v="Diebold-Opteva 760 ATM Outdoor"/>
    <s v="1760RH123965"/>
    <s v="9461"/>
    <s v="Lövő"/>
    <s v="Fő u. 203."/>
    <s v="ok"/>
    <n v="2"/>
    <n v="2"/>
    <x v="8"/>
    <n v="1"/>
    <n v="1"/>
    <n v="1"/>
  </r>
  <r>
    <x v="6"/>
    <s v="S6T59103"/>
    <s v="OPT562 1GIG-DVD-UPS-LAN-A6-CEN3(4HIGH)"/>
    <s v="1562RH147979"/>
    <s v="9437"/>
    <s v="Hegykő"/>
    <s v="Petőfi u. 10."/>
    <s v="ok"/>
    <n v="2"/>
    <n v="2"/>
    <x v="8"/>
    <e v="#N/A"/>
    <n v="0"/>
    <n v="2"/>
  </r>
  <r>
    <x v="6"/>
    <s v="S6T59108"/>
    <s v="OPT562 1GIG-DVD-UPS-LAN-A6-CEN3(4HIGH)"/>
    <s v="1562RH129335"/>
    <s v="9374"/>
    <s v="Iván"/>
    <s v="Hunyadi u. 2."/>
    <s v="ok"/>
    <n v="2"/>
    <n v="2"/>
    <x v="8"/>
    <e v="#N/A"/>
    <n v="0"/>
    <n v="2"/>
  </r>
  <r>
    <x v="6"/>
    <s v="S6T59109"/>
    <s v="OPT562 1GIG-DVD-UPS-LAN-A6-CEN3(4HIGH)"/>
    <s v="1562RH129813"/>
    <s v="9476"/>
    <s v="Zsira"/>
    <s v="Rákóczi út 27."/>
    <s v="ok"/>
    <n v="2"/>
    <n v="2"/>
    <x v="8"/>
    <e v="#N/A"/>
    <n v="0"/>
    <n v="2"/>
  </r>
  <r>
    <x v="6"/>
    <s v="S6T59202"/>
    <s v="ProCash 2050"/>
    <s v="5300002841"/>
    <s v="9082"/>
    <s v="Nyúl"/>
    <s v="Kossuth u. 52."/>
    <s v="ok"/>
    <n v="2"/>
    <n v="2"/>
    <x v="5"/>
    <n v="1"/>
    <n v="1"/>
    <n v="1"/>
  </r>
  <r>
    <x v="6"/>
    <s v="S6T59203"/>
    <s v="Diebold-Opteva 760 ATM Outdoor"/>
    <s v="1760RH128420"/>
    <s v="9081"/>
    <s v="Győrújbarát"/>
    <s v="Liszt F. u. 5."/>
    <s v="ok"/>
    <n v="2"/>
    <n v="2"/>
    <x v="19"/>
    <n v="1"/>
    <n v="1"/>
    <n v="1"/>
  </r>
  <r>
    <x v="6"/>
    <s v="S6T59205"/>
    <s v="ProCash 2150xe"/>
    <s v="5300336137"/>
    <s v="9144"/>
    <s v="Kóny"/>
    <s v="Béke u.2/A"/>
    <s v="ok"/>
    <n v="2"/>
    <n v="2"/>
    <x v="5"/>
    <e v="#N/A"/>
    <n v="0"/>
    <n v="2"/>
  </r>
  <r>
    <x v="6"/>
    <s v="S6T59207"/>
    <s v="ProCash 2050"/>
    <s v="XXS6T59207"/>
    <s v="9022"/>
    <s v="Győr"/>
    <s v="Lehel u. 27."/>
    <s v="ok"/>
    <n v="2"/>
    <n v="2"/>
    <x v="5"/>
    <n v="1"/>
    <n v="1"/>
    <n v="1"/>
  </r>
  <r>
    <x v="6"/>
    <s v="S6T59211"/>
    <s v="Diebold-Opteva 760 ATM Outdoor"/>
    <s v="1760RH121121"/>
    <s v="9113"/>
    <s v="Koroncó"/>
    <s v="Rákóczi u. 52."/>
    <s v="ok"/>
    <n v="2"/>
    <n v="2"/>
    <x v="19"/>
    <e v="#N/A"/>
    <n v="0"/>
    <n v="2"/>
  </r>
  <r>
    <x v="6"/>
    <s v="S6T59503"/>
    <s v="OPT562 1GIG-DVD-UPS-LAN-A6-CEN3(4HIGH)"/>
    <s v="1562RH139152"/>
    <s v="9224"/>
    <s v="Rajka"/>
    <s v="Kossuth u. 37/a"/>
    <s v="ok"/>
    <n v="2"/>
    <n v="2"/>
    <x v="19"/>
    <e v="#N/A"/>
    <n v="0"/>
    <n v="2"/>
  </r>
  <r>
    <x v="6"/>
    <s v="S6T59504"/>
    <s v="Diebold-Opteva 520 ATM Indoor"/>
    <s v="1520F3306269"/>
    <s v="9300"/>
    <s v="Csorna"/>
    <s v="Soproni u. 93."/>
    <s v="ok"/>
    <n v="2"/>
    <n v="2"/>
    <x v="8"/>
    <e v="#N/A"/>
    <n v="0"/>
    <n v="2"/>
  </r>
  <r>
    <x v="6"/>
    <s v="S6T59505"/>
    <s v="Diebold-Opteva 760 ATM Outdoor"/>
    <s v="1760RH120876"/>
    <s v="9225"/>
    <s v="Dunakiliti"/>
    <s v="Kossuth u. 88."/>
    <s v="ok"/>
    <n v="2"/>
    <n v="2"/>
    <x v="19"/>
    <e v="#N/A"/>
    <n v="0"/>
    <n v="2"/>
  </r>
  <r>
    <x v="6"/>
    <s v="S6T59506"/>
    <s v="Diebold-Opteva 760 ATM Outdoor"/>
    <s v="1760RH120875"/>
    <s v="9223"/>
    <s v="Bezenye"/>
    <s v="Szabadság u. 54."/>
    <s v="ok"/>
    <n v="2"/>
    <n v="2"/>
    <x v="19"/>
    <e v="#N/A"/>
    <n v="0"/>
    <n v="2"/>
  </r>
  <r>
    <x v="6"/>
    <s v="S6T59507"/>
    <s v="Diebold-Opteva 760 ATM Outdoor"/>
    <s v="1760RH120874"/>
    <s v="9200"/>
    <s v="Mosonmagyaróvár"/>
    <s v="Kökény u. 9."/>
    <s v="ok"/>
    <n v="2"/>
    <n v="2"/>
    <x v="19"/>
    <n v="1"/>
    <n v="1"/>
    <n v="1"/>
  </r>
  <r>
    <x v="6"/>
    <s v="S6T59509"/>
    <s v="Diebold-Opteva 760 ATM Outdoor"/>
    <s v="1760RH120878"/>
    <s v="9330"/>
    <s v="Kapuvár"/>
    <s v="Gesztenye sor 3."/>
    <s v="ok"/>
    <n v="2"/>
    <n v="2"/>
    <x v="8"/>
    <n v="1"/>
    <n v="1"/>
    <n v="1"/>
  </r>
  <r>
    <x v="6"/>
    <s v="S6T59510"/>
    <s v="Diebold-Opteva 520 ATM Indoor"/>
    <s v="1520FCF00168"/>
    <s v="9221"/>
    <s v="Levél"/>
    <s v="Fő u. 7."/>
    <s v="ok"/>
    <n v="2"/>
    <n v="2"/>
    <x v="19"/>
    <e v="#N/A"/>
    <n v="0"/>
    <n v="2"/>
  </r>
  <r>
    <x v="6"/>
    <s v="S6T59512"/>
    <s v="Diebold-Opteva 520 ATM Indoor"/>
    <s v="1520F3305617"/>
    <s v="9400"/>
    <s v="Sopron"/>
    <s v="Kőszegi u. 5."/>
    <s v="ok"/>
    <n v="2"/>
    <n v="2"/>
    <x v="8"/>
    <e v="#N/A"/>
    <n v="0"/>
    <n v="2"/>
  </r>
  <r>
    <x v="6"/>
    <s v="S6T59513"/>
    <s v="Diebold-Opteva 760 ATM Outdoor"/>
    <s v="1760RCF00641"/>
    <s v="9485"/>
    <s v="Nagycenk"/>
    <s v="Iskola u. 2."/>
    <s v="ok"/>
    <n v="2"/>
    <n v="2"/>
    <x v="8"/>
    <n v="1"/>
    <n v="1"/>
    <n v="1"/>
  </r>
  <r>
    <x v="6"/>
    <s v="S6T59514"/>
    <s v="Diebold-Opteva 500 ATM"/>
    <s v="1500F3320011"/>
    <s v="9423"/>
    <s v="Ágfalva"/>
    <s v="Fő u. 74."/>
    <s v="ok"/>
    <n v="2"/>
    <n v="2"/>
    <x v="8"/>
    <e v="#N/A"/>
    <n v="0"/>
    <n v="2"/>
  </r>
  <r>
    <x v="6"/>
    <s v="S6T59515"/>
    <s v="Diebold-Opteva 760 ATM Outdoor"/>
    <s v="1760RH120877"/>
    <s v="9371"/>
    <s v="Vitnyéd"/>
    <s v="Fő u. 1/a."/>
    <s v="ok"/>
    <n v="2"/>
    <n v="2"/>
    <x v="8"/>
    <e v="#N/A"/>
    <n v="0"/>
    <n v="2"/>
  </r>
  <r>
    <x v="6"/>
    <s v="S6T59516"/>
    <s v="Diebold-Opteva 760 ATM Outdoor"/>
    <s v="1760RH120886"/>
    <s v="9495"/>
    <s v="Kópháza"/>
    <s v="Fő u. 15."/>
    <s v="ok"/>
    <n v="2"/>
    <n v="2"/>
    <x v="8"/>
    <e v="#N/A"/>
    <n v="0"/>
    <n v="2"/>
  </r>
  <r>
    <x v="6"/>
    <s v="S6T59517"/>
    <s v="Diebold-Opteva 760 ATM Outdoor"/>
    <s v="1760RH120887"/>
    <s v="9482"/>
    <s v="Nagylózs"/>
    <s v="Kossuth u. 47."/>
    <s v="ok"/>
    <n v="2"/>
    <n v="2"/>
    <x v="8"/>
    <e v="#N/A"/>
    <n v="0"/>
    <n v="2"/>
  </r>
  <r>
    <x v="6"/>
    <s v="S6T59518"/>
    <s v="Diebold-Opteva 520 ATM Indoor"/>
    <s v="1520FH122705"/>
    <s v="9443"/>
    <s v="Petőháza"/>
    <s v="Petőfi u.1."/>
    <s v="ok"/>
    <n v="2"/>
    <n v="2"/>
    <x v="8"/>
    <n v="1"/>
    <n v="1"/>
    <n v="1"/>
  </r>
  <r>
    <x v="6"/>
    <s v="S6T59519"/>
    <s v="OPT562 1GIG-DVD-UPS-LAN-A6-CEN3(4HIGH)"/>
    <s v="1562RH138603"/>
    <s v="9244"/>
    <s v="Újrónafő"/>
    <s v="Szabadság u. 3."/>
    <s v="ok"/>
    <n v="2"/>
    <n v="2"/>
    <x v="19"/>
    <e v="#N/A"/>
    <n v="0"/>
    <n v="2"/>
  </r>
  <r>
    <x v="6"/>
    <s v="S6T59520"/>
    <s v="Diebold-Opteva 760 ATM Outdoor"/>
    <s v="1760RH122690"/>
    <s v="9484"/>
    <s v="Pereszteg"/>
    <s v="Fő u. 14."/>
    <s v="ok"/>
    <n v="2"/>
    <n v="2"/>
    <x v="8"/>
    <n v="1"/>
    <n v="1"/>
    <n v="1"/>
  </r>
  <r>
    <x v="6"/>
    <s v="S6T59521"/>
    <s v="OPT562 1GIG-DVD-UPS-LAN-A6-CEN3(4HIGH)"/>
    <s v="1562RH138186"/>
    <s v="9400"/>
    <s v="Sopron"/>
    <s v="Várkerület sor 18."/>
    <s v="ok"/>
    <n v="2"/>
    <n v="2"/>
    <x v="8"/>
    <e v="#N/A"/>
    <n v="0"/>
    <n v="2"/>
  </r>
  <r>
    <x v="6"/>
    <s v="S6T59522"/>
    <s v="OPT562 1GIG-DVD-UPS-LAN-A6-CEN3(4HIGH)"/>
    <s v="1562RH141320"/>
    <s v="9353"/>
    <s v="Szárföld"/>
    <s v="Fő u. 16."/>
    <s v="ok"/>
    <n v="2"/>
    <n v="2"/>
    <x v="8"/>
    <e v="#N/A"/>
    <n v="0"/>
    <n v="2"/>
  </r>
  <r>
    <x v="6"/>
    <s v="S6T59523"/>
    <s v="OPT562 1GIG-DVD-UPS-LAN-A6-CEN3(4HIGH)"/>
    <s v="1562RH144648"/>
    <s v="9226"/>
    <s v="Dunasziget"/>
    <s v="Sérfenyő utca 57."/>
    <s v="ok"/>
    <n v="2"/>
    <n v="2"/>
    <x v="19"/>
    <e v="#N/A"/>
    <n v="0"/>
    <n v="2"/>
  </r>
  <r>
    <x v="6"/>
    <s v="S6T59524"/>
    <s v="Diebold-Opteva 760 ATM Outdoor"/>
    <s v="1760RH129105"/>
    <s v="9200"/>
    <s v="Mosonmagyaróvár"/>
    <s v="Bástya utca 15."/>
    <s v="ok"/>
    <n v="2"/>
    <n v="2"/>
    <x v="19"/>
    <e v="#N/A"/>
    <n v="0"/>
    <n v="2"/>
  </r>
  <r>
    <x v="6"/>
    <s v="S6T59525"/>
    <s v="Diebold-Opteva 760 ATM Outdoor"/>
    <s v="1760RH120885"/>
    <s v="9326"/>
    <s v="Szil"/>
    <s v="Hunyadi tér 14."/>
    <s v="ok"/>
    <n v="2"/>
    <n v="2"/>
    <x v="8"/>
    <n v="1"/>
    <n v="1"/>
    <n v="1"/>
  </r>
  <r>
    <x v="6"/>
    <s v="S6T59526"/>
    <s v="OPT562 1GIG-DVD-UPS-LAN-A6-CEN3(4HIGH)"/>
    <s v="1562RH159082"/>
    <s v="9100"/>
    <s v="Tét"/>
    <s v="Fő utca 86."/>
    <s v="ok"/>
    <n v="2"/>
    <n v="2"/>
    <x v="19"/>
    <n v="1"/>
    <n v="1"/>
    <n v="1"/>
  </r>
  <r>
    <x v="6"/>
    <s v="S6T59801"/>
    <s v="OPT562 1GIG-DVD-UPS-LAN-A6-CEN3(4HIGH)"/>
    <s v="1562RH137081"/>
    <s v="9121"/>
    <s v="Győrszemere"/>
    <s v="Győri út 61."/>
    <s v="ok"/>
    <n v="2"/>
    <n v="2"/>
    <x v="19"/>
    <e v="#N/A"/>
    <n v="0"/>
    <n v="2"/>
  </r>
  <r>
    <x v="6"/>
    <s v="S6T59802"/>
    <s v="OPT562 1GIG-DVD-UPS-LAN-A6-CEN3(4HIGH)"/>
    <s v="1562RH127743"/>
    <s v="9100"/>
    <s v="Tét"/>
    <s v="Fő út 86."/>
    <s v="ok"/>
    <n v="2"/>
    <n v="2"/>
    <x v="19"/>
    <n v="1"/>
    <n v="1"/>
    <n v="1"/>
  </r>
  <r>
    <x v="6"/>
    <s v="S6T59803"/>
    <s v="OPT562 1GIG-DVD-UPS-LAN-A6-CEN3(4HIGH)"/>
    <s v="1562RH128668"/>
    <s v="9028"/>
    <s v="Győr"/>
    <s v="Bartók B. út 5."/>
    <s v="ok"/>
    <n v="2"/>
    <n v="2"/>
    <x v="19"/>
    <e v="#N/A"/>
    <n v="0"/>
    <n v="2"/>
  </r>
  <r>
    <x v="6"/>
    <s v="S6T59901"/>
    <s v="ProCash 2050"/>
    <s v="5300225660"/>
    <s v="4211"/>
    <s v="Ebes"/>
    <s v="Ady Endre u. 2/a"/>
    <s v="ok"/>
    <n v="2"/>
    <n v="2"/>
    <x v="16"/>
    <n v="1"/>
    <n v="1"/>
    <n v="1"/>
  </r>
  <r>
    <x v="6"/>
    <s v="S6T59902"/>
    <s v="OPT562 1GIG-DVD-UPS-LAN-A6-CEN3(4HIGH)"/>
    <s v="1562RH155236"/>
    <s v="4071"/>
    <s v="Hortobágy"/>
    <s v="Petőfi Sándor tér 3."/>
    <s v="ok"/>
    <n v="2"/>
    <n v="2"/>
    <x v="16"/>
    <e v="#N/A"/>
    <n v="0"/>
    <n v="2"/>
  </r>
  <r>
    <x v="6"/>
    <s v="S6T59903"/>
    <s v="ProCash 2050"/>
    <s v="XXS6T59903"/>
    <s v="4060"/>
    <s v="Balmazújváros"/>
    <s v="Veres Péter utca 3."/>
    <s v="ok"/>
    <n v="2"/>
    <n v="2"/>
    <x v="16"/>
    <n v="1"/>
    <n v="1"/>
    <n v="1"/>
  </r>
  <r>
    <x v="6"/>
    <s v="S6T59904"/>
    <s v="ProCash 2050"/>
    <s v="XXS6T59904"/>
    <s v="4064"/>
    <s v="Nagyhegyes"/>
    <s v="Kossuth u. 1."/>
    <s v="ok"/>
    <n v="2"/>
    <n v="2"/>
    <x v="16"/>
    <n v="1"/>
    <n v="1"/>
    <n v="1"/>
  </r>
  <r>
    <x v="6"/>
    <s v="S6T59905"/>
    <s v="ProCash 2050"/>
    <s v="XXS6T59905"/>
    <s v="4031"/>
    <s v="Debrecen"/>
    <s v="Kishegyesi u. 46."/>
    <s v="ok"/>
    <n v="2"/>
    <n v="0"/>
    <x v="16"/>
    <e v="#N/A"/>
    <n v="0"/>
    <n v="0"/>
  </r>
  <r>
    <x v="6"/>
    <s v="S6T59906"/>
    <s v="ProCash 2050"/>
    <s v="XXS6T59906"/>
    <s v="4200"/>
    <s v="Hajdúszoboszló"/>
    <s v="Hősök tere 15."/>
    <s v="ok"/>
    <n v="2"/>
    <n v="2"/>
    <x v="16"/>
    <n v="1"/>
    <n v="1"/>
    <n v="1"/>
  </r>
  <r>
    <x v="6"/>
    <s v="S6T59908"/>
    <s v="ProCash 2050"/>
    <s v="XXS6T59908"/>
    <s v="4060"/>
    <s v="Balmazújváros"/>
    <s v="Dózsa György u. 2."/>
    <s v="ok"/>
    <n v="2"/>
    <n v="2"/>
    <x v="16"/>
    <e v="#N/A"/>
    <n v="0"/>
    <n v="2"/>
  </r>
  <r>
    <x v="6"/>
    <s v="S6T60300"/>
    <s v="Diebold-Opteva 720 ATM Indoor"/>
    <s v="1720FCF00089"/>
    <s v="4087"/>
    <s v="Hajdúdorog"/>
    <s v="Tokaji u. 6."/>
    <s v="ok"/>
    <n v="2"/>
    <n v="2"/>
    <x v="16"/>
    <n v="1"/>
    <n v="1"/>
    <n v="1"/>
  </r>
  <r>
    <x v="6"/>
    <s v="S6T60301"/>
    <s v="Diebold-Opteva 720 ATM Indoor"/>
    <s v="1720VCF00020"/>
    <s v="4220"/>
    <s v="Hajdúböszörmény"/>
    <s v="Kossuth L. u. 9."/>
    <s v="ok"/>
    <n v="2"/>
    <n v="2"/>
    <x v="16"/>
    <n v="1"/>
    <n v="1"/>
    <n v="1"/>
  </r>
  <r>
    <x v="6"/>
    <s v="S6T60302"/>
    <s v="Diebold-Opteva 720 ATM Indoor"/>
    <s v="1720FH120178"/>
    <s v="4080"/>
    <s v="Hajdúnánás"/>
    <s v="Kossuth L.u. 17."/>
    <s v="ok"/>
    <n v="2"/>
    <n v="2"/>
    <x v="16"/>
    <n v="1"/>
    <n v="1"/>
    <n v="1"/>
  </r>
  <r>
    <x v="6"/>
    <s v="S6T60303"/>
    <s v="Diebold-Opteva 760 ATM Outdoor"/>
    <s v="XXS6T60303"/>
    <s v="4025"/>
    <s v="Debrecen"/>
    <s v="Pásti u. 1/E."/>
    <s v="ok"/>
    <n v="2"/>
    <n v="0"/>
    <x v="16"/>
    <e v="#N/A"/>
    <n v="0"/>
    <n v="0"/>
  </r>
  <r>
    <x v="6"/>
    <s v="S6T60304"/>
    <s v="OPT562 1GIG-DVD-UPS-LAN-A6-CEN3(4HIGH)"/>
    <s v="1562RH137082"/>
    <s v="4086"/>
    <s v="Hajdúvíd"/>
    <s v="Krúdy Gy. utca 2."/>
    <s v="ok"/>
    <n v="2"/>
    <n v="2"/>
    <x v="16"/>
    <e v="#N/A"/>
    <n v="0"/>
    <n v="2"/>
  </r>
  <r>
    <x v="6"/>
    <s v="S6T60603"/>
    <s v="Diebold-Opteva 760 ATM Outdoor"/>
    <s v="1760RH123963"/>
    <s v="4274"/>
    <s v="Hosszúpályi"/>
    <s v="Bagosi u. 2."/>
    <s v="ok"/>
    <n v="2"/>
    <n v="2"/>
    <x v="16"/>
    <e v="#N/A"/>
    <n v="0"/>
    <n v="2"/>
  </r>
  <r>
    <x v="6"/>
    <s v="S6T60604"/>
    <s v="Diebold-Opteva 760 ATM Outdoor"/>
    <s v="1760RH123017"/>
    <s v="4254"/>
    <s v="Nyíradony"/>
    <s v="Vörösmarty u. 2."/>
    <s v="ok"/>
    <n v="2"/>
    <n v="2"/>
    <x v="16"/>
    <n v="1"/>
    <n v="1"/>
    <n v="1"/>
  </r>
  <r>
    <x v="6"/>
    <s v="S6T60605"/>
    <s v="Diebold-Opteva 760 ATM Outdoor"/>
    <s v="1760R3320411"/>
    <s v="4130"/>
    <s v="Derecske"/>
    <s v="Rákóczi u. 2."/>
    <s v="ok"/>
    <n v="2"/>
    <n v="2"/>
    <x v="16"/>
    <n v="1"/>
    <n v="1"/>
    <n v="1"/>
  </r>
  <r>
    <x v="6"/>
    <s v="S6T60606"/>
    <s v="Diebold-Opteva 760 ATM Outdoor"/>
    <s v="1760RH123016"/>
    <s v="4251"/>
    <s v="Hajdúsámson"/>
    <s v="Rákóczi u. 6."/>
    <s v="ok"/>
    <n v="2"/>
    <n v="2"/>
    <x v="16"/>
    <n v="1"/>
    <n v="1"/>
    <n v="1"/>
  </r>
  <r>
    <x v="6"/>
    <s v="S6T60609"/>
    <s v="Diebold-Opteva 760 ATM Outdoor"/>
    <s v="1760RH127394"/>
    <s v="4242"/>
    <s v="Hajdúhadház"/>
    <s v="Bocskai tér 2/a"/>
    <s v="ok"/>
    <n v="2"/>
    <n v="2"/>
    <x v="16"/>
    <e v="#N/A"/>
    <n v="0"/>
    <n v="2"/>
  </r>
  <r>
    <x v="6"/>
    <s v="S6T60610"/>
    <s v="Diebold-Opteva 760 ATM Outdoor"/>
    <s v="1760RCF00014"/>
    <s v="4243"/>
    <s v="Téglás"/>
    <s v="Dózsa u. 13."/>
    <s v="ok"/>
    <n v="2"/>
    <n v="2"/>
    <x v="16"/>
    <n v="1"/>
    <n v="1"/>
    <n v="1"/>
  </r>
  <r>
    <x v="6"/>
    <s v="S6T60611"/>
    <s v="Diebold-Opteva 760 ATM Outdoor"/>
    <s v="1760RH129104"/>
    <s v="4225"/>
    <s v="Debrecen-Józsa"/>
    <s v="Szentgyörgyfalvi u. 9."/>
    <s v="ok"/>
    <n v="2"/>
    <n v="2"/>
    <x v="16"/>
    <n v="1"/>
    <n v="1"/>
    <n v="1"/>
  </r>
  <r>
    <x v="6"/>
    <s v="S6T60612"/>
    <s v="ProCash 2050"/>
    <s v="XXS6T60612"/>
    <s v="4241"/>
    <s v="Bocskaikert"/>
    <s v="Csillag u. 1."/>
    <s v="ok"/>
    <n v="2"/>
    <n v="2"/>
    <x v="16"/>
    <n v="1"/>
    <n v="1"/>
    <n v="1"/>
  </r>
  <r>
    <x v="6"/>
    <s v="S6T60613"/>
    <s v="Diebold-Opteva 760 ATM Outdoor"/>
    <s v="1760RH123018"/>
    <s v="4033"/>
    <s v="Debrecen"/>
    <s v="Mátyás király u. 29."/>
    <s v="ok"/>
    <n v="2"/>
    <n v="2"/>
    <x v="16"/>
    <e v="#N/A"/>
    <n v="0"/>
    <n v="2"/>
  </r>
  <r>
    <x v="6"/>
    <s v="S6T60614"/>
    <s v="ProCash 2050"/>
    <s v="5300478309"/>
    <s v="4110"/>
    <s v="Biharkeresztes"/>
    <s v="Hősök tere 10."/>
    <s v="ok"/>
    <n v="2"/>
    <n v="2"/>
    <x v="16"/>
    <n v="1"/>
    <n v="1"/>
    <n v="1"/>
  </r>
  <r>
    <x v="6"/>
    <s v="S6T60615"/>
    <s v="Diebold-Opteva 760 ATM Outdoor"/>
    <s v="1760RH120978"/>
    <s v="4116"/>
    <s v="Berekböszörmény"/>
    <s v="Köztársaság tér 2-4."/>
    <s v="ok"/>
    <n v="2"/>
    <n v="2"/>
    <x v="16"/>
    <e v="#N/A"/>
    <n v="0"/>
    <n v="2"/>
  </r>
  <r>
    <x v="6"/>
    <s v="S6T60617"/>
    <s v="OPT562 1GIG-DVD-UPS-LAN-A6-CEN3(4HIGH)"/>
    <s v="1562RH130871"/>
    <s v="4171"/>
    <s v="Sárrétudvari"/>
    <s v="Széchenyi út 4."/>
    <s v="ok"/>
    <n v="2"/>
    <n v="2"/>
    <x v="16"/>
    <e v="#N/A"/>
    <n v="0"/>
    <n v="2"/>
  </r>
  <r>
    <x v="6"/>
    <s v="S6T60618"/>
    <s v="OPT562 1GIG-DVD-UPS-LAN-A6-CEN3(4HIGH)"/>
    <s v="1562RH146858"/>
    <s v="4172"/>
    <s v="Biharnagybajom"/>
    <s v="Rákóczi u. 15."/>
    <s v="ok"/>
    <n v="2"/>
    <n v="2"/>
    <x v="16"/>
    <e v="#N/A"/>
    <n v="0"/>
    <n v="2"/>
  </r>
  <r>
    <x v="6"/>
    <s v="S6T60619"/>
    <s v="Diebold-Opteva 760 ATM Outdoor"/>
    <s v="XXS6T60619"/>
    <s v="4125"/>
    <s v="Pocsaj"/>
    <s v="Nagy u. 28."/>
    <s v="ok"/>
    <n v="2"/>
    <n v="0"/>
    <x v="16"/>
    <e v="#N/A"/>
    <n v="0"/>
    <n v="0"/>
  </r>
  <r>
    <x v="6"/>
    <s v="S6T60620"/>
    <s v="Diebold-Opteva 560 ATM Outdoor"/>
    <s v="1560RCF00832"/>
    <s v="4281"/>
    <s v="Létavértes"/>
    <s v="Baross u. 1."/>
    <s v="ok"/>
    <n v="2"/>
    <n v="2"/>
    <x v="16"/>
    <e v="#N/A"/>
    <n v="0"/>
    <n v="2"/>
  </r>
  <r>
    <x v="6"/>
    <s v="S6T60621"/>
    <s v="OPT562 1GIG-DVD-UPS-LAN-A6-CEN3(4HIGH)"/>
    <s v="1562RH139366"/>
    <s v="4141"/>
    <s v="Furta"/>
    <s v="Szabadság tér 1."/>
    <s v="ok"/>
    <n v="2"/>
    <n v="2"/>
    <x v="16"/>
    <e v="#N/A"/>
    <n v="0"/>
    <n v="2"/>
  </r>
  <r>
    <x v="6"/>
    <s v="S6T60622"/>
    <s v="OPT562 1GIG-DVD-UPS-LAN-A6-CEN3(4HIGH)"/>
    <s v="1562RH143430"/>
    <s v="4272"/>
    <s v="Sáránd"/>
    <s v="Nagy utca 50."/>
    <s v="ok"/>
    <n v="2"/>
    <n v="2"/>
    <x v="16"/>
    <e v="#N/A"/>
    <n v="0"/>
    <n v="2"/>
  </r>
  <r>
    <x v="6"/>
    <s v="S6T60623"/>
    <s v="OPT562 1GIG-DVD-UPS-LAN-A6-CEN3(4HIGH)"/>
    <s v="1562RH132390"/>
    <s v="4127"/>
    <s v="Nagykereki"/>
    <s v="Kossuth u. 8."/>
    <s v="ok"/>
    <n v="2"/>
    <n v="2"/>
    <x v="16"/>
    <e v="#N/A"/>
    <n v="0"/>
    <n v="2"/>
  </r>
  <r>
    <x v="6"/>
    <s v="S6T60624"/>
    <s v="OPT562 1GIG-DVD-UPS-LAN-A6-CEN3(4HIGH)"/>
    <s v="1562RH131286"/>
    <s v="4000"/>
    <s v="Debrecen"/>
    <s v="Bethlen G. u. 6-8."/>
    <s v="ok"/>
    <n v="2"/>
    <n v="2"/>
    <x v="16"/>
    <e v="#N/A"/>
    <n v="0"/>
    <n v="2"/>
  </r>
  <r>
    <x v="6"/>
    <s v="S6T60625"/>
    <s v="Diebold-Opteva 562r 3 High-Standard ATM"/>
    <s v="1562RH139369"/>
    <s v="4135"/>
    <s v="Kőrösszegapáti"/>
    <s v="Kossuth u. 46."/>
    <s v="ok"/>
    <n v="2"/>
    <n v="2"/>
    <x v="16"/>
    <e v="#N/A"/>
    <n v="0"/>
    <n v="2"/>
  </r>
  <r>
    <x v="6"/>
    <s v="S6T60626"/>
    <s v="ProCash 2050"/>
    <s v="5300187123"/>
    <s v="4558"/>
    <s v="Ófehértó"/>
    <s v="Alkotmány út 58."/>
    <s v="ok"/>
    <n v="2"/>
    <n v="2"/>
    <x v="1"/>
    <e v="#N/A"/>
    <n v="0"/>
    <n v="2"/>
  </r>
  <r>
    <x v="6"/>
    <s v="S6T61401"/>
    <s v="ProCash 2150"/>
    <s v="5300735182"/>
    <s v="4287"/>
    <s v="Vámospércs"/>
    <s v="Nagy u. 9."/>
    <s v="ok"/>
    <n v="2"/>
    <n v="2"/>
    <x v="16"/>
    <e v="#N/A"/>
    <n v="0"/>
    <n v="2"/>
  </r>
  <r>
    <x v="6"/>
    <s v="S6T61403"/>
    <s v="ProCash 2054xe USB"/>
    <s v="XXS6T61403"/>
    <s v="4173"/>
    <s v="Nagyrábé"/>
    <s v="Kossuth u. 24."/>
    <s v="ok"/>
    <n v="2"/>
    <n v="2"/>
    <x v="16"/>
    <e v="#N/A"/>
    <n v="0"/>
    <n v="2"/>
  </r>
  <r>
    <x v="6"/>
    <s v="S6T61404"/>
    <s v="CSC/450 system"/>
    <s v="XXS6T61404"/>
    <s v="4161"/>
    <s v="Báránd"/>
    <s v="Vörösmarty u. 34."/>
    <s v="ok"/>
    <n v="2"/>
    <n v="0"/>
    <x v="16"/>
    <e v="#N/A"/>
    <n v="0"/>
    <n v="0"/>
  </r>
  <r>
    <x v="6"/>
    <s v="S6T61405"/>
    <s v="ProCash 2050"/>
    <s v="XXS6T61405"/>
    <s v="4183"/>
    <s v="Kaba"/>
    <s v="Rákóczi u. 20."/>
    <s v="ok"/>
    <n v="2"/>
    <n v="2"/>
    <x v="16"/>
    <n v="1"/>
    <n v="1"/>
    <n v="1"/>
  </r>
  <r>
    <x v="6"/>
    <s v="S6T61407"/>
    <s v="ProCash 2050"/>
    <s v="XXS6T61407"/>
    <s v="4150"/>
    <s v="Püspökladány"/>
    <s v="Gagarin u. 1."/>
    <s v="ok"/>
    <n v="2"/>
    <n v="2"/>
    <x v="16"/>
    <e v="#N/A"/>
    <n v="0"/>
    <n v="2"/>
  </r>
  <r>
    <x v="6"/>
    <s v="S6T61408"/>
    <s v="OPT562 1GIG-DVD-UPS-LAN-A6-CEN3(4HIGH)"/>
    <s v="1562RH127794"/>
    <s v="4264"/>
    <s v="Nyírábrány"/>
    <s v="Jókai u. 1/a"/>
    <s v="ok"/>
    <n v="2"/>
    <n v="2"/>
    <x v="16"/>
    <n v="1"/>
    <n v="1"/>
    <n v="1"/>
  </r>
  <r>
    <x v="6"/>
    <s v="S6T61601"/>
    <s v="CSC/450 system"/>
    <s v="SSB3216928"/>
    <s v="3300"/>
    <s v="Eger"/>
    <s v="Katona tér 7-9."/>
    <s v="ok"/>
    <n v="2"/>
    <n v="2"/>
    <x v="2"/>
    <e v="#N/A"/>
    <n v="0"/>
    <n v="2"/>
  </r>
  <r>
    <x v="6"/>
    <s v="S6T61602"/>
    <s v="ProCash 2150xe"/>
    <s v="5300454316"/>
    <s v="3346"/>
    <s v="Bélapátfalva"/>
    <s v="Május 1. u. 2/a"/>
    <s v="ok"/>
    <n v="2"/>
    <n v="2"/>
    <x v="6"/>
    <e v="#N/A"/>
    <n v="0"/>
    <n v="2"/>
  </r>
  <r>
    <x v="6"/>
    <s v="S6T61900"/>
    <s v="ProCash 2050xe"/>
    <s v="5300141565"/>
    <s v="3300"/>
    <s v="Eger"/>
    <s v="Malomárok utca 31."/>
    <s v="ok"/>
    <n v="2"/>
    <n v="2"/>
    <x v="2"/>
    <e v="#N/A"/>
    <n v="0"/>
    <n v="2"/>
  </r>
  <r>
    <x v="6"/>
    <s v="S6T61904"/>
    <s v="ProCash 2050xe"/>
    <s v="5300154317"/>
    <s v="3388"/>
    <s v="Poroszló"/>
    <s v="Fő út 3."/>
    <s v="ok"/>
    <n v="2"/>
    <n v="2"/>
    <x v="6"/>
    <e v="#N/A"/>
    <n v="0"/>
    <n v="2"/>
  </r>
  <r>
    <x v="6"/>
    <s v="S6T61905"/>
    <s v="ProCash 2050xe USB"/>
    <s v="5300827414"/>
    <s v="3350"/>
    <s v="Kál"/>
    <s v="Rózsa utca 2/a."/>
    <s v="ok"/>
    <n v="2"/>
    <n v="2"/>
    <x v="6"/>
    <n v="1"/>
    <n v="1"/>
    <n v="1"/>
  </r>
  <r>
    <x v="6"/>
    <s v="S6T61906"/>
    <s v="ProCash 2050xe"/>
    <s v="5300122093"/>
    <s v="3300"/>
    <s v="Eger"/>
    <s v="Mátyás kir. utca 102."/>
    <s v="ok"/>
    <n v="2"/>
    <n v="2"/>
    <x v="2"/>
    <e v="#N/A"/>
    <n v="0"/>
    <n v="2"/>
  </r>
  <r>
    <x v="6"/>
    <s v="S6T61907"/>
    <s v="ProCash 2050xe"/>
    <s v="5300129573"/>
    <s v="3374"/>
    <s v="Szihalom"/>
    <s v="Hunyadi út 94."/>
    <s v="ok"/>
    <n v="2"/>
    <n v="2"/>
    <x v="6"/>
    <e v="#N/A"/>
    <n v="0"/>
    <n v="2"/>
  </r>
  <r>
    <x v="6"/>
    <s v="S6T61908"/>
    <s v="ProCash 2050xe"/>
    <s v="5300198800"/>
    <s v="3373"/>
    <s v="Besenyőtelek"/>
    <s v="Fő út 112."/>
    <s v="ok"/>
    <n v="2"/>
    <n v="2"/>
    <x v="6"/>
    <e v="#N/A"/>
    <n v="0"/>
    <n v="2"/>
  </r>
  <r>
    <x v="6"/>
    <s v="S6T61909"/>
    <s v="ProCash 2050xe"/>
    <s v="5300242740"/>
    <s v="3390"/>
    <s v="Füzesabony"/>
    <s v="Rákóczi út 55."/>
    <s v="ok"/>
    <n v="2"/>
    <n v="2"/>
    <x v="6"/>
    <n v="1"/>
    <n v="1"/>
    <n v="1"/>
  </r>
  <r>
    <x v="6"/>
    <s v="S6T61910"/>
    <s v="ProCash 2050xe USB"/>
    <s v="5300378708"/>
    <s v="3390"/>
    <s v="Füzesabony"/>
    <s v="Szabadság út 22."/>
    <s v="ok"/>
    <n v="2"/>
    <n v="2"/>
    <x v="6"/>
    <n v="1"/>
    <n v="1"/>
    <n v="1"/>
  </r>
  <r>
    <x v="6"/>
    <s v="S6T61911"/>
    <s v="ProCash 2050xe USB"/>
    <s v="5300379746"/>
    <s v="3386"/>
    <s v="Sarud"/>
    <s v="Kossuth út 109."/>
    <s v="ok"/>
    <n v="2"/>
    <n v="2"/>
    <x v="6"/>
    <e v="#N/A"/>
    <n v="0"/>
    <n v="2"/>
  </r>
  <r>
    <x v="6"/>
    <s v="S6T62001"/>
    <s v="Diebold-Opteva 562r 3 High-Standard ATM"/>
    <s v="562RRH100213"/>
    <s v="3200"/>
    <s v="Gyöngyös"/>
    <s v="Magyar út 1."/>
    <s v="ok"/>
    <n v="2"/>
    <n v="2"/>
    <x v="10"/>
    <e v="#N/A"/>
    <n v="0"/>
    <n v="2"/>
  </r>
  <r>
    <x v="6"/>
    <s v="S6T62002"/>
    <s v="OPT562 1GIG-DVD-UPS-LAN-A6-CEN3(4HIGH)"/>
    <s v="1562RCF00950"/>
    <s v="3358"/>
    <s v="Erdőtelek"/>
    <s v="Fő u. 123."/>
    <s v="ok"/>
    <n v="2"/>
    <n v="2"/>
    <x v="6"/>
    <n v="1"/>
    <n v="1"/>
    <n v="1"/>
  </r>
  <r>
    <x v="6"/>
    <s v="S6T62003"/>
    <s v="OPT562 1GIG-DVD-UPS-LAN-A6-CEN3(4HIGH)"/>
    <s v="1562RH145154"/>
    <s v="3263"/>
    <s v="Domoszló"/>
    <s v="Deák tér 6."/>
    <s v="ok"/>
    <n v="2"/>
    <n v="2"/>
    <x v="6"/>
    <n v="1"/>
    <n v="1"/>
    <n v="1"/>
  </r>
  <r>
    <x v="6"/>
    <s v="S6T62004"/>
    <s v="Diebold-Opteva 760 ATM Outdoor"/>
    <s v="1760RCF00490"/>
    <s v="3035"/>
    <s v="Gyöngyöspata"/>
    <s v="Dózsa György út 1."/>
    <s v="ok"/>
    <n v="2"/>
    <n v="2"/>
    <x v="10"/>
    <e v="#N/A"/>
    <n v="0"/>
    <n v="2"/>
  </r>
  <r>
    <x v="6"/>
    <s v="S6T62101"/>
    <s v="ProCash 2050"/>
    <s v="5300095579"/>
    <s v="3000"/>
    <s v="Hatvan"/>
    <s v="Kossuth tér 15."/>
    <s v="ok"/>
    <n v="2"/>
    <n v="2"/>
    <x v="6"/>
    <n v="1"/>
    <n v="1"/>
    <n v="1"/>
  </r>
  <r>
    <x v="6"/>
    <s v="S6T62102"/>
    <s v="ProCash 2050"/>
    <s v="5300536252"/>
    <s v="3023"/>
    <s v="Petőfibánya"/>
    <s v="Mária u. 4."/>
    <s v="ok"/>
    <n v="2"/>
    <n v="2"/>
    <x v="6"/>
    <e v="#N/A"/>
    <n v="0"/>
    <n v="2"/>
  </r>
  <r>
    <x v="6"/>
    <s v="S6T62103"/>
    <s v="ProCash 2050"/>
    <s v="5300216494"/>
    <s v="3021"/>
    <s v="Lőrinci"/>
    <s v="Szabadság tér 3."/>
    <s v="ok"/>
    <n v="2"/>
    <n v="2"/>
    <x v="6"/>
    <n v="1"/>
    <n v="1"/>
    <n v="1"/>
  </r>
  <r>
    <x v="6"/>
    <s v="S6T62104"/>
    <s v="ProCash 2050"/>
    <s v="5300450974"/>
    <s v="3060"/>
    <s v="Pásztó"/>
    <s v="Fő út 64."/>
    <s v="ok"/>
    <n v="2"/>
    <n v="2"/>
    <x v="6"/>
    <n v="1"/>
    <n v="1"/>
    <n v="1"/>
  </r>
  <r>
    <x v="6"/>
    <s v="S6T62301"/>
    <s v="OPT562 1GIG-DVD-UPS-LAN-A6-CEN3(4HIGH)"/>
    <s v="1562RCF01019"/>
    <s v="3291"/>
    <s v="Vámosgyörk"/>
    <s v="Petőfi út 21."/>
    <s v="ok"/>
    <n v="2"/>
    <n v="2"/>
    <x v="6"/>
    <e v="#N/A"/>
    <n v="0"/>
    <n v="2"/>
  </r>
  <r>
    <x v="6"/>
    <s v="S6T62701"/>
    <s v="CSC/450 system"/>
    <s v="SSB3212669"/>
    <s v="3200"/>
    <s v="Gyöngyös"/>
    <s v="Bugát Pál tér 1/1"/>
    <s v="ok"/>
    <n v="2"/>
    <n v="2"/>
    <x v="6"/>
    <e v="#N/A"/>
    <n v="0"/>
    <n v="2"/>
  </r>
  <r>
    <x v="6"/>
    <s v="S6T62801"/>
    <s v="ProCash 2050xe USB"/>
    <s v="5300517450"/>
    <s v="3300"/>
    <s v="Eger"/>
    <s v="Széchenyi u. 18."/>
    <s v="ok"/>
    <n v="2"/>
    <n v="2"/>
    <x v="2"/>
    <e v="#N/A"/>
    <n v="0"/>
    <n v="2"/>
  </r>
  <r>
    <x v="6"/>
    <s v="S6T62802"/>
    <s v="ProCash 2050xe USB"/>
    <s v="5300536272"/>
    <s v="3325"/>
    <s v="Noszvaj"/>
    <s v="Kossuth L. u. 3."/>
    <s v="ok"/>
    <n v="2"/>
    <n v="2"/>
    <x v="6"/>
    <n v="1"/>
    <n v="1"/>
    <n v="1"/>
  </r>
  <r>
    <x v="6"/>
    <s v="S6T62803"/>
    <s v="ProCash 2050xe USB"/>
    <s v="5300517465"/>
    <s v="3351"/>
    <s v="Verpelét"/>
    <s v="Szabadság tér 8/a"/>
    <s v="ok"/>
    <n v="2"/>
    <n v="2"/>
    <x v="6"/>
    <n v="1"/>
    <n v="1"/>
    <n v="1"/>
  </r>
  <r>
    <x v="6"/>
    <s v="S6T62804"/>
    <s v="CSC/450 system"/>
    <s v="SSB3208985"/>
    <s v="3332"/>
    <s v="Sirok"/>
    <s v="Széchenyi u. 3."/>
    <s v="ok"/>
    <n v="2"/>
    <n v="2"/>
    <x v="6"/>
    <e v="#N/A"/>
    <n v="0"/>
    <n v="2"/>
  </r>
  <r>
    <x v="6"/>
    <s v="S6T62805"/>
    <s v="ProCash 2050xe"/>
    <s v="5300141566"/>
    <s v="3300"/>
    <s v="Eger"/>
    <s v="Kertész út 84."/>
    <s v="ok"/>
    <n v="2"/>
    <n v="2"/>
    <x v="2"/>
    <e v="#N/A"/>
    <n v="0"/>
    <n v="2"/>
  </r>
  <r>
    <x v="6"/>
    <s v="S6T62807"/>
    <s v="CSC/450 system"/>
    <s v="SSB3213011"/>
    <s v="3250"/>
    <s v="Pétervására"/>
    <s v="Szabadság tér 21."/>
    <s v="ok"/>
    <n v="2"/>
    <n v="2"/>
    <x v="6"/>
    <e v="#N/A"/>
    <n v="0"/>
    <n v="2"/>
  </r>
  <r>
    <x v="6"/>
    <s v="S6T62809"/>
    <s v="CSC/450 system"/>
    <s v="SSB3211080"/>
    <s v="3394"/>
    <s v="Egerszalók"/>
    <s v="Sáfrány u. 1."/>
    <s v="ok"/>
    <n v="2"/>
    <n v="2"/>
    <x v="6"/>
    <e v="#N/A"/>
    <n v="0"/>
    <n v="2"/>
  </r>
  <r>
    <x v="6"/>
    <s v="S6T62810"/>
    <s v="ProCash 2150"/>
    <s v="5300005168"/>
    <s v="3399"/>
    <s v="Andornaktálya"/>
    <s v="Rákóczi u. 161/a."/>
    <s v="ok"/>
    <n v="2"/>
    <n v="2"/>
    <x v="6"/>
    <e v="#N/A"/>
    <n v="0"/>
    <n v="2"/>
  </r>
  <r>
    <x v="6"/>
    <s v="S6T62814"/>
    <s v="ProCash 2050xe USB"/>
    <s v="5300521200"/>
    <s v="3327"/>
    <s v="Novaj"/>
    <s v="István u. 2."/>
    <s v="ok"/>
    <n v="2"/>
    <n v="2"/>
    <x v="6"/>
    <e v="#N/A"/>
    <n v="0"/>
    <n v="2"/>
  </r>
  <r>
    <x v="6"/>
    <s v="S6T62815"/>
    <s v="CSC/450 system"/>
    <s v="SSB3205010"/>
    <s v="3326"/>
    <s v="Ostoros"/>
    <s v="Hősök tere 8."/>
    <s v="ok"/>
    <n v="2"/>
    <n v="2"/>
    <x v="6"/>
    <e v="#N/A"/>
    <n v="0"/>
    <n v="2"/>
  </r>
  <r>
    <x v="6"/>
    <s v="S6T62816"/>
    <s v="Diebold-Opteva 760 ATM Outdoor"/>
    <s v="1760RCF00083"/>
    <s v="3258"/>
    <s v="Tarnalelesz"/>
    <s v="Szabadság út 34."/>
    <s v="ok"/>
    <n v="0"/>
    <n v="0"/>
    <x v="6"/>
    <e v="#N/A"/>
    <n v="0"/>
    <n v="0"/>
  </r>
  <r>
    <x v="6"/>
    <s v="S6T62904"/>
    <s v="OPT562 1GIG-DVD-UPS-LAN-A6-CEN3(4HIGH)"/>
    <s v="1562RH144918"/>
    <s v="2889"/>
    <s v="Súr"/>
    <s v="Petőfi u. 65."/>
    <s v="ok"/>
    <n v="2"/>
    <n v="2"/>
    <x v="4"/>
    <e v="#N/A"/>
    <n v="0"/>
    <n v="2"/>
  </r>
  <r>
    <x v="6"/>
    <s v="S6T62905"/>
    <s v="Diebold-Opteva 522 Lobby Cash Dispenser"/>
    <s v="1522VH101390"/>
    <s v="1061"/>
    <s v="Budapest"/>
    <s v="Jókai tér 2."/>
    <s v="ok"/>
    <n v="2"/>
    <n v="2"/>
    <x v="13"/>
    <n v="1"/>
    <n v="1"/>
    <n v="1"/>
  </r>
  <r>
    <x v="6"/>
    <s v="S6T63204"/>
    <s v="CINEO C2550"/>
    <s v="5300769318"/>
    <s v="2941"/>
    <s v="Ács"/>
    <s v="Postaköz 2."/>
    <s v="ok"/>
    <n v="2"/>
    <n v="2"/>
    <x v="5"/>
    <e v="#N/A"/>
    <n v="0"/>
    <n v="2"/>
  </r>
  <r>
    <x v="6"/>
    <s v="S6T63205"/>
    <s v="CINEO C2550"/>
    <s v="5300769369"/>
    <s v="2943"/>
    <s v="Bábolna"/>
    <s v="Béke utca. 1."/>
    <s v="ok"/>
    <n v="2"/>
    <n v="2"/>
    <x v="5"/>
    <e v="#N/A"/>
    <n v="0"/>
    <n v="2"/>
  </r>
  <r>
    <x v="6"/>
    <s v="S6T63206"/>
    <s v="ProCash 2050xe USB"/>
    <s v="5300389440"/>
    <s v="2942"/>
    <s v="Nagyigmánd"/>
    <s v="Mansbart u. 2."/>
    <s v="ok"/>
    <n v="2"/>
    <n v="2"/>
    <x v="5"/>
    <e v="#N/A"/>
    <n v="0"/>
    <n v="2"/>
  </r>
  <r>
    <x v="6"/>
    <s v="S6T63208"/>
    <s v="CINEO C2550"/>
    <s v="5300769341"/>
    <s v="2921"/>
    <s v="Szőny"/>
    <s v="Széchenyi u. 3/a."/>
    <s v="ok"/>
    <n v="2"/>
    <n v="2"/>
    <x v="5"/>
    <n v="1"/>
    <n v="1"/>
    <n v="1"/>
  </r>
  <r>
    <x v="6"/>
    <s v="S6T63209"/>
    <s v="ProCash 2150xe"/>
    <s v="5300336151"/>
    <s v="1155"/>
    <s v="Budapest"/>
    <s v="Kolozsvár u. 2/B."/>
    <s v="ok"/>
    <n v="2"/>
    <n v="2"/>
    <x v="6"/>
    <n v="1"/>
    <n v="1"/>
    <n v="1"/>
  </r>
  <r>
    <x v="6"/>
    <s v="S6T63212"/>
    <s v="ProCash 2150xe"/>
    <s v="5300336129"/>
    <s v="2545"/>
    <s v="Dunaalmás"/>
    <s v="Almási u. 57."/>
    <s v="ok"/>
    <n v="2"/>
    <n v="2"/>
    <x v="5"/>
    <n v="1"/>
    <n v="1"/>
    <n v="1"/>
  </r>
  <r>
    <x v="6"/>
    <s v="S6T63214"/>
    <s v="ProCash 2050xe USB"/>
    <s v="5300558444"/>
    <s v="2831"/>
    <s v="Tarján"/>
    <s v="Rákóczi út 8"/>
    <s v="ok"/>
    <n v="2"/>
    <n v="2"/>
    <x v="5"/>
    <n v="1"/>
    <n v="1"/>
    <n v="1"/>
  </r>
  <r>
    <x v="6"/>
    <s v="S6T63215"/>
    <s v="ProCash 2050xe USB"/>
    <s v="5300228572"/>
    <s v="2898"/>
    <s v="Kocs"/>
    <s v="Kis u. 6."/>
    <s v="ok"/>
    <n v="2"/>
    <n v="2"/>
    <x v="5"/>
    <n v="1"/>
    <n v="1"/>
    <n v="1"/>
  </r>
  <r>
    <x v="6"/>
    <s v="S6T63216"/>
    <s v="ProCash 2150xe"/>
    <s v="5300294126"/>
    <s v="2541"/>
    <s v="Lábatlan"/>
    <s v="Rákóczi út 138-140"/>
    <s v="ok"/>
    <n v="2"/>
    <n v="2"/>
    <x v="5"/>
    <n v="1"/>
    <n v="1"/>
    <n v="1"/>
  </r>
  <r>
    <x v="6"/>
    <s v="S6T63217"/>
    <s v="Diebold-Opteva 560 ATM Outdoor"/>
    <s v="1560R33001582"/>
    <s v="9177"/>
    <s v="Ásványráró"/>
    <s v="Győri u. 47."/>
    <s v="ok"/>
    <n v="2"/>
    <n v="2"/>
    <x v="19"/>
    <e v="#N/A"/>
    <n v="0"/>
    <n v="2"/>
  </r>
  <r>
    <x v="6"/>
    <s v="S6T63218"/>
    <s v="Diebold-Opteva 560 ATM Outdoor"/>
    <s v="1560R3302367"/>
    <s v="9232"/>
    <s v="Darnózseli"/>
    <s v="Felszadadulás u 46."/>
    <s v="ok"/>
    <n v="2"/>
    <n v="2"/>
    <x v="19"/>
    <e v="#N/A"/>
    <n v="0"/>
    <n v="2"/>
  </r>
  <r>
    <x v="6"/>
    <s v="S6T63220"/>
    <s v="OPT562 1GIG-DVD-UPS-LAN-A6-CEN3(4HIGH)"/>
    <s v="1562RH131872"/>
    <s v="2944"/>
    <s v="Bana"/>
    <s v="Mártírok u 14."/>
    <s v="ok"/>
    <n v="2"/>
    <n v="2"/>
    <x v="19"/>
    <e v="#N/A"/>
    <n v="0"/>
    <n v="2"/>
  </r>
  <r>
    <x v="6"/>
    <s v="S6T63221"/>
    <s v="OPT562 1GIG-DVD-UPS-LAN-A6-CEN3(4HIGH)"/>
    <s v="1562RH139098"/>
    <s v="2856"/>
    <s v="Szákszend"/>
    <s v="Száki út 96."/>
    <s v="ok"/>
    <n v="2"/>
    <n v="2"/>
    <x v="19"/>
    <n v="1"/>
    <n v="1"/>
    <n v="1"/>
  </r>
  <r>
    <x v="6"/>
    <s v="S6T63222"/>
    <s v="OPT562 1GIG-DVD-UPS-LAN-A6-CEN3(4HIGH)"/>
    <s v="1562RH139156"/>
    <s v="2834"/>
    <s v="Tardos"/>
    <s v="Rákóczi Ferenc u. 12."/>
    <s v="ok"/>
    <n v="2"/>
    <n v="2"/>
    <x v="19"/>
    <n v="1"/>
    <n v="1"/>
    <n v="1"/>
  </r>
  <r>
    <x v="6"/>
    <s v="S6T63223"/>
    <s v="OPT562 1GIG-DVD-UPS-LAN-A6-CEN3(4HIGH)"/>
    <s v="1562RH139157"/>
    <s v="2911"/>
    <s v="Mocsa"/>
    <s v="Csillag utca 1."/>
    <s v="ok"/>
    <n v="2"/>
    <n v="2"/>
    <x v="19"/>
    <n v="1"/>
    <n v="1"/>
    <n v="1"/>
  </r>
  <r>
    <x v="6"/>
    <s v="S6T63225"/>
    <s v="ProCash 2050xe USB"/>
    <s v="5300558436"/>
    <s v="2896"/>
    <s v="Szomód"/>
    <s v="Tatai utca 1."/>
    <s v="ok"/>
    <n v="2"/>
    <n v="2"/>
    <x v="5"/>
    <e v="#N/A"/>
    <n v="0"/>
    <n v="2"/>
  </r>
  <r>
    <x v="6"/>
    <s v="S6T63227"/>
    <s v="ProCash 2050xe USB"/>
    <s v="5300558416"/>
    <s v="9026"/>
    <s v="Győr"/>
    <s v="Hédervári utca 33."/>
    <s v="ok"/>
    <n v="2"/>
    <n v="2"/>
    <x v="5"/>
    <n v="1"/>
    <n v="1"/>
    <n v="1"/>
  </r>
  <r>
    <x v="6"/>
    <s v="S6T63228"/>
    <s v="ProCash 2050xe USB"/>
    <s v="5300558414"/>
    <s v="9174"/>
    <s v="Dunaszeg"/>
    <s v="Országút utca 6."/>
    <s v="ok"/>
    <n v="2"/>
    <n v="2"/>
    <x v="5"/>
    <n v="1"/>
    <n v="1"/>
    <n v="1"/>
  </r>
  <r>
    <x v="6"/>
    <s v="S6T63230"/>
    <s v="ProCash 2050xe USB"/>
    <s v="5300558412"/>
    <s v="2945"/>
    <s v="Tárkány"/>
    <s v="Sport tér 6."/>
    <s v="ok"/>
    <n v="2"/>
    <n v="2"/>
    <x v="5"/>
    <e v="#N/A"/>
    <n v="0"/>
    <n v="2"/>
  </r>
  <r>
    <x v="6"/>
    <s v="S6T63301"/>
    <s v="Diebold-Opteva 562r 3 High-Standard ATM"/>
    <s v="562RRH100579"/>
    <s v="2800"/>
    <s v="Tatabánya"/>
    <s v="Árpád u. 102."/>
    <s v="ok"/>
    <n v="2"/>
    <n v="2"/>
    <x v="19"/>
    <e v="#N/A"/>
    <n v="0"/>
    <n v="2"/>
  </r>
  <r>
    <x v="6"/>
    <s v="S6T63302"/>
    <s v="OPT562 1GIG-DVD-UPS-LAN-A6-CEN3(4HIGH)"/>
    <s v="1562RH137084"/>
    <s v="2851"/>
    <s v="Környe"/>
    <s v="Alkotmány u. 14."/>
    <s v="ok"/>
    <n v="2"/>
    <n v="2"/>
    <x v="19"/>
    <n v="1"/>
    <n v="1"/>
    <n v="1"/>
  </r>
  <r>
    <x v="6"/>
    <s v="S6T63304"/>
    <s v="OPT562 1GIG-DVD-UPS-LAN-A6-CEN3(4HIGH)"/>
    <s v="1562RCF00032"/>
    <s v="2840"/>
    <s v="Oroszlány"/>
    <s v="Rákóczi u. 7/a"/>
    <s v="ok"/>
    <n v="2"/>
    <n v="2"/>
    <x v="19"/>
    <n v="1"/>
    <n v="1"/>
    <n v="1"/>
  </r>
  <r>
    <x v="6"/>
    <s v="S6T63307"/>
    <s v="OPT562 1GIG-DVD-UPS-LAN-A6-CEN3(4HIGH)"/>
    <s v="1562RH138184"/>
    <s v="2800"/>
    <s v="Tatabánya"/>
    <s v="Ságvári u. 33. fsz. 1/b"/>
    <s v="ok"/>
    <n v="2"/>
    <n v="2"/>
    <x v="19"/>
    <n v="1"/>
    <n v="1"/>
    <n v="1"/>
  </r>
  <r>
    <x v="6"/>
    <s v="S6T63605"/>
    <s v="OPT562 1GIG-DVD-UPS-LAN-A6-CEN3(4HIGH)"/>
    <s v="XXS6T63605"/>
    <s v="2618"/>
    <s v="Nézsa"/>
    <s v="Szondi u. 108"/>
    <s v="ok"/>
    <n v="2"/>
    <n v="0"/>
    <x v="6"/>
    <e v="#N/A"/>
    <n v="0"/>
    <n v="0"/>
  </r>
  <r>
    <x v="6"/>
    <s v="S6T63801"/>
    <s v="ProCash 2050xe"/>
    <s v="5300270891"/>
    <s v="2643"/>
    <s v="Diósjenő"/>
    <s v="Kossuth u. 11/c"/>
    <s v="ok"/>
    <n v="2"/>
    <n v="2"/>
    <x v="6"/>
    <e v="#N/A"/>
    <n v="0"/>
    <n v="2"/>
  </r>
  <r>
    <x v="6"/>
    <s v="S6T63802"/>
    <s v="OPT562 1GIG-DVD-UPS-LAN-A6-CEN3(4HIGH)"/>
    <s v="1562RH138601"/>
    <s v="2646"/>
    <s v="Drégelypalánk"/>
    <s v="Kossuth Lajos u. 50."/>
    <s v="ok"/>
    <n v="2"/>
    <n v="2"/>
    <x v="6"/>
    <e v="#N/A"/>
    <n v="0"/>
    <n v="2"/>
  </r>
  <r>
    <x v="6"/>
    <s v="S6T64401"/>
    <s v="Diebold-Opteva 760 ATM Outdoor"/>
    <s v="1760RH126432"/>
    <s v="2371"/>
    <s v="Dabas-Sári"/>
    <s v="Szent János út 108."/>
    <s v="ok"/>
    <n v="2"/>
    <n v="2"/>
    <x v="15"/>
    <n v="1"/>
    <n v="1"/>
    <n v="1"/>
  </r>
  <r>
    <x v="6"/>
    <s v="S6T64402"/>
    <s v="Diebold-Opteva 750 ATM Outdoor"/>
    <s v="1750F3320017"/>
    <s v="2350"/>
    <s v="Bugyi"/>
    <s v="Teleki út 106."/>
    <s v="ok"/>
    <n v="2"/>
    <n v="2"/>
    <x v="15"/>
    <n v="1"/>
    <n v="1"/>
    <n v="1"/>
  </r>
  <r>
    <x v="6"/>
    <s v="S6T64404"/>
    <s v="Diebold-Opteva 750 ATM Outdoor"/>
    <s v="1750FGR20634"/>
    <s v="2365"/>
    <s v="Inárcs"/>
    <s v="Bajcsy Zs. 94."/>
    <s v="ok"/>
    <n v="2"/>
    <n v="2"/>
    <x v="15"/>
    <e v="#N/A"/>
    <n v="0"/>
    <n v="2"/>
  </r>
  <r>
    <x v="6"/>
    <s v="S6T64405"/>
    <s v="Diebold-Opteva 760 ATM Outdoor"/>
    <s v="1760RH128978"/>
    <s v="2360"/>
    <s v="Gyál"/>
    <s v="Déryné u. 1-3."/>
    <s v="ok"/>
    <n v="2"/>
    <n v="2"/>
    <x v="15"/>
    <n v="1"/>
    <n v="1"/>
    <n v="1"/>
  </r>
  <r>
    <x v="6"/>
    <s v="S6T64406"/>
    <s v="Diebold-Opteva 760 ATM Outdoor"/>
    <s v="1760RH125092"/>
    <s v="2370"/>
    <s v="Dabas"/>
    <s v="Bartók B. út 63."/>
    <s v="ok"/>
    <n v="2"/>
    <n v="2"/>
    <x v="15"/>
    <e v="#N/A"/>
    <n v="0"/>
    <n v="2"/>
  </r>
  <r>
    <x v="6"/>
    <s v="S6T64407"/>
    <s v="Diebold-Opteva 750 ATM Outdoor"/>
    <s v="1750FGR20980"/>
    <s v="2347"/>
    <s v="Bugyi"/>
    <s v="Templom u. 6."/>
    <s v="ok"/>
    <n v="2"/>
    <n v="2"/>
    <x v="15"/>
    <n v="1"/>
    <n v="1"/>
    <n v="1"/>
  </r>
  <r>
    <x v="6"/>
    <s v="S6T64408"/>
    <s v="Diebold-Opteva 750 ATM Outdoor"/>
    <s v="1750F3320018"/>
    <s v="2351"/>
    <s v="Alsónémedi"/>
    <s v="Fő út 66/A."/>
    <s v="ok"/>
    <n v="2"/>
    <n v="2"/>
    <x v="15"/>
    <n v="2"/>
    <n v="2"/>
    <n v="0"/>
  </r>
  <r>
    <x v="6"/>
    <s v="S6T64410"/>
    <s v="Diebold-Opteva 560 ATM Outdoor"/>
    <s v="1560R3301575"/>
    <s v="2373"/>
    <s v="Gyón"/>
    <s v="Vasút út 2."/>
    <s v="ok"/>
    <n v="2"/>
    <n v="2"/>
    <x v="15"/>
    <e v="#N/A"/>
    <n v="0"/>
    <n v="2"/>
  </r>
  <r>
    <x v="6"/>
    <s v="S6T64413"/>
    <s v="Diebold-Opteva 560 ATM Outdoor"/>
    <s v="1560R3301867"/>
    <s v="2330"/>
    <s v="Dunaharaszti"/>
    <s v="Baktai tér 1."/>
    <s v="ok"/>
    <n v="2"/>
    <n v="2"/>
    <x v="15"/>
    <n v="1"/>
    <n v="1"/>
    <n v="1"/>
  </r>
  <r>
    <x v="6"/>
    <s v="S6T64414"/>
    <s v="OPT562 1GIG-DVD-UPS-LAN-A6-CEN3(4HIGH)"/>
    <s v="1562RCF00956"/>
    <s v="2370"/>
    <s v="Dabas"/>
    <s v="Szent István tér 2/d"/>
    <s v="ok"/>
    <n v="2"/>
    <n v="2"/>
    <x v="15"/>
    <n v="1"/>
    <n v="1"/>
    <n v="1"/>
  </r>
  <r>
    <x v="6"/>
    <s v="S6T64700"/>
    <s v="ProCash 2150xe"/>
    <s v="5300131399"/>
    <s v="2000"/>
    <s v="Szentendre"/>
    <s v="Kossuth u 22"/>
    <s v="ok"/>
    <n v="2"/>
    <n v="2"/>
    <x v="5"/>
    <n v="1"/>
    <n v="1"/>
    <n v="1"/>
  </r>
  <r>
    <x v="6"/>
    <s v="S6T64703"/>
    <s v="OPT562 1GIG-DVD-UPS-LAN-A6-CEN3(4HIGH)"/>
    <s v="1562RH120084"/>
    <s v="2131"/>
    <s v="Göd"/>
    <s v="Ady E. u. 8."/>
    <s v="ok"/>
    <n v="2"/>
    <n v="2"/>
    <x v="6"/>
    <e v="#N/A"/>
    <n v="0"/>
    <n v="2"/>
  </r>
  <r>
    <x v="6"/>
    <s v="S6T64704"/>
    <s v="ProCash 2150xe"/>
    <s v="5300065267"/>
    <s v="2025"/>
    <s v="Visegrád"/>
    <s v="Rév u.9."/>
    <s v="ok"/>
    <n v="2"/>
    <n v="2"/>
    <x v="5"/>
    <n v="1"/>
    <n v="1"/>
    <n v="1"/>
  </r>
  <r>
    <x v="6"/>
    <s v="S6T64706"/>
    <s v="ProCash 2150xe"/>
    <s v="5300130781"/>
    <s v="2021"/>
    <s v="Tahitótfalu"/>
    <s v="Petőfi u. 27"/>
    <s v="ok"/>
    <n v="2"/>
    <n v="2"/>
    <x v="5"/>
    <n v="1"/>
    <n v="1"/>
    <n v="1"/>
  </r>
  <r>
    <x v="6"/>
    <s v="S6T64707"/>
    <s v="ProCash 2050xe"/>
    <s v="5300221495"/>
    <s v="2028"/>
    <s v="Pilismarót"/>
    <s v="Köztársaság tér 4."/>
    <s v="ok"/>
    <n v="2"/>
    <n v="2"/>
    <x v="5"/>
    <n v="1"/>
    <n v="1"/>
    <n v="1"/>
  </r>
  <r>
    <x v="6"/>
    <s v="S6T64708"/>
    <s v="ProCash 2050xe"/>
    <s v="5300221432"/>
    <s v="2133"/>
    <s v="Sződliget"/>
    <s v="Dr. Kemény J. út 30."/>
    <s v="ok"/>
    <n v="2"/>
    <n v="2"/>
    <x v="6"/>
    <n v="1"/>
    <n v="1"/>
    <n v="1"/>
  </r>
  <r>
    <x v="6"/>
    <s v="S6T64709"/>
    <s v="ProCash 2050xe USB"/>
    <s v="5300354899"/>
    <s v="2134"/>
    <s v="Sződ"/>
    <s v="Dózsa György út 102"/>
    <s v="ok"/>
    <n v="2"/>
    <n v="2"/>
    <x v="6"/>
    <n v="1"/>
    <n v="1"/>
    <n v="1"/>
  </r>
  <r>
    <x v="6"/>
    <s v="S6T64710"/>
    <s v="ProCash 2050xe USB"/>
    <s v="5300709365"/>
    <s v="2015"/>
    <s v="Szigetmonostor"/>
    <s v="Ady Endre u.4/a"/>
    <s v="ok"/>
    <n v="2"/>
    <n v="2"/>
    <x v="5"/>
    <n v="1"/>
    <n v="1"/>
    <n v="1"/>
  </r>
  <r>
    <x v="6"/>
    <s v="S6T64801"/>
    <s v="ProCash 2050"/>
    <s v="XXS6T64801"/>
    <s v="2030"/>
    <s v="Érd"/>
    <s v="Budai út 20."/>
    <s v="ok"/>
    <n v="2"/>
    <n v="2"/>
    <x v="5"/>
    <n v="1"/>
    <n v="1"/>
    <n v="1"/>
  </r>
  <r>
    <x v="6"/>
    <s v="S6T64803"/>
    <s v="OPT562 1GIG-DVD-UPS-LAN-A6-CEN3(4HIGH)"/>
    <s v="1562RH144184"/>
    <s v="2045"/>
    <s v="Törökbálint"/>
    <s v="Munkácsy M. u. 11."/>
    <s v="ok"/>
    <n v="2"/>
    <n v="2"/>
    <x v="17"/>
    <e v="#N/A"/>
    <n v="0"/>
    <n v="2"/>
  </r>
  <r>
    <x v="6"/>
    <s v="S6T64804"/>
    <s v="ProCash 2150"/>
    <s v="XXS6T64804"/>
    <s v="2461"/>
    <s v="Tárnok"/>
    <s v="Rákóczi út 91."/>
    <s v="ok"/>
    <n v="2"/>
    <n v="2"/>
    <x v="5"/>
    <n v="1"/>
    <n v="1"/>
    <n v="1"/>
  </r>
  <r>
    <x v="6"/>
    <s v="S6T64805"/>
    <s v="ProCash 2050"/>
    <s v="XXS6T64805"/>
    <s v="2049"/>
    <s v="Diósd"/>
    <s v="Szent István tér 12."/>
    <s v="ok"/>
    <n v="2"/>
    <n v="2"/>
    <x v="5"/>
    <n v="1"/>
    <n v="1"/>
    <n v="1"/>
  </r>
  <r>
    <x v="6"/>
    <s v="S6T64806"/>
    <s v="ProCash 2150"/>
    <s v="XXS6T64806"/>
    <s v="2038"/>
    <s v="Sóskút"/>
    <s v="Mártírok utca 5."/>
    <s v="ok"/>
    <n v="2"/>
    <n v="2"/>
    <x v="5"/>
    <e v="#N/A"/>
    <n v="0"/>
    <n v="2"/>
  </r>
  <r>
    <x v="6"/>
    <s v="S6T64807"/>
    <s v="ProCash 2050"/>
    <s v="XXS6T64807"/>
    <s v="2030"/>
    <s v="Érd"/>
    <s v="Hegesztő u. 10."/>
    <s v="ok"/>
    <n v="2"/>
    <n v="2"/>
    <x v="5"/>
    <n v="1"/>
    <n v="1"/>
    <n v="1"/>
  </r>
  <r>
    <x v="6"/>
    <s v="S6T64808"/>
    <s v="OPT562 1GIG-DVD-UPS-LAN-A6-CEN3(4HIGH)"/>
    <s v="1562RH145968"/>
    <s v="2030"/>
    <s v="Érd"/>
    <s v="Fürdő u. 1."/>
    <s v="ok"/>
    <n v="2"/>
    <n v="2"/>
    <x v="15"/>
    <e v="#N/A"/>
    <n v="0"/>
    <n v="2"/>
  </r>
  <r>
    <x v="6"/>
    <s v="S6T64809"/>
    <s v="ProCash 2050"/>
    <s v="XXS6T64809"/>
    <s v="2091"/>
    <s v="Etyek"/>
    <s v="Óvoda u. 2."/>
    <s v="ok"/>
    <n v="2"/>
    <n v="2"/>
    <x v="5"/>
    <n v="1"/>
    <n v="1"/>
    <n v="1"/>
  </r>
  <r>
    <x v="6"/>
    <s v="S6T64810"/>
    <s v="Diebold-Opteva 760 ATM Outdoor"/>
    <s v="1760RH126603"/>
    <s v="2092"/>
    <s v="Budakeszi"/>
    <s v="Fő u.126."/>
    <s v="ok"/>
    <n v="2"/>
    <n v="2"/>
    <x v="0"/>
    <e v="#N/A"/>
    <n v="0"/>
    <n v="2"/>
  </r>
  <r>
    <x v="6"/>
    <s v="S6T64811"/>
    <s v="Diebold-Opteva 560 ATM Outdoor"/>
    <s v="1560R3300847"/>
    <s v="2060"/>
    <s v="Bicske"/>
    <s v="Csabdi út 4."/>
    <s v="ok"/>
    <n v="2"/>
    <n v="2"/>
    <x v="19"/>
    <n v="1"/>
    <n v="1"/>
    <n v="1"/>
  </r>
  <r>
    <x v="6"/>
    <s v="S6T64812"/>
    <s v="ProCash 1500"/>
    <s v="XXS6T64812"/>
    <s v="2051"/>
    <s v="Biatorbágy"/>
    <s v="Szabadság út 11."/>
    <s v="ok"/>
    <n v="2"/>
    <n v="2"/>
    <x v="5"/>
    <n v="1"/>
    <n v="1"/>
    <n v="1"/>
  </r>
  <r>
    <x v="6"/>
    <s v="S6T64813"/>
    <s v="Diebold-Opteva 522 Lobby Cash Dispenser"/>
    <s v="1522FH102740"/>
    <s v="2053"/>
    <s v="Herceghalom"/>
    <s v="Zsámbéki út 16."/>
    <s v="ok"/>
    <n v="2"/>
    <n v="2"/>
    <x v="19"/>
    <n v="1"/>
    <n v="1"/>
    <n v="1"/>
  </r>
  <r>
    <x v="6"/>
    <s v="S6T65101"/>
    <s v="Diebold-Opteva 520 ATM Indoor"/>
    <s v="1520FH121289"/>
    <s v="1189"/>
    <s v="Budapest"/>
    <s v="Üllői út 399."/>
    <s v="ok"/>
    <n v="2"/>
    <n v="2"/>
    <x v="15"/>
    <n v="1"/>
    <n v="1"/>
    <n v="1"/>
  </r>
  <r>
    <x v="6"/>
    <s v="S6T65102"/>
    <s v="Diebold-Opteva 560 ATM Outdoor"/>
    <s v="1560R3304426"/>
    <s v="2220"/>
    <s v="Vecsés"/>
    <s v="Telepi út 50/a"/>
    <s v="ok"/>
    <n v="2"/>
    <n v="2"/>
    <x v="15"/>
    <n v="1"/>
    <n v="1"/>
    <n v="1"/>
  </r>
  <r>
    <x v="6"/>
    <s v="S6T65103"/>
    <s v="Diebold-Opteva 760 ATM Outdoor"/>
    <s v="1760RCF00107"/>
    <s v="2241"/>
    <s v="Sülysáp"/>
    <s v="Malom u. 1/a"/>
    <s v="ok"/>
    <n v="2"/>
    <n v="2"/>
    <x v="10"/>
    <n v="1"/>
    <n v="1"/>
    <n v="1"/>
  </r>
  <r>
    <x v="6"/>
    <s v="S6T65104"/>
    <s v="Diebold-Opteva 560 ATM Outdoor"/>
    <s v="1560RCF00824"/>
    <s v="2225"/>
    <s v="Üllő"/>
    <s v="Pesti út 71."/>
    <s v="ok"/>
    <n v="2"/>
    <n v="2"/>
    <x v="15"/>
    <n v="1"/>
    <n v="1"/>
    <n v="1"/>
  </r>
  <r>
    <x v="6"/>
    <s v="S6T65105"/>
    <s v="Diebold-Opteva 522 Lobby Cash Dispenser"/>
    <s v="1522FH100497"/>
    <s v="2234"/>
    <s v="Maglód"/>
    <s v="Fő u. 13."/>
    <s v="ok"/>
    <n v="2"/>
    <n v="2"/>
    <x v="10"/>
    <e v="#N/A"/>
    <n v="0"/>
    <n v="2"/>
  </r>
  <r>
    <x v="6"/>
    <s v="S6T65106"/>
    <s v="OPT562 1GIG-DVD-UPS-LAN-A6-CEN3(4HIGH)"/>
    <s v="1562RH150123"/>
    <s v="1054"/>
    <s v="Budapest"/>
    <s v="Báthory u. 1."/>
    <s v="ok"/>
    <n v="2"/>
    <n v="2"/>
    <x v="13"/>
    <n v="1"/>
    <n v="1"/>
    <n v="1"/>
  </r>
  <r>
    <x v="6"/>
    <s v="S6T65107"/>
    <s v="Diebold-Opteva 760 ATM Outdoor"/>
    <s v="1760RH127659"/>
    <s v="2230"/>
    <s v="Gyömrő"/>
    <s v="Táncsics M. út 82."/>
    <s v="ok"/>
    <n v="2"/>
    <n v="2"/>
    <x v="10"/>
    <n v="1"/>
    <n v="1"/>
    <n v="1"/>
  </r>
  <r>
    <x v="6"/>
    <s v="S6T65108"/>
    <s v="Diebold-Opteva 560 ATM Outdoor"/>
    <s v="1560R3300546"/>
    <s v="2244"/>
    <s v="Úri"/>
    <s v="Rákóczi út 31."/>
    <s v="ok"/>
    <n v="2"/>
    <n v="2"/>
    <x v="10"/>
    <e v="#N/A"/>
    <n v="0"/>
    <n v="2"/>
  </r>
  <r>
    <x v="6"/>
    <s v="S6T65109"/>
    <s v="OPT562 1GIG-DVD-UPS-LAN-A6-CEN3(4HIGH)"/>
    <s v="1562R3320354"/>
    <s v="2235"/>
    <s v="Mende"/>
    <s v="Fő u. 3."/>
    <s v="ok"/>
    <n v="2"/>
    <n v="2"/>
    <x v="10"/>
    <e v="#N/A"/>
    <n v="0"/>
    <n v="2"/>
  </r>
  <r>
    <x v="6"/>
    <s v="S6T65110"/>
    <s v="Diebold-Opteva 560 ATM Outdoor"/>
    <s v="1560R3302909"/>
    <s v="2233"/>
    <s v="Ecser"/>
    <s v="Széchenyi út 29."/>
    <s v="ok"/>
    <n v="2"/>
    <n v="2"/>
    <x v="10"/>
    <n v="1"/>
    <n v="1"/>
    <n v="1"/>
  </r>
  <r>
    <x v="6"/>
    <s v="S6T65111"/>
    <s v="Diebold-Opteva 520 ATM Indoor"/>
    <s v="1520V3300495"/>
    <s v="2723"/>
    <s v="Nyáregyháza"/>
    <s v="Nyáry Pál u. 19."/>
    <s v="ok"/>
    <n v="2"/>
    <n v="2"/>
    <x v="15"/>
    <n v="1"/>
    <n v="1"/>
    <n v="1"/>
  </r>
  <r>
    <x v="6"/>
    <s v="S6T65112"/>
    <s v="Diebold-Opteva 560 ATM Outdoor"/>
    <s v="1560R3301817"/>
    <s v="2211"/>
    <s v="Vasad"/>
    <s v="Monori út 4."/>
    <s v="ok"/>
    <n v="2"/>
    <n v="2"/>
    <x v="15"/>
    <e v="#N/A"/>
    <n v="0"/>
    <n v="2"/>
  </r>
  <r>
    <x v="6"/>
    <s v="S6T65113"/>
    <s v="Diebold-Opteva 520 ATM Indoor"/>
    <s v="1520V3300628"/>
    <s v="1165"/>
    <s v="Budapest"/>
    <s v="Centenáriumi sétány 16."/>
    <s v="ok"/>
    <n v="2"/>
    <n v="2"/>
    <x v="6"/>
    <n v="1"/>
    <n v="1"/>
    <n v="1"/>
  </r>
  <r>
    <x v="6"/>
    <s v="S6T65114"/>
    <s v="Diebold-Opteva 520 ATM Indoor"/>
    <s v="1520VH120043"/>
    <s v="2200"/>
    <s v="Monor"/>
    <s v="Kossuth u. 77."/>
    <s v="ok"/>
    <n v="2"/>
    <n v="2"/>
    <x v="15"/>
    <n v="1"/>
    <n v="1"/>
    <n v="1"/>
  </r>
  <r>
    <x v="6"/>
    <s v="S6T65115"/>
    <s v="OPT562 1GIG-DVD-UPS-LAN-A6-CEN3(4HIGH)"/>
    <s v="1562RH139370"/>
    <s v="2209"/>
    <s v="Péteri"/>
    <s v="Petőfi Sándor u. 80."/>
    <s v="ok"/>
    <n v="2"/>
    <n v="2"/>
    <x v="15"/>
    <e v="#N/A"/>
    <n v="0"/>
    <n v="2"/>
  </r>
  <r>
    <x v="6"/>
    <s v="S6T65117"/>
    <s v="OPT562 1GIG-DVD-UPS-LAN-A6-CEN3(4HIGH)"/>
    <s v="1562R3320389"/>
    <s v="2730"/>
    <s v="Albertirsa"/>
    <s v="Pesti út 28."/>
    <s v="ok"/>
    <n v="2"/>
    <n v="2"/>
    <x v="15"/>
    <n v="1"/>
    <n v="1"/>
    <n v="1"/>
  </r>
  <r>
    <x v="6"/>
    <s v="S6T65118"/>
    <s v="Diebold-Opteva 560 ATM Outdoor"/>
    <s v="1560R3300336"/>
    <s v="2119"/>
    <s v="Pécel"/>
    <s v="Ráday Gedeon tér 10."/>
    <s v="ok"/>
    <n v="2"/>
    <n v="2"/>
    <x v="10"/>
    <n v="1"/>
    <n v="1"/>
    <n v="1"/>
  </r>
  <r>
    <x v="6"/>
    <s v="S6T65119"/>
    <s v="Diebold-Opteva 560 ATM Outdoor"/>
    <s v="1560RCF00567"/>
    <s v="2117"/>
    <s v="Isaszeg"/>
    <s v="Kossuth u. 15/a"/>
    <s v="ok"/>
    <n v="2"/>
    <n v="2"/>
    <x v="10"/>
    <n v="1"/>
    <n v="1"/>
    <n v="1"/>
  </r>
  <r>
    <x v="6"/>
    <s v="S6T65120"/>
    <s v="Diebold-Opteva 560 ATM Outdoor"/>
    <s v="1560R3300547"/>
    <s v="2143"/>
    <s v="Kistarcsa"/>
    <s v="Széchenyi út 65."/>
    <s v="ok"/>
    <n v="2"/>
    <n v="2"/>
    <x v="10"/>
    <n v="1"/>
    <n v="1"/>
    <n v="1"/>
  </r>
  <r>
    <x v="6"/>
    <s v="S6T65121"/>
    <s v="Diebold-Opteva 760 ATM Outdoor"/>
    <s v="1760RH128044"/>
    <s v="2141"/>
    <s v="Csömör"/>
    <s v="Szabadság út 16."/>
    <s v="ok"/>
    <n v="2"/>
    <n v="2"/>
    <x v="10"/>
    <n v="1"/>
    <n v="1"/>
    <n v="1"/>
  </r>
  <r>
    <x v="6"/>
    <s v="S6T65122"/>
    <s v="Diebold-Opteva 560 ATM Outdoor"/>
    <s v="XXS6T65122"/>
    <s v="2142"/>
    <s v="Nagytarcsa"/>
    <s v="Tompa M. u. 19."/>
    <s v="ok"/>
    <n v="2"/>
    <n v="2"/>
    <x v="10"/>
    <e v="#N/A"/>
    <n v="0"/>
    <n v="2"/>
  </r>
  <r>
    <x v="6"/>
    <s v="S6T65123"/>
    <s v="ProCash 2150xe"/>
    <s v="XXS6T65123"/>
    <s v="2100"/>
    <s v="Gödöllő"/>
    <s v="Petőfi Sándor tér 8."/>
    <s v="ok"/>
    <n v="2"/>
    <n v="2"/>
    <x v="6"/>
    <n v="1"/>
    <n v="1"/>
    <n v="1"/>
  </r>
  <r>
    <x v="6"/>
    <s v="S6T65124"/>
    <s v="ProCash 2050"/>
    <s v="XXS6T65124"/>
    <s v="2711"/>
    <s v="Tápiószentmárton"/>
    <s v="Kossuth L. u. 17/a"/>
    <s v="ok"/>
    <n v="2"/>
    <n v="2"/>
    <x v="5"/>
    <n v="1"/>
    <n v="1"/>
    <n v="1"/>
  </r>
  <r>
    <x v="6"/>
    <s v="S6T65125"/>
    <s v="ProCash 2050"/>
    <s v="XXS6T65125"/>
    <s v="2764"/>
    <s v="Tápióbicske"/>
    <s v="Rákóczi u. 64"/>
    <s v="ok"/>
    <n v="2"/>
    <n v="2"/>
    <x v="5"/>
    <n v="1"/>
    <n v="1"/>
    <n v="1"/>
  </r>
  <r>
    <x v="6"/>
    <s v="S6T65128"/>
    <s v="ProCash 2050"/>
    <s v="XXS6T65128"/>
    <s v="2721"/>
    <s v="Pilis"/>
    <s v="Rákóczi u. 34."/>
    <s v="ok"/>
    <n v="2"/>
    <n v="2"/>
    <x v="5"/>
    <n v="1"/>
    <n v="1"/>
    <n v="1"/>
  </r>
  <r>
    <x v="6"/>
    <s v="S6T65130"/>
    <s v="ProCash 2050"/>
    <s v="XXS6T65130"/>
    <s v="2700"/>
    <s v="Cegléd"/>
    <s v="Eötvös tér 6."/>
    <s v="ok"/>
    <n v="2"/>
    <n v="2"/>
    <x v="6"/>
    <n v="1"/>
    <n v="1"/>
    <n v="1"/>
  </r>
  <r>
    <x v="6"/>
    <s v="S6T65131"/>
    <s v="ProCash 2050"/>
    <s v="XXS6T65131"/>
    <s v="2740"/>
    <s v="Abony"/>
    <s v="Kossuth tér 3-4."/>
    <s v="ok"/>
    <n v="2"/>
    <n v="2"/>
    <x v="5"/>
    <n v="1"/>
    <n v="1"/>
    <n v="1"/>
  </r>
  <r>
    <x v="6"/>
    <s v="S6T65132"/>
    <s v="ProCash 2050"/>
    <s v="XXS6T65132"/>
    <s v="2747"/>
    <s v="Törtel"/>
    <s v="Dózsa Gy. u. 8."/>
    <s v="ok"/>
    <n v="2"/>
    <n v="2"/>
    <x v="5"/>
    <n v="1"/>
    <n v="1"/>
    <n v="1"/>
  </r>
  <r>
    <x v="6"/>
    <s v="S6T65133"/>
    <s v="ProCash 2050"/>
    <s v="XXS6T65133"/>
    <s v="2746"/>
    <s v="Jászkarajenő"/>
    <s v="Fő utca 89."/>
    <s v="ok"/>
    <n v="2"/>
    <n v="2"/>
    <x v="5"/>
    <n v="1"/>
    <n v="1"/>
    <n v="1"/>
  </r>
  <r>
    <x v="6"/>
    <s v="S6T65136"/>
    <s v="Diebold-Opteva 520 ATM Indoor"/>
    <s v="1520FH122585"/>
    <s v="2750"/>
    <s v="Nagykőrös"/>
    <s v="Rákóczi utca 1."/>
    <s v="ok"/>
    <n v="2"/>
    <n v="2"/>
    <x v="11"/>
    <e v="#N/A"/>
    <n v="0"/>
    <n v="2"/>
  </r>
  <r>
    <x v="6"/>
    <s v="S6T65200"/>
    <s v="Diebold-Opteva 760 ATM Outdoor"/>
    <s v="1760RH122174"/>
    <s v="1173"/>
    <s v="Budapest"/>
    <s v="Pesti út 41/d"/>
    <s v="ok"/>
    <n v="2"/>
    <n v="2"/>
    <x v="10"/>
    <e v="#N/A"/>
    <n v="0"/>
    <n v="2"/>
  </r>
  <r>
    <x v="6"/>
    <s v="S6T65201"/>
    <s v="Diebold-Opteva 760 ATM Outdoor"/>
    <s v="1760RH120977"/>
    <s v="2760"/>
    <s v="Nagykáta"/>
    <s v="Dózsa Gy. út 10."/>
    <s v="ok"/>
    <n v="2"/>
    <n v="2"/>
    <x v="10"/>
    <e v="#N/A"/>
    <n v="0"/>
    <n v="2"/>
  </r>
  <r>
    <x v="6"/>
    <s v="S6T65202"/>
    <s v="Diebold-Opteva 760 ATM Outdoor"/>
    <s v="1760RCF00045"/>
    <s v="2254"/>
    <s v="Szentmártonkáta"/>
    <s v="Rákóczi út 52/c"/>
    <s v="ok"/>
    <n v="2"/>
    <n v="2"/>
    <x v="10"/>
    <n v="1"/>
    <n v="1"/>
    <n v="1"/>
  </r>
  <r>
    <x v="6"/>
    <s v="S6T65203"/>
    <s v="Diebold-Opteva 760 ATM Outdoor"/>
    <s v="1760RH120980"/>
    <s v="2766"/>
    <s v="Tápiószele"/>
    <s v="Rákóczi út 8."/>
    <s v="ok"/>
    <n v="2"/>
    <n v="2"/>
    <x v="10"/>
    <n v="1"/>
    <n v="1"/>
    <n v="1"/>
  </r>
  <r>
    <x v="6"/>
    <s v="S6T65204"/>
    <s v="Diebold-Opteva 760 ATM Outdoor"/>
    <s v="1760RH120979"/>
    <s v="2765"/>
    <s v="Farmos"/>
    <s v="Fő tér 4."/>
    <s v="ok"/>
    <n v="2"/>
    <n v="2"/>
    <x v="10"/>
    <n v="1"/>
    <n v="1"/>
    <n v="1"/>
  </r>
  <r>
    <x v="6"/>
    <s v="S6T65206"/>
    <s v="Diebold-Opteva 760 ATM Outdoor"/>
    <s v="1760RCF00491"/>
    <s v="2243"/>
    <s v="Kóka"/>
    <s v="Dózsa Gy. u. 42/a"/>
    <s v="ok"/>
    <n v="2"/>
    <n v="2"/>
    <x v="10"/>
    <n v="1"/>
    <n v="1"/>
    <n v="1"/>
  </r>
  <r>
    <x v="6"/>
    <s v="S6T65208"/>
    <s v="Diebold-Opteva 760 ATM Outdoor"/>
    <s v="1760RH120558"/>
    <s v="2767"/>
    <s v="Tápiógyörgye"/>
    <s v="Deák F. u. 10."/>
    <s v="ok"/>
    <n v="2"/>
    <n v="2"/>
    <x v="10"/>
    <n v="1"/>
    <n v="1"/>
    <n v="1"/>
  </r>
  <r>
    <x v="6"/>
    <s v="S6T65209"/>
    <s v="Diebold-Opteva 760 ATM Outdoor"/>
    <s v="1760RCF00501"/>
    <s v="2251"/>
    <s v="Tápiószecső"/>
    <s v="Honvéd u. 10."/>
    <s v="ok"/>
    <n v="2"/>
    <n v="2"/>
    <x v="10"/>
    <n v="1"/>
    <n v="1"/>
    <n v="1"/>
  </r>
  <r>
    <x v="6"/>
    <s v="S6T65210"/>
    <s v="Diebold-Opteva 760 ATM Outdoor"/>
    <s v="1760RH121758"/>
    <s v="2769"/>
    <s v="Tápiószőlős"/>
    <s v="Árpád u. 2."/>
    <s v="ok"/>
    <n v="2"/>
    <n v="2"/>
    <x v="10"/>
    <e v="#N/A"/>
    <n v="0"/>
    <n v="2"/>
  </r>
  <r>
    <x v="6"/>
    <s v="S6T65211"/>
    <s v="Diebold-Opteva 760 ATM Outdoor"/>
    <s v="1760RCF00489"/>
    <s v="2252"/>
    <s v="Tóalmás"/>
    <s v="Fő u. 64."/>
    <s v="ok"/>
    <n v="2"/>
    <n v="2"/>
    <x v="10"/>
    <n v="1"/>
    <n v="1"/>
    <n v="1"/>
  </r>
  <r>
    <x v="6"/>
    <s v="S6T65218"/>
    <s v="OPT562 1GIG-DVD-UPS-LAN-A6-CEN3(4HIGH)"/>
    <s v="1562RH130872"/>
    <s v="3013"/>
    <s v="Ecséd"/>
    <s v="Szabadság u. 139."/>
    <s v="ok"/>
    <n v="2"/>
    <n v="2"/>
    <x v="10"/>
    <e v="#N/A"/>
    <n v="0"/>
    <n v="2"/>
  </r>
  <r>
    <x v="6"/>
    <s v="S6T65501"/>
    <s v="Diebold-Opteva 760 ATM Outdoor"/>
    <s v="1760RCF00466"/>
    <s v="2381"/>
    <s v="Táborfalva"/>
    <s v="Kossuth L. u. 24."/>
    <s v="ok"/>
    <n v="2"/>
    <n v="2"/>
    <x v="15"/>
    <e v="#N/A"/>
    <n v="0"/>
    <n v="2"/>
  </r>
  <r>
    <x v="6"/>
    <s v="S6T65503"/>
    <s v="OPT562 1GIG-DVD-UPS-LAN-A6-CEN3(4HIGH)"/>
    <s v="1562RH132608"/>
    <s v="2376"/>
    <s v="Hernád"/>
    <s v="Köztársaság u. 47/b"/>
    <s v="ok"/>
    <n v="2"/>
    <n v="2"/>
    <x v="15"/>
    <n v="1"/>
    <n v="1"/>
    <n v="1"/>
  </r>
  <r>
    <x v="6"/>
    <s v="S6T65504"/>
    <s v="OPT562 1GIG-DVD-UPS-LAN-A6-CEN3(4HIGH)"/>
    <s v="1562RH120079"/>
    <s v="2365"/>
    <s v="Inárcs"/>
    <s v="Széchenyi út 4."/>
    <s v="ok"/>
    <n v="2"/>
    <n v="2"/>
    <x v="15"/>
    <n v="1"/>
    <n v="1"/>
    <n v="1"/>
  </r>
  <r>
    <x v="6"/>
    <s v="S6T65505"/>
    <s v="OPT562 1GIG-DVD-UPS-LAN-A6-CEN3(4HIGH)"/>
    <s v="1562RH134181"/>
    <s v="2364"/>
    <s v="Ócsa"/>
    <s v="Falu Tamás út 65."/>
    <s v="ok"/>
    <n v="2"/>
    <n v="2"/>
    <x v="15"/>
    <n v="1"/>
    <n v="1"/>
    <n v="1"/>
  </r>
  <r>
    <x v="6"/>
    <s v="S6T65506"/>
    <s v="Diebold-Opteva 562r 3 High-Standard ATM"/>
    <s v="562RRH100045"/>
    <s v="2367"/>
    <s v="Újhartyán"/>
    <s v="Újfalu út 4."/>
    <s v="ok"/>
    <n v="2"/>
    <n v="2"/>
    <x v="15"/>
    <n v="1"/>
    <n v="1"/>
    <n v="1"/>
  </r>
  <r>
    <x v="6"/>
    <s v="S6T65507"/>
    <s v="OPT562 1GIG-DVD-UPS-LAN-A6-CEN3(4HIGH)"/>
    <s v="1562RH129292"/>
    <s v="2724"/>
    <s v="Újlengyel"/>
    <s v="Kossuth u. 67."/>
    <s v="ok"/>
    <n v="2"/>
    <n v="2"/>
    <x v="15"/>
    <n v="1"/>
    <n v="1"/>
    <n v="1"/>
  </r>
  <r>
    <x v="6"/>
    <s v="S6T65508"/>
    <s v="OPT562 1GIG-DVD-UPS-LAN-A6-CEN3(4HIGH)"/>
    <s v="1562RH154598"/>
    <s v="2366"/>
    <s v="Kakucs"/>
    <s v="Sas telep 1."/>
    <s v="ok"/>
    <n v="2"/>
    <n v="2"/>
    <x v="15"/>
    <n v="1"/>
    <n v="1"/>
    <n v="1"/>
  </r>
  <r>
    <x v="6"/>
    <s v="S6T65510"/>
    <s v="Diebold-Opteva 562r 3 High-Standard ATM"/>
    <s v="562RRH100046"/>
    <s v="2377"/>
    <s v="Örkény"/>
    <s v="Kossuth u. 34/a"/>
    <s v="ok"/>
    <n v="2"/>
    <n v="2"/>
    <x v="15"/>
    <n v="1"/>
    <n v="1"/>
    <n v="1"/>
  </r>
  <r>
    <x v="6"/>
    <s v="S6T65511"/>
    <s v="Diebold-Opteva 760 ATM Outdoor"/>
    <s v="1760RCF00487"/>
    <s v="2363"/>
    <s v="Felsőpakony"/>
    <s v="Eötvös u. 22."/>
    <s v="ok"/>
    <n v="2"/>
    <n v="2"/>
    <x v="15"/>
    <e v="#N/A"/>
    <n v="0"/>
    <n v="2"/>
  </r>
  <r>
    <x v="6"/>
    <s v="S6T65514"/>
    <s v="Diebold-Opteva 562r 3 High-Standard ATM"/>
    <s v="562RRH100044"/>
    <s v="6050"/>
    <s v="Lajosmizse"/>
    <s v="Szabadság tér 10."/>
    <s v="ok"/>
    <n v="2"/>
    <n v="2"/>
    <x v="15"/>
    <n v="1"/>
    <n v="1"/>
    <n v="1"/>
  </r>
  <r>
    <x v="6"/>
    <s v="S6T65515"/>
    <s v="Diebold-Opteva 562r 3 High-Standard ATM"/>
    <s v="562RRH100043"/>
    <s v="6000"/>
    <s v="Kecskemét"/>
    <s v="Izsáki út 70."/>
    <s v="ok"/>
    <n v="2"/>
    <n v="2"/>
    <x v="11"/>
    <e v="#N/A"/>
    <n v="0"/>
    <n v="2"/>
  </r>
  <r>
    <x v="6"/>
    <s v="S6T65516"/>
    <s v="OPT562 1GIG-DVD-UPS-LAN-A6-CEN3(4HIGH)"/>
    <s v="1562RH141317"/>
    <s v="2316"/>
    <s v="Tököl"/>
    <s v="József Attila u. 24."/>
    <s v="ok"/>
    <n v="2"/>
    <n v="2"/>
    <x v="15"/>
    <n v="1"/>
    <n v="1"/>
    <n v="1"/>
  </r>
  <r>
    <x v="6"/>
    <s v="S6T65701"/>
    <s v="Diebold-Opteva 562r 3 High-Standard ATM"/>
    <s v="562RRH101579"/>
    <s v="2085"/>
    <s v="Pilisvörösvár"/>
    <s v="Fő u. 69."/>
    <s v="ok"/>
    <n v="2"/>
    <n v="2"/>
    <x v="0"/>
    <n v="1"/>
    <n v="1"/>
    <n v="1"/>
  </r>
  <r>
    <x v="6"/>
    <s v="S6T65702"/>
    <s v="Diebold-Opteva 562r 3 High-Standard ATM"/>
    <s v="562RRH101580"/>
    <s v="2081"/>
    <s v="Piliscsaba"/>
    <s v="Bajcsy-Zs. u. 14."/>
    <s v="ok"/>
    <n v="2"/>
    <n v="2"/>
    <x v="0"/>
    <n v="1"/>
    <n v="1"/>
    <n v="1"/>
  </r>
  <r>
    <x v="6"/>
    <s v="S6T65703"/>
    <s v="Diebold-Opteva 562r 3 High-Standard ATM"/>
    <s v="562RRH101582"/>
    <s v="2095"/>
    <s v="Pilisszántó"/>
    <s v="Kossuth L u. 89."/>
    <s v="ok"/>
    <n v="2"/>
    <n v="2"/>
    <x v="0"/>
    <n v="1"/>
    <n v="1"/>
    <n v="1"/>
  </r>
  <r>
    <x v="6"/>
    <s v="S6T65704"/>
    <s v="OPT562 1GIG-DVD-UPS-LAN-A6-CEN3(4HIGH)"/>
    <s v="1562RH125297"/>
    <s v="2084"/>
    <s v="Pilisszentiván"/>
    <s v="Szabadság út 224."/>
    <s v="ok"/>
    <n v="2"/>
    <n v="2"/>
    <x v="0"/>
    <e v="#N/A"/>
    <n v="0"/>
    <n v="2"/>
  </r>
  <r>
    <x v="6"/>
    <s v="S6T65705"/>
    <s v="Diebold-Opteva 562r 3 High-Standard ATM"/>
    <s v="562RRH101172"/>
    <s v="2013"/>
    <s v="Pomáz"/>
    <s v="Kossuth u. 5."/>
    <s v="ok"/>
    <n v="2"/>
    <n v="2"/>
    <x v="14"/>
    <e v="#N/A"/>
    <n v="0"/>
    <n v="2"/>
  </r>
  <r>
    <x v="6"/>
    <s v="S6T65706"/>
    <s v="Diebold-Opteva 562r 3 High-Standard ATM"/>
    <s v="562RRH101581"/>
    <s v="2083"/>
    <s v="Solymár"/>
    <s v="Mátyás király útja 14."/>
    <s v="ok"/>
    <n v="2"/>
    <n v="2"/>
    <x v="0"/>
    <e v="#N/A"/>
    <n v="0"/>
    <n v="2"/>
  </r>
  <r>
    <x v="6"/>
    <s v="S6T65707"/>
    <s v="Diebold-Opteva 560 ATM Outdoor"/>
    <s v="1560R3303608"/>
    <s v="2011"/>
    <s v="Budakalász"/>
    <s v="Petőfi tér 11."/>
    <s v="ok"/>
    <n v="2"/>
    <n v="2"/>
    <x v="14"/>
    <e v="#N/A"/>
    <n v="0"/>
    <n v="2"/>
  </r>
  <r>
    <x v="6"/>
    <s v="S6T65708"/>
    <s v="OPT562 1GIG-DVD-UPS-LAN-A6-CEN3(4HIGH)"/>
    <s v="1562RH127703"/>
    <s v="2094"/>
    <s v="Nagykovácsi"/>
    <s v="Kossuth L u 67."/>
    <s v="ok"/>
    <n v="2"/>
    <n v="2"/>
    <x v="0"/>
    <e v="#N/A"/>
    <n v="0"/>
    <n v="2"/>
  </r>
  <r>
    <x v="6"/>
    <s v="S6T65709"/>
    <s v="Diebold-Opteva 562r 3 High-Standard ATM"/>
    <s v="562RRH101171"/>
    <s v="2096"/>
    <s v="Üröm"/>
    <s v="Fő tér 1."/>
    <s v="ok"/>
    <n v="2"/>
    <n v="2"/>
    <x v="0"/>
    <e v="#N/A"/>
    <n v="0"/>
    <n v="2"/>
  </r>
  <r>
    <x v="6"/>
    <s v="S6T65710"/>
    <s v="OPT562 1GIG-DVD-UPS-LAN-A6-CEN3(4HIGH)"/>
    <s v="1562RH120080"/>
    <s v="2074"/>
    <s v="Perbál"/>
    <s v="Dózsa Gy.út 17."/>
    <s v="ok"/>
    <n v="2"/>
    <n v="2"/>
    <x v="0"/>
    <e v="#N/A"/>
    <n v="0"/>
    <n v="2"/>
  </r>
  <r>
    <x v="6"/>
    <s v="S6T65711"/>
    <s v="Diebold-Opteva 560 ATM Outdoor"/>
    <s v="1560R3302476"/>
    <s v="2098"/>
    <s v="Piliszentkereszt"/>
    <s v="Fő út 29."/>
    <s v="ok"/>
    <n v="2"/>
    <n v="2"/>
    <x v="0"/>
    <n v="1"/>
    <n v="1"/>
    <n v="1"/>
  </r>
  <r>
    <x v="6"/>
    <s v="S6T65712"/>
    <s v="Diebold-Opteva 560 ATM Outdoor"/>
    <s v="1560R3303123"/>
    <s v="1032"/>
    <s v="Budapest"/>
    <s v="Bécsi út 183."/>
    <s v="ok"/>
    <n v="2"/>
    <n v="2"/>
    <x v="0"/>
    <e v="#N/A"/>
    <n v="0"/>
    <n v="2"/>
  </r>
  <r>
    <x v="6"/>
    <s v="S6T65901"/>
    <s v="OPT562 1GIG-DVD-UPS-LAN-A6-CEN3(4HIGH)"/>
    <s v="1562RH127704"/>
    <s v="2118"/>
    <s v="Dány"/>
    <s v="Pesti u. 47."/>
    <s v="ok"/>
    <n v="2"/>
    <n v="2"/>
    <x v="10"/>
    <e v="#N/A"/>
    <n v="0"/>
    <n v="2"/>
  </r>
  <r>
    <x v="6"/>
    <s v="S6T65905"/>
    <s v="OPT562 1GIG-DVD-UPS-LAN-A6-CEN3(4HIGH)"/>
    <s v="1562RCF01176"/>
    <s v="2116"/>
    <s v="Zsámbok"/>
    <s v="Turai út 1."/>
    <s v="ok"/>
    <n v="2"/>
    <n v="2"/>
    <x v="10"/>
    <e v="#N/A"/>
    <n v="0"/>
    <n v="2"/>
  </r>
  <r>
    <x v="6"/>
    <s v="S6T65906"/>
    <s v="OPT562 1GIG-DVD-UPS-LAN-A6-CEN3(4HIGH)"/>
    <s v="1562R3320355"/>
    <s v="1145"/>
    <s v="Budapest"/>
    <s v="Zalán u 23."/>
    <s v="ok"/>
    <n v="2"/>
    <n v="2"/>
    <x v="14"/>
    <e v="#N/A"/>
    <n v="0"/>
    <n v="2"/>
  </r>
  <r>
    <x v="6"/>
    <s v="S6T65909"/>
    <s v="OPT562 1GIG-DVD-UPS-LAN-A6-CEN3(4HIGH)"/>
    <s v="1562R3320359"/>
    <s v="2170"/>
    <s v="Aszód"/>
    <s v="Kossuth u. 1."/>
    <s v="ok"/>
    <n v="2"/>
    <n v="2"/>
    <x v="10"/>
    <n v="1"/>
    <n v="1"/>
    <n v="1"/>
  </r>
  <r>
    <x v="6"/>
    <s v="S6T65910"/>
    <s v="OPT562 1GIG-DVD-UPS-LAN-A6-CEN3(4HIGH)"/>
    <s v="1562RH129336"/>
    <s v="2173"/>
    <s v="Kartal"/>
    <s v="Petőfi út 4."/>
    <s v="ok"/>
    <n v="2"/>
    <n v="2"/>
    <x v="10"/>
    <n v="1"/>
    <n v="1"/>
    <n v="1"/>
  </r>
  <r>
    <x v="6"/>
    <s v="S6T66002"/>
    <s v="ProCash 2050xe"/>
    <s v="33271062"/>
    <s v="2120"/>
    <s v="Dunakeszi"/>
    <s v="Fő u. 66-68."/>
    <s v="ok"/>
    <n v="2"/>
    <n v="2"/>
    <x v="6"/>
    <n v="1"/>
    <n v="1"/>
    <n v="1"/>
  </r>
  <r>
    <x v="6"/>
    <s v="S6T66004"/>
    <s v="ProCash 2050"/>
    <s v="6101299708"/>
    <s v="2146"/>
    <s v="Mogyoród"/>
    <s v="Gödöllői u. 18/2"/>
    <s v="ok"/>
    <n v="2"/>
    <n v="2"/>
    <x v="6"/>
    <n v="1"/>
    <n v="1"/>
    <n v="1"/>
  </r>
  <r>
    <x v="6"/>
    <s v="S6T66005"/>
    <s v="ProCash 2050"/>
    <s v="5300027191"/>
    <s v="2113"/>
    <s v="Erdőkertes"/>
    <s v="Nemes u. 2."/>
    <s v="ok"/>
    <n v="2"/>
    <n v="2"/>
    <x v="6"/>
    <n v="1"/>
    <n v="1"/>
    <n v="1"/>
  </r>
  <r>
    <x v="6"/>
    <s v="S6T66006"/>
    <s v="ProCash 2050"/>
    <s v="5300095395"/>
    <s v="2162"/>
    <s v="Őrbottyán"/>
    <s v="Rákóczi u. 115."/>
    <s v="ok"/>
    <n v="2"/>
    <n v="2"/>
    <x v="6"/>
    <n v="1"/>
    <n v="1"/>
    <n v="1"/>
  </r>
  <r>
    <x v="6"/>
    <s v="S6T66007"/>
    <s v="ProCash 2050xe"/>
    <s v="5300136432"/>
    <s v="2626"/>
    <s v="Nagymaros"/>
    <s v="Király u. 1/a"/>
    <s v="ok"/>
    <n v="2"/>
    <n v="2"/>
    <x v="5"/>
    <n v="1"/>
    <n v="1"/>
    <n v="1"/>
  </r>
  <r>
    <x v="6"/>
    <s v="S6T66008"/>
    <s v="ProCash 2050xe USB"/>
    <s v="5300527187"/>
    <s v="2632"/>
    <s v="Letkés"/>
    <s v="Dózsa út 16."/>
    <s v="ok"/>
    <n v="2"/>
    <n v="2"/>
    <x v="5"/>
    <e v="#N/A"/>
    <n v="0"/>
    <n v="2"/>
  </r>
  <r>
    <x v="6"/>
    <s v="S6T66010"/>
    <s v="OPT562 1GIG-DVD-UPS-LAN-A6-CEN3(4HIGH)"/>
    <s v="1562RH159081"/>
    <s v="2151"/>
    <s v="Fót"/>
    <s v="Dózsa u. 54."/>
    <s v="ok"/>
    <n v="2"/>
    <n v="2"/>
    <x v="6"/>
    <e v="#N/A"/>
    <n v="0"/>
    <n v="2"/>
  </r>
  <r>
    <x v="6"/>
    <s v="S6T66011"/>
    <s v="OPT562 1GIG-DVD-UPS-LAN-A6-CEN3(4HIGH)"/>
    <s v="1562RH145753"/>
    <s v="3372"/>
    <s v="Kömlő"/>
    <s v="Fő út 8/b"/>
    <s v="ok"/>
    <n v="2"/>
    <n v="2"/>
    <x v="6"/>
    <e v="#N/A"/>
    <n v="0"/>
    <n v="2"/>
  </r>
  <r>
    <x v="6"/>
    <s v="S6T66903"/>
    <s v="Diebold-Opteva 760 ATM Outdoor"/>
    <s v="1760RH123651"/>
    <s v="8648"/>
    <s v="Balatonmáriafürdő"/>
    <s v="Ady E. u. 8."/>
    <s v="ok"/>
    <n v="2"/>
    <n v="2"/>
    <x v="9"/>
    <n v="1"/>
    <n v="1"/>
    <n v="1"/>
  </r>
  <r>
    <x v="6"/>
    <s v="S6T66904"/>
    <s v="Diebold-Opteva 760 ATM Outdoor"/>
    <s v="1760RH122172"/>
    <s v="8713"/>
    <s v="Kéthely"/>
    <s v="Arany J. u. 2."/>
    <s v="ok"/>
    <n v="2"/>
    <n v="2"/>
    <x v="9"/>
    <n v="1"/>
    <n v="1"/>
    <n v="1"/>
  </r>
  <r>
    <x v="6"/>
    <s v="S6T66908"/>
    <s v="OPT562 1GIG-DVD-UPS-LAN-A6-CEN3(4HIGH)"/>
    <s v="XXS6T66908"/>
    <s v="8360"/>
    <s v="Keszthely"/>
    <s v="Georgikon u. 9."/>
    <s v="ok"/>
    <n v="2"/>
    <n v="2"/>
    <x v="9"/>
    <e v="#N/A"/>
    <n v="0"/>
    <n v="2"/>
  </r>
  <r>
    <x v="6"/>
    <s v="S6T66909"/>
    <s v="Diebold-Opteva 760 ATM Outdoor"/>
    <s v="1760FCF00042"/>
    <s v="8710"/>
    <s v="Balatonszentgyörgy"/>
    <s v="Berzsenyi u. 68."/>
    <s v="ok"/>
    <n v="2"/>
    <n v="2"/>
    <x v="9"/>
    <n v="1"/>
    <n v="1"/>
    <n v="1"/>
  </r>
  <r>
    <x v="6"/>
    <s v="S6T67002"/>
    <s v="Diebold-Opteva 760 ATM Outdoor"/>
    <s v="XXS6T67002"/>
    <s v="7400"/>
    <s v="Kaposvár"/>
    <s v="Teleki u. 22."/>
    <s v="ok"/>
    <n v="2"/>
    <n v="2"/>
    <x v="12"/>
    <e v="#N/A"/>
    <n v="0"/>
    <n v="2"/>
  </r>
  <r>
    <x v="6"/>
    <s v="S6T67003"/>
    <s v="ProCash 2050"/>
    <s v="XXS6T67003"/>
    <s v="8719"/>
    <s v="Böhönye"/>
    <s v="Kossuth Lajos u. 2."/>
    <s v="ok"/>
    <n v="2"/>
    <n v="2"/>
    <x v="9"/>
    <n v="1"/>
    <n v="1"/>
    <n v="1"/>
  </r>
  <r>
    <x v="6"/>
    <s v="S6T67004"/>
    <s v="ProCash 2050"/>
    <s v="XXS6T67004"/>
    <s v="8716"/>
    <s v="Mesztegnyő"/>
    <s v="Vörösmarty u. 8."/>
    <s v="ok"/>
    <n v="2"/>
    <n v="2"/>
    <x v="9"/>
    <n v="1"/>
    <n v="1"/>
    <n v="1"/>
  </r>
  <r>
    <x v="6"/>
    <s v="S6T67005"/>
    <s v="OPT562 1GIG-DVD-UPS-LAN-A6-CEN3(4HIGH)"/>
    <s v="1562RH132931"/>
    <s v="7562"/>
    <s v="Segesd"/>
    <s v="Kossuth Lajos u. 56."/>
    <s v="ok"/>
    <n v="2"/>
    <n v="2"/>
    <x v="9"/>
    <n v="1"/>
    <n v="1"/>
    <n v="1"/>
  </r>
  <r>
    <x v="6"/>
    <s v="S6T67007"/>
    <s v="ProCash 2050"/>
    <s v="XXS6T67007"/>
    <s v="8725"/>
    <s v="Iharosberény"/>
    <s v="Rákóczi F. u. 4."/>
    <s v="ok"/>
    <n v="2"/>
    <n v="2"/>
    <x v="9"/>
    <n v="1"/>
    <n v="1"/>
    <n v="1"/>
  </r>
  <r>
    <x v="6"/>
    <s v="S6T67011"/>
    <s v="Diebold-Opteva 760 ATM Outdoor"/>
    <s v="1760R3320898"/>
    <s v="8624"/>
    <s v="Balatonszárszó"/>
    <s v="Ady Endre u. 2."/>
    <s v="ok"/>
    <n v="2"/>
    <n v="2"/>
    <x v="4"/>
    <e v="#N/A"/>
    <n v="0"/>
    <n v="2"/>
  </r>
  <r>
    <x v="6"/>
    <s v="S6T67012"/>
    <s v="Diebold-Opteva 760 ATM Outdoor"/>
    <s v="1760RH122689"/>
    <s v="8630"/>
    <s v="Balatonboglár"/>
    <s v="Sétáló u. 7."/>
    <s v="ok"/>
    <n v="2"/>
    <n v="2"/>
    <x v="9"/>
    <n v="1"/>
    <n v="1"/>
    <n v="1"/>
  </r>
  <r>
    <x v="6"/>
    <s v="S6T67016"/>
    <s v="Diebold-Opteva 760 ATM Outdoor"/>
    <s v="1760RH126435"/>
    <s v="8638"/>
    <s v="Balatonlelle"/>
    <s v="Rákóczi u. 232."/>
    <s v="ok"/>
    <n v="2"/>
    <n v="2"/>
    <x v="9"/>
    <n v="1"/>
    <n v="1"/>
    <n v="1"/>
  </r>
  <r>
    <x v="6"/>
    <s v="S6T67017"/>
    <s v="CSC/450 system"/>
    <s v="XXS6T67008"/>
    <s v="8676"/>
    <s v="Karád"/>
    <s v="Kossuth Lajos utca 3."/>
    <s v="ok"/>
    <n v="2"/>
    <n v="2"/>
    <x v="9"/>
    <n v="1"/>
    <n v="1"/>
    <n v="1"/>
  </r>
  <r>
    <x v="6"/>
    <s v="S6T67601"/>
    <s v="Diebold-Opteva 760 ATM Outdoor"/>
    <s v="1760RH135390"/>
    <s v="4500"/>
    <s v="Nyírbátor"/>
    <s v="Szabadság út 5."/>
    <s v="ok"/>
    <n v="2"/>
    <n v="2"/>
    <x v="1"/>
    <n v="1"/>
    <n v="1"/>
    <n v="1"/>
  </r>
  <r>
    <x v="6"/>
    <s v="S6T67602"/>
    <s v="ProCash 2050xe"/>
    <s v="5300154223"/>
    <s v="4765"/>
    <s v="Csenger"/>
    <s v="Ady Endre út 5."/>
    <s v="ok"/>
    <n v="2"/>
    <n v="2"/>
    <x v="1"/>
    <n v="1"/>
    <n v="1"/>
    <n v="1"/>
  </r>
  <r>
    <x v="6"/>
    <s v="S6T67802"/>
    <s v="OPT562 1GIG-DVD-UPS-LAN-A6-CEN3(4HIGH)"/>
    <s v="1562R3320391"/>
    <s v="4800"/>
    <s v="Vásárosnamény"/>
    <s v="Rákóczi u. 1/a"/>
    <s v="ok"/>
    <n v="2"/>
    <n v="2"/>
    <x v="1"/>
    <e v="#N/A"/>
    <n v="0"/>
    <n v="2"/>
  </r>
  <r>
    <x v="6"/>
    <s v="S6T67803"/>
    <s v="OPT562 1GIG-DVD-UPS-LAN-A6-CEN3(4HIGH)"/>
    <s v="1562R3320090"/>
    <s v="4951"/>
    <s v="Tiszabecs"/>
    <s v="Rákóczi u. 15."/>
    <s v="ok"/>
    <n v="2"/>
    <n v="2"/>
    <x v="1"/>
    <n v="1"/>
    <n v="1"/>
    <n v="1"/>
  </r>
  <r>
    <x v="6"/>
    <s v="S6T67804"/>
    <s v="OPT562 1GIG-DVD-UPS-LAN-A6-CEN3(4HIGH)"/>
    <s v="1562RH129277"/>
    <s v="4562"/>
    <s v="Vaja"/>
    <s v="Damjanich u. 71."/>
    <s v="ok"/>
    <n v="2"/>
    <n v="2"/>
    <x v="1"/>
    <e v="#N/A"/>
    <n v="0"/>
    <n v="2"/>
  </r>
  <r>
    <x v="6"/>
    <s v="S6T67805"/>
    <s v="OPT562 1GIG-DVD-UPS-LAN-A6-CEN3(4HIGH)"/>
    <s v="1562RH129459"/>
    <s v="4931"/>
    <s v="Tarpa"/>
    <s v="Kossuth u. 25."/>
    <s v="ok"/>
    <n v="2"/>
    <n v="2"/>
    <x v="1"/>
    <n v="1"/>
    <n v="1"/>
    <n v="1"/>
  </r>
  <r>
    <x v="6"/>
    <s v="S6T67806"/>
    <s v="OPT562 1GIG-DVD-UPS-LAN-A6-CEN3(4HIGH)"/>
    <s v="1562RH129458"/>
    <s v="4337"/>
    <s v="Jármi"/>
    <s v="Kossuth u. 45."/>
    <s v="ok"/>
    <n v="2"/>
    <n v="2"/>
    <x v="1"/>
    <e v="#N/A"/>
    <n v="0"/>
    <n v="2"/>
  </r>
  <r>
    <x v="6"/>
    <s v="S6T67807"/>
    <s v="OPT562 1GIG-DVD-UPS-LAN-A6-CEN3(4HIGH)"/>
    <s v="1562RH138602"/>
    <s v="4741"/>
    <s v="Jánkmajtis"/>
    <s v="Kossuth u. 12."/>
    <s v="ok"/>
    <n v="2"/>
    <n v="2"/>
    <x v="1"/>
    <n v="1"/>
    <n v="1"/>
    <n v="1"/>
  </r>
  <r>
    <x v="6"/>
    <s v="S6T67901"/>
    <s v="ProCash 2050"/>
    <s v="5300476863"/>
    <s v="4600"/>
    <s v="Kisvárda"/>
    <s v="Szent László út 68."/>
    <s v="ok"/>
    <n v="2"/>
    <n v="2"/>
    <x v="1"/>
    <e v="#N/A"/>
    <n v="0"/>
    <n v="2"/>
  </r>
  <r>
    <x v="6"/>
    <s v="S6T67902"/>
    <s v="ProCash 2050"/>
    <s v="5300127262"/>
    <s v="4644"/>
    <s v="Mándok"/>
    <s v="Petőfi Sándor u. 12."/>
    <s v="ok"/>
    <n v="2"/>
    <n v="2"/>
    <x v="1"/>
    <n v="1"/>
    <n v="1"/>
    <n v="1"/>
  </r>
  <r>
    <x v="6"/>
    <s v="S6T67903"/>
    <s v="ProCash 2050"/>
    <s v="6101399789"/>
    <s v="4621"/>
    <s v="Fényeslitke"/>
    <s v="Kossuth L. u. 92."/>
    <s v="ok"/>
    <n v="2"/>
    <n v="2"/>
    <x v="1"/>
    <e v="#N/A"/>
    <n v="0"/>
    <n v="2"/>
  </r>
  <r>
    <x v="6"/>
    <s v="S6T67904"/>
    <s v="ProCash 2050"/>
    <s v="5300270887"/>
    <s v="4524"/>
    <s v="Ajak"/>
    <s v="Kiss Ernő u. 3."/>
    <s v="ok"/>
    <n v="2"/>
    <n v="2"/>
    <x v="1"/>
    <n v="1"/>
    <n v="1"/>
    <n v="1"/>
  </r>
  <r>
    <x v="6"/>
    <s v="S6T67905"/>
    <s v="ProCash 2050"/>
    <s v="5300342402"/>
    <s v="4523"/>
    <s v="Pátroha"/>
    <s v="Kossuth u. 3."/>
    <s v="ok"/>
    <n v="2"/>
    <n v="2"/>
    <x v="1"/>
    <n v="1"/>
    <n v="1"/>
    <n v="1"/>
  </r>
  <r>
    <x v="6"/>
    <s v="S6T67906"/>
    <s v="ProCash 2050"/>
    <s v="5300476859"/>
    <s v="4492"/>
    <s v="Dombrád"/>
    <s v="Kossuth út 23/a"/>
    <s v="ok"/>
    <n v="2"/>
    <n v="2"/>
    <x v="1"/>
    <n v="1"/>
    <n v="1"/>
    <n v="1"/>
  </r>
  <r>
    <x v="6"/>
    <s v="S6T67907"/>
    <s v="ProCash 2050"/>
    <s v="5300735222"/>
    <s v="4625"/>
    <s v="Záhony"/>
    <s v="Alkotmány u. 2."/>
    <s v="ok"/>
    <n v="2"/>
    <n v="2"/>
    <x v="1"/>
    <n v="1"/>
    <n v="1"/>
    <n v="1"/>
  </r>
  <r>
    <x v="6"/>
    <s v="S6T68001"/>
    <s v="OPT562 1GIG-DVD-UPS-LAN-A6-CEN3(4HIGH)"/>
    <s v="1562RH157546"/>
    <s v="4355"/>
    <s v="Nagyecsed"/>
    <s v="Rákóczi u. 16."/>
    <s v="ok"/>
    <n v="2"/>
    <n v="2"/>
    <x v="1"/>
    <n v="1"/>
    <n v="1"/>
    <n v="1"/>
  </r>
  <r>
    <x v="6"/>
    <s v="S6T68003"/>
    <s v="OPT562 1GIG-DVD-UPS-LAN-A6-CEN3(4HIGH)"/>
    <s v="1562RH156887"/>
    <s v="4821"/>
    <s v="Ópályi"/>
    <s v="Szent II. János Pál Pápa tér 2."/>
    <s v="ok"/>
    <n v="2"/>
    <n v="2"/>
    <x v="1"/>
    <e v="#N/A"/>
    <n v="0"/>
    <n v="2"/>
  </r>
  <r>
    <x v="6"/>
    <s v="S6T68004"/>
    <s v="ProCash 2050"/>
    <s v="5300095581"/>
    <s v="4356"/>
    <s v="Nyírcsaholy"/>
    <s v="Hunyadi u. 14."/>
    <s v="ok"/>
    <n v="2"/>
    <n v="2"/>
    <x v="1"/>
    <n v="1"/>
    <n v="1"/>
    <n v="1"/>
  </r>
  <r>
    <x v="6"/>
    <s v="S6T68005"/>
    <s v="OPT562 1GIG-DVD-UPS-LAN-A6-CEN3(4HIGH)"/>
    <s v="1562RH157547"/>
    <s v="4352"/>
    <s v="Mérk"/>
    <s v="Hunyadi u. 98."/>
    <s v="ok"/>
    <n v="2"/>
    <n v="2"/>
    <x v="1"/>
    <n v="1"/>
    <n v="1"/>
    <n v="1"/>
  </r>
  <r>
    <x v="6"/>
    <s v="S6T68201"/>
    <s v="OPT562 1GIG-DVD-UPS-LAN-A6-CEN3(4HIGH)"/>
    <s v="1562RH155234"/>
    <s v="4371"/>
    <s v="Nyírlugos"/>
    <s v="Szabadság tér 1."/>
    <s v="ok"/>
    <n v="2"/>
    <n v="2"/>
    <x v="16"/>
    <e v="#N/A"/>
    <n v="0"/>
    <n v="2"/>
  </r>
  <r>
    <x v="6"/>
    <s v="S6T68202"/>
    <s v="OPT562 1GIG-DVD-UPS-LAN-A6-CEN3(4HIGH)"/>
    <s v="1562RH155238"/>
    <s v="4372"/>
    <s v="Nyírbéltek"/>
    <s v="Kossuth L. u. 16."/>
    <s v="ok"/>
    <n v="2"/>
    <n v="2"/>
    <x v="16"/>
    <e v="#N/A"/>
    <n v="0"/>
    <n v="2"/>
  </r>
  <r>
    <x v="6"/>
    <s v="S6T68203"/>
    <s v="OPT562 1GIG-DVD-UPS-LAN-A6-CEN3(4HIGH)"/>
    <s v="1562RH155233"/>
    <s v="4361"/>
    <s v="Nyírbogát"/>
    <s v="Kossuth L. u. 7."/>
    <s v="ok"/>
    <n v="2"/>
    <n v="2"/>
    <x v="16"/>
    <e v="#N/A"/>
    <n v="0"/>
    <n v="2"/>
  </r>
  <r>
    <x v="6"/>
    <s v="S6T68502"/>
    <s v="Diebold-Opteva 760 ATM Outdoor"/>
    <s v="1760RCF00039"/>
    <s v="4400"/>
    <s v="Nyíregyháza"/>
    <s v="Kállói út 34."/>
    <s v="ok"/>
    <n v="2"/>
    <n v="0"/>
    <x v="1"/>
    <e v="#N/A"/>
    <n v="0"/>
    <n v="0"/>
  </r>
  <r>
    <x v="6"/>
    <s v="S6T68503"/>
    <s v="Diebold-Opteva 760 ATM Outdoor"/>
    <s v="1760RCF00040"/>
    <s v="4471"/>
    <s v="Gávavencsellő"/>
    <s v="Petőfi u. 3."/>
    <s v="ok"/>
    <n v="2"/>
    <n v="2"/>
    <x v="1"/>
    <e v="#N/A"/>
    <n v="0"/>
    <n v="2"/>
  </r>
  <r>
    <x v="6"/>
    <s v="S6T68504"/>
    <s v="OPT562 1GIG-DVD-UPS-LAN-A6-CEN3(4HIGH)"/>
    <s v="1562RCF00958"/>
    <s v="4552"/>
    <s v="Napkor"/>
    <s v="Apagyi út 2."/>
    <s v="ok"/>
    <n v="2"/>
    <n v="2"/>
    <x v="1"/>
    <e v="#N/A"/>
    <n v="0"/>
    <n v="2"/>
  </r>
  <r>
    <x v="6"/>
    <s v="S6T68505"/>
    <s v="OPT562 1GIG-DVD-UPS-LAN-A6-CEN3(4HIGH)"/>
    <s v="1562RCF00953"/>
    <s v="4400"/>
    <s v="Nyíregyháza"/>
    <s v="Fazekas J. tér 9/A"/>
    <s v="ok"/>
    <n v="2"/>
    <n v="2"/>
    <x v="1"/>
    <n v="1"/>
    <n v="1"/>
    <n v="1"/>
  </r>
  <r>
    <x v="6"/>
    <s v="S6T68506"/>
    <s v="OPT562 1GIG-DVD-UPS-LAN-A6-CEN3(4HIGH)"/>
    <s v="1562R3301392"/>
    <s v="4450"/>
    <s v="Tiszalök"/>
    <s v="Kossuth u. 79/a"/>
    <s v="ok"/>
    <n v="2"/>
    <n v="2"/>
    <x v="1"/>
    <n v="1"/>
    <n v="1"/>
    <n v="1"/>
  </r>
  <r>
    <x v="6"/>
    <s v="S6T68507"/>
    <s v="OPT562 1GIG-DVD-UPS-LAN-A6-CEN3(4HIGH)"/>
    <s v="1562RCF00948"/>
    <s v="4536"/>
    <s v="Ramocsaháza"/>
    <s v="Kossuth u. 106."/>
    <s v="ok"/>
    <n v="2"/>
    <n v="2"/>
    <x v="1"/>
    <e v="#N/A"/>
    <n v="0"/>
    <n v="2"/>
  </r>
  <r>
    <x v="6"/>
    <s v="S6T68508"/>
    <s v="OPT562 1GIG-DVD-UPS-LAN-A6-CEN3(4HIGH)"/>
    <s v="1562RH134184"/>
    <s v="4553"/>
    <s v="Apagy"/>
    <s v="Béke u. 2/a"/>
    <s v="ok"/>
    <n v="2"/>
    <n v="2"/>
    <x v="1"/>
    <e v="#N/A"/>
    <n v="0"/>
    <n v="2"/>
  </r>
  <r>
    <x v="6"/>
    <s v="S6T68509"/>
    <s v="OPT562 1GIG-DVD-UPS-LAN-A6-CEN3(4HIGH)"/>
    <s v="1562RH134855"/>
    <s v="4551"/>
    <s v="Nyíregyháza-Oros"/>
    <s v="Fő út 3."/>
    <s v="ok"/>
    <n v="2"/>
    <n v="2"/>
    <x v="1"/>
    <n v="1"/>
    <n v="1"/>
    <n v="1"/>
  </r>
  <r>
    <x v="6"/>
    <s v="S6T68510"/>
    <s v="OPT562 1GIG-DVD-UPS-LAN-A6-CEN3(4HIGH)"/>
    <s v="1562RH134856"/>
    <s v="4555"/>
    <s v="Levelek"/>
    <s v="Rákóczi u. 7."/>
    <s v="ok"/>
    <n v="2"/>
    <n v="2"/>
    <x v="1"/>
    <e v="#N/A"/>
    <n v="0"/>
    <n v="2"/>
  </r>
  <r>
    <x v="6"/>
    <s v="S6T68511"/>
    <s v="OPT562 1GIG-DVD-UPS-LAN-A6-CEN3(4HIGH)"/>
    <s v="1562RH142719"/>
    <s v="4464"/>
    <s v="Tiszaeszlár"/>
    <s v="Rákóczi utca 79."/>
    <s v="ok"/>
    <n v="2"/>
    <n v="2"/>
    <x v="1"/>
    <n v="1"/>
    <n v="1"/>
    <n v="1"/>
  </r>
  <r>
    <x v="6"/>
    <s v="S6T68512"/>
    <s v="OPT562 1GIG-DVD-UPS-LAN-A6-CEN3(4HIGH)"/>
    <s v="1562RH142717"/>
    <s v="4400"/>
    <s v="Nyíregyháza"/>
    <s v="Ungvár sétány 35."/>
    <s v="ok"/>
    <n v="2"/>
    <n v="2"/>
    <x v="1"/>
    <e v="#N/A"/>
    <n v="0"/>
    <n v="2"/>
  </r>
  <r>
    <x v="6"/>
    <s v="S6T68513"/>
    <s v="OPT562 1GIG-DVD-UPS-LAN-A6-CEN3(4HIGH)"/>
    <s v="1562RH142718"/>
    <s v="4531"/>
    <s v="Nyírpazony"/>
    <s v="Vasvári Pál utca 27."/>
    <s v="ok"/>
    <n v="2"/>
    <n v="0"/>
    <x v="1"/>
    <e v="#N/A"/>
    <n v="0"/>
    <n v="0"/>
  </r>
  <r>
    <x v="6"/>
    <s v="S6T68514"/>
    <s v="OPT562 1GIG-DVD-UPS-LAN-A6-CEN3(4HIGH)"/>
    <s v="1562RH147977"/>
    <s v="4532"/>
    <s v="Nyírtura"/>
    <s v="Újmajori út 10."/>
    <s v="ok"/>
    <n v="2"/>
    <n v="2"/>
    <x v="1"/>
    <e v="#N/A"/>
    <n v="0"/>
    <n v="2"/>
  </r>
  <r>
    <x v="6"/>
    <s v="S6T68515"/>
    <s v="OPT562 1GIG-DVD-UPS-LAN-A6-CEN3(4HIGH)"/>
    <s v="1562RH150124"/>
    <s v="4461"/>
    <s v="Nyírtelek"/>
    <s v="Arany János utca 1."/>
    <s v="ok"/>
    <n v="2"/>
    <n v="2"/>
    <x v="1"/>
    <n v="1"/>
    <n v="1"/>
    <n v="1"/>
  </r>
  <r>
    <x v="6"/>
    <s v="S6T68516"/>
    <s v="OPT562 1GIG-DVD-UPS-LAN-A6-CEN3(4HIGH)"/>
    <s v="1562R3320089"/>
    <s v="3910"/>
    <s v="Tokaj"/>
    <s v="Bajcsy-Zsilinszky Endre út 18."/>
    <s v="ok"/>
    <n v="2"/>
    <n v="2"/>
    <x v="1"/>
    <n v="1"/>
    <n v="1"/>
    <n v="1"/>
  </r>
  <r>
    <x v="6"/>
    <s v="S6T68701"/>
    <s v="ProCash 2050"/>
    <s v="5300150776"/>
    <s v="4440"/>
    <s v="Tiszavasvári"/>
    <s v="Kossuth u. 1."/>
    <s v="ok"/>
    <n v="2"/>
    <n v="2"/>
    <x v="1"/>
    <n v="1"/>
    <n v="1"/>
    <n v="1"/>
  </r>
  <r>
    <x v="6"/>
    <s v="S6T68702"/>
    <s v="ProCash 2050"/>
    <s v="5300216516"/>
    <s v="4400"/>
    <s v="Nyíregyháza"/>
    <s v="Szent István u. 27."/>
    <s v="ok"/>
    <n v="2"/>
    <n v="2"/>
    <x v="1"/>
    <n v="1"/>
    <n v="1"/>
    <n v="1"/>
  </r>
  <r>
    <x v="6"/>
    <s v="S6T68703"/>
    <s v="ProCash 2050"/>
    <s v="5300095396"/>
    <s v="4400"/>
    <s v="Nyíregyháza"/>
    <s v="Széchenyi u. 23."/>
    <s v="ok"/>
    <n v="2"/>
    <n v="2"/>
    <x v="1"/>
    <e v="#N/A"/>
    <n v="0"/>
    <n v="2"/>
  </r>
  <r>
    <x v="6"/>
    <s v="S6T68704"/>
    <s v="ProCash 2150xe USB"/>
    <s v="5300249969"/>
    <s v="4485"/>
    <s v="Nagyhalász"/>
    <s v="Kossuth u. 9/a."/>
    <s v="ok"/>
    <n v="2"/>
    <n v="2"/>
    <x v="1"/>
    <n v="1"/>
    <n v="1"/>
    <n v="1"/>
  </r>
  <r>
    <x v="6"/>
    <s v="S6T68705"/>
    <s v="ProCash 2050"/>
    <s v="5300136431"/>
    <s v="4516"/>
    <s v="Demecser"/>
    <s v="Kétezer-egy tér 3."/>
    <s v="ok"/>
    <n v="2"/>
    <n v="2"/>
    <x v="1"/>
    <n v="1"/>
    <n v="1"/>
    <n v="1"/>
  </r>
  <r>
    <x v="6"/>
    <s v="S6T68706"/>
    <s v="Diebold-Opteva 560 ATM Outdoor"/>
    <s v="1560R3302812"/>
    <s v="4484"/>
    <s v="Ibrány"/>
    <s v="Lehel út 3."/>
    <s v="ok"/>
    <n v="2"/>
    <n v="2"/>
    <x v="1"/>
    <e v="#N/A"/>
    <n v="0"/>
    <n v="2"/>
  </r>
  <r>
    <x v="6"/>
    <s v="S6T68707"/>
    <s v="OPT562 1GIG-DVD-UPS-LAN-A6-CEN3(4HIGH)"/>
    <s v="1562RH129337"/>
    <s v="4482"/>
    <s v="Kótaj"/>
    <s v="Kossuth u. 17."/>
    <s v="ok"/>
    <n v="2"/>
    <n v="2"/>
    <x v="1"/>
    <e v="#N/A"/>
    <n v="0"/>
    <n v="2"/>
  </r>
  <r>
    <x v="6"/>
    <s v="S6T68709"/>
    <s v="ProCash 2050"/>
    <s v="5300280569"/>
    <s v="4441"/>
    <s v="Szorgalmatos"/>
    <s v="Közép u. 2."/>
    <s v="ok"/>
    <n v="2"/>
    <n v="2"/>
    <x v="1"/>
    <e v="#N/A"/>
    <n v="0"/>
    <n v="2"/>
  </r>
  <r>
    <x v="6"/>
    <s v="S6T68710"/>
    <s v="OPT562 1GIG-DVD-UPS-LAN-A6-CEN3(4HIGH)"/>
    <s v="1562RH142716"/>
    <s v="4474"/>
    <s v="Tiszabercel"/>
    <s v="Vásártér út 5."/>
    <s v="ok"/>
    <n v="2"/>
    <n v="2"/>
    <x v="1"/>
    <e v="#N/A"/>
    <n v="0"/>
    <n v="2"/>
  </r>
  <r>
    <x v="6"/>
    <s v="S6T68711"/>
    <s v="Diebold-Opteva 560 ATM Outdoor"/>
    <s v="1560RCF00828"/>
    <s v="4483"/>
    <s v="Buj"/>
    <s v="Rákóczi út 3."/>
    <s v="ok"/>
    <n v="2"/>
    <n v="2"/>
    <x v="1"/>
    <e v="#N/A"/>
    <n v="0"/>
    <n v="2"/>
  </r>
  <r>
    <x v="6"/>
    <s v="S6T68712"/>
    <s v="OPT562 1GIG-DVD-UPS-LAN-A6-CEN3(4HIGH)"/>
    <s v="1562RCF00177"/>
    <s v="4511"/>
    <s v="Nyírbogdány"/>
    <s v="Fő út 41."/>
    <s v="ok"/>
    <n v="2"/>
    <n v="2"/>
    <x v="1"/>
    <e v="#N/A"/>
    <n v="0"/>
    <n v="2"/>
  </r>
  <r>
    <x v="6"/>
    <s v="S6T68802"/>
    <s v="Diebold-Opteva 760 ATM Outdoor"/>
    <s v="1760RH126433"/>
    <s v="4320"/>
    <s v="Nagykálló"/>
    <s v="Zrínyi u. 22."/>
    <s v="ok"/>
    <n v="2"/>
    <n v="2"/>
    <x v="1"/>
    <e v="#N/A"/>
    <n v="0"/>
    <n v="2"/>
  </r>
  <r>
    <x v="6"/>
    <s v="S6T68803"/>
    <s v="Diebold-Opteva 720 ATM Indoor"/>
    <s v="1760RH124443"/>
    <s v="4400"/>
    <s v="Nyíregyháza"/>
    <s v="Országzászló tér 4."/>
    <s v="ok"/>
    <n v="2"/>
    <n v="2"/>
    <x v="1"/>
    <e v="#N/A"/>
    <n v="0"/>
    <n v="2"/>
  </r>
  <r>
    <x v="6"/>
    <s v="S6T68804"/>
    <s v="OPT562 1GIG-DVD-UPS-LAN-A6-CEN3(4HIGH)"/>
    <s v="1562RH155247"/>
    <s v="4324"/>
    <s v="Kállósemjén"/>
    <s v="Kossuth u. 104."/>
    <s v="ok"/>
    <n v="2"/>
    <n v="2"/>
    <x v="1"/>
    <e v="#N/A"/>
    <n v="0"/>
    <n v="2"/>
  </r>
  <r>
    <x v="6"/>
    <s v="S6T68805"/>
    <s v="ProCash 2050"/>
    <s v="XXS6T68805"/>
    <s v="4700"/>
    <s v="Mátészalka"/>
    <s v="Bajcsy-Zs. u. 30/a."/>
    <s v="ok"/>
    <n v="2"/>
    <n v="0"/>
    <x v="1"/>
    <e v="#N/A"/>
    <n v="0"/>
    <n v="0"/>
  </r>
  <r>
    <x v="6"/>
    <s v="S6T68806"/>
    <s v="ProCash 2150xe"/>
    <s v="XXS6T68806"/>
    <s v="4900"/>
    <s v="Fehérgyarmat"/>
    <s v="Kossuth u. 4."/>
    <s v="ok"/>
    <n v="2"/>
    <n v="0"/>
    <x v="1"/>
    <e v="#N/A"/>
    <n v="0"/>
    <n v="0"/>
  </r>
  <r>
    <x v="6"/>
    <s v="S6T68807"/>
    <s v="ProCash 2050"/>
    <s v="5300403652"/>
    <s v="4231"/>
    <s v="Bököny"/>
    <s v="Dózsa út 5."/>
    <s v="ok"/>
    <n v="2"/>
    <n v="2"/>
    <x v="1"/>
    <n v="1"/>
    <n v="1"/>
    <n v="1"/>
  </r>
  <r>
    <x v="6"/>
    <s v="S6T68809"/>
    <s v="Diebold-Opteva 760 ATM Outdoor"/>
    <s v="1760RH128261"/>
    <s v="4233"/>
    <s v="Balkány"/>
    <s v="Ságvári u. 31."/>
    <s v="ok"/>
    <n v="2"/>
    <n v="2"/>
    <x v="1"/>
    <e v="#N/A"/>
    <n v="0"/>
    <n v="2"/>
  </r>
  <r>
    <x v="6"/>
    <s v="S6T68810"/>
    <s v="OPT562 1GIG-DVD-UPS-LAN-A6-CEN3(4HIGH)"/>
    <s v="1562RH156886"/>
    <s v="4434"/>
    <s v="Kálmánháza"/>
    <s v="Nyíregyházi út 55."/>
    <s v="ok"/>
    <n v="2"/>
    <n v="2"/>
    <x v="1"/>
    <e v="#N/A"/>
    <n v="0"/>
    <n v="2"/>
  </r>
  <r>
    <x v="6"/>
    <s v="S6T68811"/>
    <s v="OPT562 1GIG-DVD-UPS-LAN-A6-CEN3(4HIGH)"/>
    <s v="1562RH157548"/>
    <s v="4232"/>
    <s v="Geszteréd"/>
    <s v="Petőfi u. 9."/>
    <s v="ok"/>
    <n v="2"/>
    <n v="2"/>
    <x v="1"/>
    <e v="#N/A"/>
    <n v="0"/>
    <n v="2"/>
  </r>
  <r>
    <x v="6"/>
    <s v="S6T68813"/>
    <s v="OPT562 1GIG-DVD-UPS-LAN-A6-CEN3(4HIGH)"/>
    <s v="1562RH135623"/>
    <s v="4405"/>
    <s v="Nyíregyháza"/>
    <s v="Lujza u. 20."/>
    <s v="ok"/>
    <n v="2"/>
    <n v="2"/>
    <x v="1"/>
    <n v="1"/>
    <n v="1"/>
    <n v="1"/>
  </r>
  <r>
    <x v="6"/>
    <s v="S6T69301"/>
    <s v="ProCash 2050xe USB"/>
    <s v="5300584737"/>
    <s v="5231"/>
    <s v="Fegyvernek"/>
    <s v="Szent Erzsébet út 138."/>
    <s v="ok"/>
    <n v="2"/>
    <n v="2"/>
    <x v="11"/>
    <n v="1"/>
    <n v="1"/>
    <n v="1"/>
  </r>
  <r>
    <x v="6"/>
    <s v="S6T69304"/>
    <s v="ProCash 2150xe"/>
    <s v="5300147994"/>
    <s v="5310"/>
    <s v="Kisújszállás"/>
    <s v="Szabadság tér 8."/>
    <s v="ok"/>
    <n v="2"/>
    <n v="2"/>
    <x v="11"/>
    <e v="#N/A"/>
    <n v="0"/>
    <n v="2"/>
  </r>
  <r>
    <x v="6"/>
    <s v="S6T69305"/>
    <s v="ProCash 2050xe USB"/>
    <s v="5300584491"/>
    <s v="5200"/>
    <s v="Törökszentmiklós"/>
    <s v="Kossuth L. út 146."/>
    <s v="ok"/>
    <n v="2"/>
    <n v="2"/>
    <x v="11"/>
    <n v="1"/>
    <n v="1"/>
    <n v="1"/>
  </r>
  <r>
    <x v="6"/>
    <s v="S6T69401"/>
    <s v="Diebold-Opteva 562r 3 High-Standard ATM"/>
    <s v="562RRH100424"/>
    <s v="5123"/>
    <s v="Jászárokszállás"/>
    <s v="Árpád tér 2."/>
    <s v="ok"/>
    <n v="2"/>
    <n v="2"/>
    <x v="10"/>
    <e v="#N/A"/>
    <n v="0"/>
    <n v="2"/>
  </r>
  <r>
    <x v="6"/>
    <s v="S6T69402"/>
    <s v="Diebold-Opteva 560 ATM Outdoor"/>
    <s v="1560RCF00831"/>
    <s v="3360"/>
    <s v="Heves"/>
    <s v="Hunyadi u. 14."/>
    <s v="ok"/>
    <n v="2"/>
    <n v="2"/>
    <x v="6"/>
    <n v="1"/>
    <n v="1"/>
    <n v="1"/>
  </r>
  <r>
    <x v="6"/>
    <s v="S6T69405"/>
    <s v="Diebold-Opteva 560 ATM Outdoor"/>
    <s v="1560R3301574"/>
    <s v="3284"/>
    <s v="Tarnaméra"/>
    <s v="Árpád út 4/2"/>
    <s v="ok"/>
    <n v="2"/>
    <n v="2"/>
    <x v="6"/>
    <e v="#N/A"/>
    <n v="0"/>
    <n v="2"/>
  </r>
  <r>
    <x v="6"/>
    <s v="S6T69406"/>
    <s v="Diebold-Opteva 560 ATM Outdoor"/>
    <s v="1560R3301573"/>
    <s v="5061"/>
    <s v="Tiszasüly"/>
    <s v="Kiséri út 23."/>
    <s v="ok"/>
    <n v="2"/>
    <n v="2"/>
    <x v="11"/>
    <e v="#N/A"/>
    <n v="0"/>
    <n v="2"/>
  </r>
  <r>
    <x v="6"/>
    <s v="S6T69501"/>
    <s v="ProCash 2050"/>
    <s v="XXAS6T69501"/>
    <s v="5100"/>
    <s v="Jászberény"/>
    <s v="Szabadság tér 9-10."/>
    <s v="ok"/>
    <n v="2"/>
    <n v="2"/>
    <x v="10"/>
    <e v="#N/A"/>
    <n v="0"/>
    <n v="2"/>
  </r>
  <r>
    <x v="6"/>
    <s v="S6T69503"/>
    <s v="ProCash 2050"/>
    <s v="XXAS6T69503"/>
    <s v="5054"/>
    <s v="Jászalsószentgyörgy"/>
    <s v="Fő u. 66."/>
    <s v="ok"/>
    <n v="2"/>
    <n v="2"/>
    <x v="11"/>
    <n v="1"/>
    <n v="1"/>
    <n v="1"/>
  </r>
  <r>
    <x v="6"/>
    <s v="S6T69504"/>
    <s v="ProCash 2050"/>
    <s v="XXAS6T69504"/>
    <s v="5126"/>
    <s v="Jászfényszaru"/>
    <s v="Szabadság út 1."/>
    <s v="ok"/>
    <n v="2"/>
    <n v="2"/>
    <x v="10"/>
    <n v="1"/>
    <n v="1"/>
    <n v="1"/>
  </r>
  <r>
    <x v="6"/>
    <s v="S6T69505"/>
    <s v="ProCash 2050"/>
    <s v="XXAS6T69505"/>
    <s v="5111"/>
    <s v="Jászfelsőszentgyörgy"/>
    <s v="Fő út 96."/>
    <s v="ok"/>
    <n v="2"/>
    <n v="2"/>
    <x v="10"/>
    <e v="#N/A"/>
    <n v="0"/>
    <n v="2"/>
  </r>
  <r>
    <x v="6"/>
    <s v="S6T69506"/>
    <s v="ProCash 2050"/>
    <s v="XXAS6T69506"/>
    <s v="5125"/>
    <s v="Pusztamonostor"/>
    <s v="Szabadság út 74/a"/>
    <s v="ok"/>
    <n v="2"/>
    <n v="2"/>
    <x v="10"/>
    <e v="#N/A"/>
    <n v="0"/>
    <n v="2"/>
  </r>
  <r>
    <x v="6"/>
    <s v="S6T69507"/>
    <s v="ProCash 2050"/>
    <s v="XXAS6T69507"/>
    <s v="5142"/>
    <s v="Alattyán"/>
    <s v="Szent István tér 2."/>
    <s v="ok"/>
    <n v="2"/>
    <n v="2"/>
    <x v="11"/>
    <e v="#N/A"/>
    <n v="0"/>
    <n v="2"/>
  </r>
  <r>
    <x v="6"/>
    <s v="S6T69508"/>
    <s v="ProCash 2050"/>
    <s v="XXAS6T69508"/>
    <s v="5144"/>
    <s v="Jászboldogháza"/>
    <s v="Kossuth u. 2."/>
    <s v="ok"/>
    <n v="2"/>
    <n v="2"/>
    <x v="11"/>
    <n v="1"/>
    <n v="1"/>
    <n v="1"/>
  </r>
  <r>
    <x v="6"/>
    <s v="S6T69510"/>
    <s v="ProCash 2050"/>
    <s v="XXAS6T69510"/>
    <s v="5055"/>
    <s v="Jászladány"/>
    <s v="Petőfi út 2."/>
    <s v="ok"/>
    <n v="2"/>
    <n v="2"/>
    <x v="11"/>
    <n v="1"/>
    <n v="1"/>
    <n v="1"/>
  </r>
  <r>
    <x v="6"/>
    <s v="S6T69802"/>
    <s v="OPT562 1GIG-DVD-UPS-LAN-A6-CEN3(4HIGH)"/>
    <s v="1562RH121812"/>
    <s v="5400"/>
    <s v="Mezőtúr"/>
    <s v="Dózsa Gy. út 24."/>
    <s v="ok"/>
    <n v="2"/>
    <n v="2"/>
    <x v="11"/>
    <e v="#N/A"/>
    <n v="0"/>
    <n v="2"/>
  </r>
  <r>
    <x v="6"/>
    <s v="S6T69803"/>
    <s v="Diebold-Opteva 562r 3 High-Standard ATM"/>
    <s v="562RRH100578"/>
    <s v="5451"/>
    <s v="Öcsöd"/>
    <s v="Kossuth u. 15."/>
    <s v="ok"/>
    <n v="2"/>
    <n v="2"/>
    <x v="11"/>
    <e v="#N/A"/>
    <n v="0"/>
    <n v="2"/>
  </r>
  <r>
    <x v="6"/>
    <s v="S6T69804"/>
    <s v="Diebold-Opteva 562r 3 High-Standard ATM"/>
    <s v="562RRH100621"/>
    <s v="5420"/>
    <s v="Túrkeve"/>
    <s v="Petőfi tér 3-5."/>
    <s v="ok"/>
    <n v="2"/>
    <n v="2"/>
    <x v="11"/>
    <n v="1"/>
    <n v="1"/>
    <n v="1"/>
  </r>
  <r>
    <x v="6"/>
    <s v="S6T69807"/>
    <s v="OPT562 1GIG-DVD-UPS-LAN-A6-CEN3(4HIGH)"/>
    <s v="1562R3320030"/>
    <s v="5071"/>
    <s v="Besenyszög"/>
    <s v="Szabadság tér 1/a."/>
    <s v="ok"/>
    <n v="2"/>
    <n v="2"/>
    <x v="11"/>
    <n v="1"/>
    <n v="1"/>
    <n v="1"/>
  </r>
  <r>
    <x v="6"/>
    <s v="S6T69809"/>
    <s v="OPT562 1GIG-DVD-UPS-LAN-A6-CEN3(4HIGH)"/>
    <s v="1562RH129958"/>
    <s v="5085"/>
    <s v="Rákóczifalva"/>
    <s v="Rákóczi út 55."/>
    <s v="ok"/>
    <n v="2"/>
    <n v="2"/>
    <x v="11"/>
    <n v="1"/>
    <n v="1"/>
    <n v="1"/>
  </r>
  <r>
    <x v="6"/>
    <s v="S6T69811"/>
    <s v="OPT562 1GIG-DVD-UPS-LAN-A6-CEN3(4HIGH)"/>
    <s v="1562RH134183"/>
    <s v="5008"/>
    <s v="Szolnok-Szandaszőllős"/>
    <s v="Krúdy Gyula u. 112."/>
    <s v="ok"/>
    <n v="2"/>
    <n v="2"/>
    <x v="11"/>
    <n v="1"/>
    <n v="1"/>
    <n v="1"/>
  </r>
  <r>
    <x v="6"/>
    <s v="S6T69813"/>
    <s v="OPT562 1GIG-DVD-UPS-LAN-A6-CEN3(4HIGH)"/>
    <s v="1562RH139153"/>
    <s v="5211"/>
    <s v="Tiszapüspöki"/>
    <s v="Fő út 73."/>
    <s v="ok"/>
    <n v="2"/>
    <n v="2"/>
    <x v="11"/>
    <e v="#N/A"/>
    <n v="0"/>
    <n v="2"/>
  </r>
  <r>
    <x v="6"/>
    <s v="S6T69814"/>
    <s v="Diebold-Opteva 760 ATM Outdoor"/>
    <s v="1760RH129214"/>
    <s v="5309"/>
    <s v="Berekfürdő"/>
    <s v="Berek tér 11. (Strand bejárata)"/>
    <s v="ok"/>
    <n v="2"/>
    <n v="2"/>
    <x v="16"/>
    <e v="#N/A"/>
    <n v="0"/>
    <n v="2"/>
  </r>
  <r>
    <x v="6"/>
    <s v="S6T69818"/>
    <s v="OPT562 1GIG-DVD-UPS-LAN-A6-CEN3(4HIGH)"/>
    <s v="1562R3320352"/>
    <s v="6728"/>
    <s v="Szeged"/>
    <s v="Kollégiumi út 6."/>
    <s v="ok"/>
    <n v="2"/>
    <n v="2"/>
    <x v="3"/>
    <e v="#N/A"/>
    <n v="0"/>
    <n v="2"/>
  </r>
  <r>
    <x v="6"/>
    <s v="S6T70101"/>
    <s v="OPT562 1GIG-DVD-UPS-LAN-A6-CEN3(4HIGH)"/>
    <s v="1562RH144650"/>
    <s v="5350"/>
    <s v="Tiszafüred"/>
    <s v="Kossuth tér 17."/>
    <s v="ok"/>
    <n v="2"/>
    <n v="2"/>
    <x v="16"/>
    <n v="1"/>
    <n v="1"/>
    <n v="1"/>
  </r>
  <r>
    <x v="6"/>
    <s v="S6T70103"/>
    <s v="ProCash 2050"/>
    <s v="XXAS6T70103"/>
    <s v="5235"/>
    <s v="Tiszabura"/>
    <s v="Kossuth u. 60."/>
    <s v="ok"/>
    <n v="2"/>
    <n v="2"/>
    <x v="16"/>
    <e v="#N/A"/>
    <n v="0"/>
    <n v="2"/>
  </r>
  <r>
    <x v="6"/>
    <s v="S6T70104"/>
    <s v="ProCash 2050"/>
    <s v="XXAS6T70104"/>
    <s v="4069"/>
    <s v="Egyek"/>
    <s v="Hunyadi J. u. 59."/>
    <s v="ok"/>
    <n v="2"/>
    <n v="2"/>
    <x v="16"/>
    <n v="1"/>
    <n v="1"/>
    <n v="1"/>
  </r>
  <r>
    <x v="6"/>
    <s v="S6T70105"/>
    <s v="OPT562 1GIG-DVD-UPS-LAN-A6-CEN3(4HIGH)"/>
    <s v="1562RH135622"/>
    <s v="5321"/>
    <s v="Kunmadaras"/>
    <s v="Kunhegyesi út 10."/>
    <s v="ok"/>
    <n v="2"/>
    <n v="2"/>
    <x v="16"/>
    <n v="1"/>
    <n v="1"/>
    <n v="1"/>
  </r>
  <r>
    <x v="6"/>
    <s v="S6T70106"/>
    <s v="ProCash 2050"/>
    <s v="XXAS6T70106"/>
    <s v="5340"/>
    <s v="Kunhegyes"/>
    <s v="Szabadság tér 11."/>
    <s v="ok"/>
    <n v="2"/>
    <n v="2"/>
    <x v="16"/>
    <n v="1"/>
    <n v="1"/>
    <n v="1"/>
  </r>
  <r>
    <x v="6"/>
    <s v="S6T70107"/>
    <s v="ProCash 2050"/>
    <s v="XXAS6T70107"/>
    <s v="5300"/>
    <s v="Karcag"/>
    <s v="Kálvin u. 1-3."/>
    <s v="ok"/>
    <n v="2"/>
    <n v="2"/>
    <x v="16"/>
    <n v="1"/>
    <n v="1"/>
    <n v="1"/>
  </r>
  <r>
    <x v="6"/>
    <s v="S6T70108"/>
    <s v="ProCash 2050"/>
    <s v="XXAS6T70108"/>
    <s v="5322"/>
    <s v="Tiszaszentimre"/>
    <s v="Fő u. 4."/>
    <s v="ok"/>
    <n v="2"/>
    <n v="2"/>
    <x v="16"/>
    <n v="1"/>
    <n v="1"/>
    <n v="1"/>
  </r>
  <r>
    <x v="6"/>
    <s v="S6T70110"/>
    <s v="ProCash 2050"/>
    <s v="XXAS6T70110"/>
    <s v="5324"/>
    <s v="Tomajmonostora"/>
    <s v="Széchenyi út 63."/>
    <s v="ok"/>
    <n v="2"/>
    <n v="2"/>
    <x v="16"/>
    <n v="1"/>
    <n v="1"/>
    <n v="1"/>
  </r>
  <r>
    <x v="6"/>
    <s v="S6T70111"/>
    <s v="OPT562 1GIG-DVD-UPS-LAN-A6-CEN3(4HIGH)"/>
    <s v="1562RH120082"/>
    <s v="3384"/>
    <s v="Kisköre"/>
    <s v="Széchenyi u. 24."/>
    <s v="ok"/>
    <n v="2"/>
    <n v="2"/>
    <x v="6"/>
    <e v="#N/A"/>
    <n v="0"/>
    <n v="2"/>
  </r>
  <r>
    <x v="6"/>
    <s v="S6T70113"/>
    <s v="OPT562 1GIG-DVD-UPS-LAN-A6-CEN3(4HIGH)"/>
    <s v="1562RH138608"/>
    <s v="5244"/>
    <s v="Tiszaszőlős"/>
    <s v="Fő út 21."/>
    <s v="ok"/>
    <n v="2"/>
    <n v="2"/>
    <x v="16"/>
    <n v="1"/>
    <n v="1"/>
    <n v="1"/>
  </r>
  <r>
    <x v="6"/>
    <s v="S6T70114"/>
    <s v="OPT562 1GIG-DVD-UPS-LAN-A6-CEN3(4HIGH)"/>
    <s v="1562RH152174"/>
    <s v="5363"/>
    <s v="Nagyiván"/>
    <s v="Fő utca 55."/>
    <s v="ok"/>
    <n v="2"/>
    <n v="2"/>
    <x v="16"/>
    <n v="1"/>
    <n v="1"/>
    <n v="1"/>
  </r>
  <r>
    <x v="6"/>
    <s v="S6T70301"/>
    <s v="ProCash 2150xe"/>
    <s v="5300278478"/>
    <s v="5052"/>
    <s v="Újszász"/>
    <s v="Erkel F. u. 2/a"/>
    <s v="ok"/>
    <n v="2"/>
    <n v="2"/>
    <x v="11"/>
    <n v="1"/>
    <n v="1"/>
    <n v="1"/>
  </r>
  <r>
    <x v="6"/>
    <s v="S6T70302"/>
    <s v="ProCash 2150xe"/>
    <s v="5300162410"/>
    <s v="2740"/>
    <s v="Abony"/>
    <s v="Szilágyi út 2."/>
    <s v="ok"/>
    <n v="2"/>
    <n v="2"/>
    <x v="5"/>
    <e v="#N/A"/>
    <n v="0"/>
    <n v="2"/>
  </r>
  <r>
    <x v="6"/>
    <s v="S6T70303"/>
    <s v="ProCash 2150xe"/>
    <s v="5300226899"/>
    <s v="5051"/>
    <s v="Zagyvarékas"/>
    <s v="Szabadság tér 14."/>
    <s v="ok"/>
    <n v="2"/>
    <n v="0"/>
    <x v="11"/>
    <e v="#N/A"/>
    <n v="0"/>
    <n v="0"/>
  </r>
  <r>
    <x v="6"/>
    <s v="S6T70305"/>
    <s v="ProCash 2150xe"/>
    <s v="5300383948"/>
    <s v="5091"/>
    <s v="Tószeg"/>
    <s v="Rákóczi út 33/A"/>
    <s v="ok"/>
    <n v="2"/>
    <n v="2"/>
    <x v="11"/>
    <e v="#N/A"/>
    <n v="0"/>
    <n v="2"/>
  </r>
  <r>
    <x v="6"/>
    <s v="S6T70306"/>
    <s v="ProCash 2050"/>
    <s v="XXS6T70306"/>
    <s v="5053"/>
    <s v="Szászberek"/>
    <s v="Kossuth L. u. 197/a"/>
    <s v="ok"/>
    <n v="2"/>
    <n v="0"/>
    <x v="11"/>
    <e v="#N/A"/>
    <n v="0"/>
    <n v="0"/>
  </r>
  <r>
    <x v="6"/>
    <s v="S6T70307"/>
    <s v="Diebold-Opteva 760 ATM Outdoor"/>
    <s v="1760RH123020"/>
    <s v="5051"/>
    <s v="Zagyvarékas"/>
    <s v="Fekete Lajos u. 1."/>
    <s v="ok"/>
    <n v="2"/>
    <n v="2"/>
    <x v="11"/>
    <n v="1"/>
    <n v="1"/>
    <n v="1"/>
  </r>
  <r>
    <x v="6"/>
    <s v="S6T70903"/>
    <s v="Diebold-Opteva 560 ATM Outdoor"/>
    <s v="XXS6T70903"/>
    <s v="8000"/>
    <s v="Székesfehérvár"/>
    <s v="Szent István tér 7."/>
    <s v="ok"/>
    <n v="2"/>
    <n v="2"/>
    <x v="4"/>
    <e v="#N/A"/>
    <n v="0"/>
    <n v="2"/>
  </r>
  <r>
    <x v="6"/>
    <s v="S6T71806_BZ"/>
    <s v="Diebold-Questar 3410 ATM"/>
    <s v="XXS6T71806_BZ"/>
    <s v="7362"/>
    <s v="Vásárosdombó"/>
    <s v="Rákóczi u. 32."/>
    <s v="ok"/>
    <n v="2"/>
    <n v="2"/>
    <x v="21"/>
    <e v="#N/A"/>
    <n v="0"/>
    <n v="2"/>
  </r>
  <r>
    <x v="6"/>
    <s v="S6T71807_BZ"/>
    <s v="Diebold-Questar 3410 ATM"/>
    <s v="XXS6T71807_BZ"/>
    <s v="7396"/>
    <s v="Magyarszék"/>
    <s v="Kossuth u. 49."/>
    <s v="ok"/>
    <n v="2"/>
    <n v="2"/>
    <x v="21"/>
    <e v="#N/A"/>
    <n v="0"/>
    <n v="2"/>
  </r>
  <r>
    <x v="6"/>
    <s v="S6T71810"/>
    <s v="Diebold-Opteva 560 ATM Outdoor"/>
    <s v="XXS6T71810"/>
    <s v="7347"/>
    <s v="Egyházaskozár"/>
    <s v="Fő tér 3/A"/>
    <s v="ok"/>
    <n v="2"/>
    <n v="2"/>
    <x v="12"/>
    <e v="#N/A"/>
    <n v="0"/>
    <n v="2"/>
  </r>
  <r>
    <x v="6"/>
    <s v="S6T71818_BZ"/>
    <s v="Diebold-Questar 3410 ATM"/>
    <s v="XXS6T71818_BZ"/>
    <s v="7181"/>
    <s v="Tevel"/>
    <s v="Dorogi u. 396."/>
    <s v="ok"/>
    <n v="2"/>
    <n v="2"/>
    <x v="21"/>
    <e v="#N/A"/>
    <n v="0"/>
    <n v="2"/>
  </r>
  <r>
    <x v="6"/>
    <s v="S6T71820_BZ"/>
    <s v="Diebold-Questar 3410 ATM"/>
    <s v="XXS6T71820_BZ"/>
    <s v="7192"/>
    <s v="Szakály"/>
    <s v="Fő út 79."/>
    <s v="ok"/>
    <n v="2"/>
    <n v="2"/>
    <x v="21"/>
    <e v="#N/A"/>
    <n v="0"/>
    <n v="2"/>
  </r>
  <r>
    <x v="6"/>
    <s v="S6T71821_BZ"/>
    <s v="Diebold-Questar 3410 ATM"/>
    <s v="XXS6T71821_BZ"/>
    <s v="7186"/>
    <s v="Aparhant"/>
    <s v="Kossuth u. 32."/>
    <s v="ok"/>
    <n v="2"/>
    <n v="2"/>
    <x v="21"/>
    <e v="#N/A"/>
    <n v="0"/>
    <n v="2"/>
  </r>
  <r>
    <x v="6"/>
    <s v="S6T71825"/>
    <s v="Diebold-Questar 3410 ATM"/>
    <s v="XXS6T71825"/>
    <s v="7193"/>
    <s v="Regöly"/>
    <s v="Hunyadi u. 2."/>
    <s v="ok"/>
    <n v="2"/>
    <n v="2"/>
    <x v="4"/>
    <e v="#N/A"/>
    <n v="0"/>
    <n v="2"/>
  </r>
  <r>
    <x v="6"/>
    <s v="S6T71829"/>
    <s v="OPT562 1GIG-DVD-UPS-LAN-A6-CEN3(4HIGH)"/>
    <s v="1562RH129293"/>
    <s v="7144"/>
    <s v="Decs"/>
    <s v="Pilisi út 3/b"/>
    <s v="ok"/>
    <n v="2"/>
    <n v="2"/>
    <x v="7"/>
    <e v="#N/A"/>
    <n v="0"/>
    <n v="2"/>
  </r>
  <r>
    <x v="6"/>
    <s v="S6T71830"/>
    <s v="OPT562 1GIG-DVD-UPS-LAN-A6-CEN3(4HIGH)"/>
    <s v="1562RH129340"/>
    <s v="7140"/>
    <s v="Báta"/>
    <s v="Fő u. 182."/>
    <s v="ok"/>
    <n v="2"/>
    <n v="2"/>
    <x v="12"/>
    <e v="#N/A"/>
    <n v="0"/>
    <n v="2"/>
  </r>
  <r>
    <x v="6"/>
    <s v="S6T71831"/>
    <s v="Diebold-Opteva 560 ATM Outdoor"/>
    <s v="XXS6T71831"/>
    <s v="7143"/>
    <s v="Őcsény"/>
    <s v="Hősök tere 7."/>
    <s v="ok"/>
    <n v="2"/>
    <n v="2"/>
    <x v="7"/>
    <e v="#N/A"/>
    <n v="0"/>
    <n v="2"/>
  </r>
  <r>
    <x v="6"/>
    <s v="S6T71902"/>
    <s v="OPT562 1GIG-DVD-UPS-LAN-A6-CEN3(4HIGH)"/>
    <s v="1562RH142715"/>
    <s v="7122"/>
    <s v="Kakasd"/>
    <s v="Petőfi utca 327/a"/>
    <s v="ok"/>
    <n v="2"/>
    <n v="2"/>
    <x v="12"/>
    <e v="#N/A"/>
    <n v="0"/>
    <n v="2"/>
  </r>
  <r>
    <x v="6"/>
    <s v="S6T71905"/>
    <s v="ProCash 2050"/>
    <s v="XXS6T71905"/>
    <s v="7172"/>
    <s v="Harc"/>
    <s v="Vörösmarty utca 1."/>
    <s v="ok"/>
    <n v="2"/>
    <n v="2"/>
    <x v="7"/>
    <e v="#N/A"/>
    <n v="0"/>
    <n v="2"/>
  </r>
  <r>
    <x v="6"/>
    <s v="S6T72101"/>
    <s v="Diebold-Opteva 760 ATM Outdoor"/>
    <s v="1760RCF00012"/>
    <s v="9700"/>
    <s v="Szombathely"/>
    <s v="Petőfi S. u. 18."/>
    <s v="ok"/>
    <n v="2"/>
    <n v="2"/>
    <x v="8"/>
    <n v="1"/>
    <n v="1"/>
    <n v="1"/>
  </r>
  <r>
    <x v="6"/>
    <s v="S6T72102"/>
    <s v="Diebold-Opteva 760 ATM Outdoor"/>
    <s v="1760RCF00469"/>
    <s v="9700"/>
    <s v="Szombathely"/>
    <s v="Savaria tér 1/a"/>
    <s v="ok"/>
    <n v="2"/>
    <n v="2"/>
    <x v="8"/>
    <n v="1"/>
    <n v="1"/>
    <n v="1"/>
  </r>
  <r>
    <x v="6"/>
    <s v="S6T72103"/>
    <s v="Diebold-Opteva 760 ATM Outdoor"/>
    <s v="1760R3320416"/>
    <s v="9735"/>
    <s v="Csepreg"/>
    <s v="Széchenyi tér 4."/>
    <s v="ok"/>
    <n v="2"/>
    <n v="2"/>
    <x v="8"/>
    <n v="1"/>
    <n v="1"/>
    <n v="1"/>
  </r>
  <r>
    <x v="6"/>
    <s v="S6T72105"/>
    <s v="Diebold-Opteva 760 ATM Outdoor"/>
    <s v="1760R3303365"/>
    <s v="9700"/>
    <s v="Szombathely"/>
    <s v="Szűrcsapó u. 23."/>
    <s v="ok"/>
    <n v="2"/>
    <n v="2"/>
    <x v="8"/>
    <n v="1"/>
    <n v="1"/>
    <n v="1"/>
  </r>
  <r>
    <x v="6"/>
    <s v="S6T72106"/>
    <s v="Diebold-Opteva 760 ATM Outdoor"/>
    <s v="1760RH123397"/>
    <s v="9777"/>
    <s v="Rábahídvég"/>
    <s v="Táncsics M. út 2."/>
    <s v="ok"/>
    <n v="2"/>
    <n v="2"/>
    <x v="8"/>
    <e v="#N/A"/>
    <n v="0"/>
    <n v="2"/>
  </r>
  <r>
    <x v="6"/>
    <s v="S6T72107"/>
    <s v="Diebold-Opteva 760 ATM Outdoor"/>
    <s v="1760RH123396"/>
    <s v="9941"/>
    <s v="Őriszentpéter"/>
    <s v="Városszer 106."/>
    <s v="ok"/>
    <n v="2"/>
    <n v="2"/>
    <x v="9"/>
    <n v="1"/>
    <n v="1"/>
    <n v="1"/>
  </r>
  <r>
    <x v="6"/>
    <s v="S6T72108"/>
    <s v="Diebold-Opteva 760 ATM Outdoor"/>
    <s v="1760RCF00046"/>
    <s v="9800"/>
    <s v="Vasvár"/>
    <s v="Főszolgabíró tér 1."/>
    <s v="ok"/>
    <n v="2"/>
    <n v="2"/>
    <x v="9"/>
    <n v="1"/>
    <n v="1"/>
    <n v="1"/>
  </r>
  <r>
    <x v="6"/>
    <s v="S6T72109"/>
    <s v="Diebold-Opteva 760 ATM Outdoor"/>
    <s v="1760RCF00468"/>
    <s v="9900"/>
    <s v="Körmend"/>
    <s v="Thököli u. 1."/>
    <s v="ok"/>
    <n v="2"/>
    <n v="2"/>
    <x v="8"/>
    <n v="1"/>
    <n v="1"/>
    <n v="1"/>
  </r>
  <r>
    <x v="6"/>
    <s v="S6T72110"/>
    <s v="Diebold-Opteva 760 ATM Outdoor"/>
    <s v="1760RH123395"/>
    <s v="9970"/>
    <s v="Szentgotthárd"/>
    <s v="Hunyadi u. 5."/>
    <s v="ok"/>
    <n v="2"/>
    <n v="2"/>
    <x v="8"/>
    <n v="1"/>
    <n v="1"/>
    <n v="1"/>
  </r>
  <r>
    <x v="6"/>
    <s v="S6T72111"/>
    <s v="Diebold-1064ix ATM Indoor"/>
    <s v="4789-41-08325"/>
    <s v="9798"/>
    <s v="Ják"/>
    <s v="Szabadság tér 10."/>
    <s v="ok"/>
    <n v="2"/>
    <n v="2"/>
    <x v="8"/>
    <e v="#N/A"/>
    <n v="0"/>
    <n v="2"/>
  </r>
  <r>
    <x v="6"/>
    <s v="S6T72112"/>
    <s v="Diebold-1064ix ATM Indoor"/>
    <s v="4789-41-12642"/>
    <s v="9791"/>
    <s v="Torony"/>
    <s v="Rohonczi út 2."/>
    <s v="ok"/>
    <n v="2"/>
    <n v="2"/>
    <x v="8"/>
    <e v="#N/A"/>
    <n v="0"/>
    <n v="2"/>
  </r>
  <r>
    <x v="6"/>
    <s v="S6T72113"/>
    <s v="Diebold-Opteva 522 Lobby Cash Dispenser"/>
    <s v="1522FH100302"/>
    <s v="9724"/>
    <s v="Lukácsháza"/>
    <s v="Szombathelyi u. 6."/>
    <s v="ok"/>
    <n v="2"/>
    <n v="2"/>
    <x v="8"/>
    <e v="#N/A"/>
    <n v="0"/>
    <n v="2"/>
  </r>
  <r>
    <x v="6"/>
    <s v="S6T72601"/>
    <s v="Diebold-Opteva 760 ATM Outdoor"/>
    <s v="1760RH121766"/>
    <s v="9653"/>
    <s v="Répcelak"/>
    <s v="Petőfi S. u. 50."/>
    <s v="ok"/>
    <n v="2"/>
    <n v="2"/>
    <x v="8"/>
    <n v="1"/>
    <n v="1"/>
    <n v="1"/>
  </r>
  <r>
    <x v="6"/>
    <s v="S6T72602"/>
    <s v="OPT562 1GIG-DVD-UPS-LAN-A6-CEN3(4HIGH)"/>
    <s v="1562RH136372"/>
    <s v="9500"/>
    <s v="Celldömölk"/>
    <s v="Kossuth u. 18."/>
    <s v="ok"/>
    <n v="2"/>
    <n v="2"/>
    <x v="8"/>
    <n v="1"/>
    <n v="1"/>
    <n v="1"/>
  </r>
  <r>
    <x v="6"/>
    <s v="S6T72603"/>
    <s v="Diebold-Opteva 760 ATM Outdoor"/>
    <s v="1760RCF00479"/>
    <s v="9641"/>
    <s v="Rábapaty"/>
    <s v="Alsópatyi u. 59."/>
    <s v="ok"/>
    <n v="2"/>
    <n v="2"/>
    <x v="8"/>
    <e v="#N/A"/>
    <n v="0"/>
    <n v="2"/>
  </r>
  <r>
    <x v="6"/>
    <s v="S6T72701"/>
    <s v="Diebold-Opteva 562r 3 High-Standard ATM"/>
    <s v="562RRH100580"/>
    <s v="9600"/>
    <s v="Sárvár"/>
    <s v="Batthyány u. 42/b"/>
    <s v="ok"/>
    <n v="2"/>
    <n v="2"/>
    <x v="8"/>
    <n v="1"/>
    <n v="1"/>
    <n v="1"/>
  </r>
  <r>
    <x v="6"/>
    <s v="S6T72702"/>
    <s v="Diebold-Opteva 560 ATM Outdoor"/>
    <s v="1560RCF01060"/>
    <s v="9766"/>
    <s v="Rum"/>
    <s v="Béke u. 24."/>
    <s v="ok"/>
    <n v="2"/>
    <n v="2"/>
    <x v="8"/>
    <n v="1"/>
    <n v="1"/>
    <n v="1"/>
  </r>
  <r>
    <x v="6"/>
    <s v="S6T72703"/>
    <s v="OPT562 1GIG-DVD-UPS-LAN-A6-CEN3(4HIGH)"/>
    <s v="1562RH128670"/>
    <s v="9751"/>
    <s v="Vép"/>
    <s v="Szent Imre Herceg út 3."/>
    <s v="ok"/>
    <n v="2"/>
    <n v="2"/>
    <x v="8"/>
    <n v="1"/>
    <n v="1"/>
    <n v="1"/>
  </r>
  <r>
    <x v="6"/>
    <s v="S6T72704"/>
    <s v="OPT562 1GIG-DVD-UPS-LAN-A6-CEN3(4HIGH)"/>
    <s v="1562RH128669"/>
    <s v="9545"/>
    <s v="Jánosháza"/>
    <s v="Berzsenyi u. 3."/>
    <s v="ok"/>
    <n v="2"/>
    <n v="2"/>
    <x v="9"/>
    <n v="1"/>
    <n v="1"/>
    <n v="1"/>
  </r>
  <r>
    <x v="6"/>
    <s v="S6T72707"/>
    <s v="Diebold-Opteva 562r 3 High-Standard ATM"/>
    <s v="1562RH138183"/>
    <s v="9756"/>
    <s v="Ikervár"/>
    <s v="Rákóczi u. 5."/>
    <s v="ok"/>
    <n v="2"/>
    <n v="2"/>
    <x v="8"/>
    <n v="1"/>
    <n v="1"/>
    <n v="1"/>
  </r>
  <r>
    <x v="6"/>
    <s v="S6T72801"/>
    <s v="OPT562 1GIG-DVD-UPS-LAN-A6-CEN3(4HIGH)"/>
    <s v="1562RH147978"/>
    <s v="8258"/>
    <s v="Badacsonytomaj"/>
    <s v="Kert u. 18."/>
    <s v="ok"/>
    <n v="2"/>
    <n v="2"/>
    <x v="9"/>
    <n v="1"/>
    <n v="1"/>
    <n v="1"/>
  </r>
  <r>
    <x v="6"/>
    <s v="S6T72802"/>
    <s v="Diebold-Opteva 560 ATM Outdoor"/>
    <s v="1560RCF00822"/>
    <s v="8300"/>
    <s v="Tapolca"/>
    <s v="Fő tér 4."/>
    <s v="ok"/>
    <n v="2"/>
    <n v="2"/>
    <x v="9"/>
    <n v="1"/>
    <n v="1"/>
    <n v="1"/>
  </r>
  <r>
    <x v="6"/>
    <s v="S6T72803"/>
    <s v="OPT562 1GIG-DVD-UPS-LAN-A6-CEN3(4HIGH)"/>
    <s v="1562RH132667"/>
    <s v="8330"/>
    <s v="Sümeg"/>
    <s v="Kossuth u. 17."/>
    <s v="ok"/>
    <n v="2"/>
    <n v="2"/>
    <x v="9"/>
    <n v="1"/>
    <n v="1"/>
    <n v="1"/>
  </r>
  <r>
    <x v="6"/>
    <s v="S6T72804"/>
    <s v="OPT562 1GIG-DVD-UPS-LAN-A6-CEN3(4HIGH)"/>
    <s v="1562RH129341"/>
    <s v="8474"/>
    <s v="Csabrendek"/>
    <s v="Kossuth u. 3."/>
    <s v="ok"/>
    <n v="2"/>
    <n v="2"/>
    <x v="9"/>
    <n v="1"/>
    <n v="1"/>
    <n v="1"/>
  </r>
  <r>
    <x v="6"/>
    <s v="S6T72901"/>
    <s v="OPT562 1GIG-DVD-UPS-LAN-A6-CEN3(4HIGH)"/>
    <s v="1562RCF00942"/>
    <s v="8220"/>
    <s v="Balatonalmádi"/>
    <s v="Baross G. u 11"/>
    <s v="ok"/>
    <n v="2"/>
    <n v="2"/>
    <x v="4"/>
    <n v="1"/>
    <n v="1"/>
    <n v="1"/>
  </r>
  <r>
    <x v="6"/>
    <s v="S6T72905"/>
    <s v="OPT562 1GIG-DVD-UPS-LAN-A6-CEN3(4HIGH)"/>
    <s v="1562RH146857"/>
    <s v="8174"/>
    <s v="Balatonkenese"/>
    <s v="Fő út 21."/>
    <s v="ok"/>
    <n v="2"/>
    <n v="2"/>
    <x v="4"/>
    <n v="1"/>
    <n v="1"/>
    <n v="1"/>
  </r>
  <r>
    <x v="6"/>
    <s v="S6T72906"/>
    <s v="OPT562 1GIG-DVD-UPS-LAN-A6-CEN3(4HIGH)"/>
    <s v="1562RH132934"/>
    <s v="8000"/>
    <s v="Székesfehérvár"/>
    <s v="Vörösmarty tér 1."/>
    <s v="ok"/>
    <n v="2"/>
    <n v="2"/>
    <x v="4"/>
    <e v="#N/A"/>
    <n v="0"/>
    <n v="2"/>
  </r>
  <r>
    <x v="6"/>
    <s v="S6T73601"/>
    <s v="Diebold-Opteva 560 ATM Outdoor"/>
    <s v="1560RCF00830"/>
    <s v="8444"/>
    <s v="Szentgál"/>
    <s v="Fő u. 30."/>
    <s v="ok"/>
    <n v="2"/>
    <n v="2"/>
    <x v="4"/>
    <e v="#N/A"/>
    <n v="0"/>
    <n v="2"/>
  </r>
  <r>
    <x v="6"/>
    <s v="S6T73605"/>
    <s v="OPT562 1GIG-DVD-UPS-LAN-A6-CEN3(4HIGH)"/>
    <s v="1562RH126030"/>
    <s v="1093"/>
    <s v="Budapest"/>
    <s v="Czuczor utca 2-10."/>
    <s v="ok"/>
    <n v="2"/>
    <n v="2"/>
    <x v="17"/>
    <n v="1"/>
    <n v="1"/>
    <n v="1"/>
  </r>
  <r>
    <x v="6"/>
    <s v="S6T73608"/>
    <s v="OPT562 1GIG-DVD-UPS-LAN-A6-CEN3(4HIGH)"/>
    <s v="1562RH141913"/>
    <s v="8500"/>
    <s v="Pápa"/>
    <s v="Korona u 49."/>
    <s v="ok"/>
    <n v="2"/>
    <n v="2"/>
    <x v="8"/>
    <n v="1"/>
    <n v="1"/>
    <n v="1"/>
  </r>
  <r>
    <x v="6"/>
    <s v="S6T73611"/>
    <s v="Diebold-Opteva 560 ATM Outdoor"/>
    <s v="1560R3302811"/>
    <s v="1223"/>
    <s v="Budapest"/>
    <s v="Nagytétényi út 37-48."/>
    <s v="ok"/>
    <n v="2"/>
    <n v="2"/>
    <x v="17"/>
    <e v="#N/A"/>
    <n v="0"/>
    <n v="2"/>
  </r>
  <r>
    <x v="6"/>
    <s v="S6T73612"/>
    <s v="OPT562 1GIG-DVD-UPS-LAN-A6-CEN3(4HIGH)"/>
    <s v="1562RH157850"/>
    <s v="8060"/>
    <s v="Mór"/>
    <s v="Deák F. u. 28."/>
    <s v="ok"/>
    <n v="2"/>
    <n v="2"/>
    <x v="4"/>
    <n v="1"/>
    <n v="1"/>
    <n v="1"/>
  </r>
  <r>
    <x v="6"/>
    <s v="S6T73613"/>
    <s v="Diebold-Opteva 560 ATM Outdoor"/>
    <s v="1560R3301865"/>
    <s v="8230"/>
    <s v="Balatonfüred"/>
    <s v="Kossuth Lajos u. 20."/>
    <s v="ok"/>
    <n v="2"/>
    <n v="2"/>
    <x v="4"/>
    <e v="#N/A"/>
    <n v="0"/>
    <n v="2"/>
  </r>
  <r>
    <x v="6"/>
    <s v="S6T73614"/>
    <s v="Diebold-Opteva 520 ATM Indoor"/>
    <s v="1520FCF00163"/>
    <s v="1124"/>
    <s v="Budapest"/>
    <s v="Németvölgyi út 97."/>
    <s v="ok"/>
    <n v="2"/>
    <n v="2"/>
    <x v="0"/>
    <n v="1"/>
    <n v="1"/>
    <n v="1"/>
  </r>
  <r>
    <x v="6"/>
    <s v="S6T73615"/>
    <s v="Diebold-Opteva 560 ATM Outdoor"/>
    <s v="1560R3301581"/>
    <s v="8093"/>
    <s v="Lovasberény"/>
    <s v="Rákóczi u. 1/a."/>
    <s v="ok"/>
    <n v="2"/>
    <n v="2"/>
    <x v="4"/>
    <e v="#N/A"/>
    <n v="0"/>
    <n v="2"/>
  </r>
  <r>
    <x v="6"/>
    <s v="S6T73616"/>
    <s v="Diebold-Opteva 520 ATM Indoor"/>
    <s v="1520FH123001"/>
    <s v="8083"/>
    <s v="Csákvár"/>
    <s v="Szabadság tér 11."/>
    <s v="ok"/>
    <n v="2"/>
    <n v="2"/>
    <x v="4"/>
    <n v="1"/>
    <n v="1"/>
    <n v="1"/>
  </r>
  <r>
    <x v="6"/>
    <s v="S6T73618"/>
    <s v="ProCash 285"/>
    <s v="56DY300087"/>
    <s v="2085"/>
    <s v="Pilisvörösvár"/>
    <s v="Fő u. 69."/>
    <s v="ok"/>
    <n v="2"/>
    <n v="2"/>
    <x v="5"/>
    <e v="#N/A"/>
    <n v="0"/>
    <n v="2"/>
  </r>
  <r>
    <x v="6"/>
    <s v="S6T73619"/>
    <s v="OPT562 1GIG-DVD-UPS-LAN-A6-CEN3(4HIGH)"/>
    <s v="1562RH145966"/>
    <s v="1201"/>
    <s v="Budapest"/>
    <s v="Kossuth L. u. 32."/>
    <s v="ok"/>
    <n v="2"/>
    <n v="2"/>
    <x v="15"/>
    <n v="1"/>
    <n v="1"/>
    <n v="1"/>
  </r>
  <r>
    <x v="6"/>
    <s v="S6T73620"/>
    <s v="OPT562 1GIG-DVD-UPS-LAN-A6-CEN3(4HIGH)"/>
    <s v="1562RH131302"/>
    <s v="8000"/>
    <s v="Székesfehérvár"/>
    <s v="Budai u. 42."/>
    <s v="ok"/>
    <n v="2"/>
    <n v="2"/>
    <x v="4"/>
    <n v="1"/>
    <n v="1"/>
    <n v="1"/>
  </r>
  <r>
    <x v="6"/>
    <s v="S6T73903"/>
    <s v="OPT562 1GIG-DVD-UPS-LAN-A6-CEN3(4HIGH)"/>
    <s v="1562RH149307"/>
    <s v="8500"/>
    <s v="Pápa"/>
    <s v="Zimmermann u 1."/>
    <s v="ok"/>
    <n v="2"/>
    <n v="2"/>
    <x v="8"/>
    <n v="1"/>
    <n v="1"/>
    <n v="1"/>
  </r>
  <r>
    <x v="6"/>
    <s v="S6T73904"/>
    <s v="OPT562 1GIG-DVD-UPS-LAN-A6-CEN3(4HIGH)"/>
    <s v="1562RCF00944"/>
    <s v="8200"/>
    <s v="Veszprém"/>
    <s v="Munkácsi u.1."/>
    <s v="ok"/>
    <n v="2"/>
    <n v="2"/>
    <x v="4"/>
    <n v="1"/>
    <n v="1"/>
    <n v="1"/>
  </r>
  <r>
    <x v="6"/>
    <s v="S6T73905"/>
    <s v="OPT562 1GIG-DVD-UPS-LAN-A6-CEN3(4HIGH)"/>
    <s v="1760RH123652"/>
    <s v="8412"/>
    <s v="Gyulafirátót"/>
    <s v="Posta u. 11."/>
    <s v="ok"/>
    <n v="2"/>
    <n v="2"/>
    <x v="4"/>
    <n v="1"/>
    <n v="1"/>
    <n v="1"/>
  </r>
  <r>
    <x v="6"/>
    <s v="S6T73906"/>
    <s v="OPT562 1GIG-DVD-UPS-LAN-A6-CEN3(4HIGH)"/>
    <s v="1562RCF00951"/>
    <s v="8175"/>
    <s v="Balatonfűzfő"/>
    <s v="Bugyogó Forrás u. 1."/>
    <s v="ok"/>
    <n v="2"/>
    <n v="2"/>
    <x v="4"/>
    <e v="#N/A"/>
    <n v="0"/>
    <n v="2"/>
  </r>
  <r>
    <x v="6"/>
    <s v="S6T73907"/>
    <s v="OPT562 1GIG-DVD-UPS-LAN-A6-CEN3(4HIGH)"/>
    <s v="1562R3320358"/>
    <s v="8500"/>
    <s v="Pápa"/>
    <s v="Wesselényi u 20b"/>
    <s v="ok"/>
    <n v="2"/>
    <n v="2"/>
    <x v="8"/>
    <n v="1"/>
    <n v="1"/>
    <n v="1"/>
  </r>
  <r>
    <x v="6"/>
    <s v="S6T73909"/>
    <s v="OPT562 1GIG-DVD-UPS-LAN-A6-CEN3(4HIGH)"/>
    <s v="1562RH149306"/>
    <s v="8417"/>
    <s v="Csetény"/>
    <s v="Hunyadi út 1."/>
    <s v="ok"/>
    <n v="2"/>
    <n v="2"/>
    <x v="4"/>
    <e v="#N/A"/>
    <n v="0"/>
    <n v="2"/>
  </r>
  <r>
    <x v="6"/>
    <s v="S6T73912"/>
    <s v="OPT562 1GIG-DVD-UPS-LAN-A6-CEN3(4HIGH)"/>
    <s v="1562RH145155"/>
    <s v="8200"/>
    <s v="Veszprém"/>
    <s v="Egyetem utca 19."/>
    <s v="ok"/>
    <n v="2"/>
    <n v="2"/>
    <x v="4"/>
    <n v="1"/>
    <n v="1"/>
    <n v="1"/>
  </r>
  <r>
    <x v="6"/>
    <s v="S6T73913"/>
    <s v="OPT562 1GIG-DVD-UPS-LAN-A6-CEN3(4HIGH)"/>
    <s v="1562RH149305"/>
    <s v="8558"/>
    <s v="Csót"/>
    <s v="Rákóczi út 39."/>
    <s v="ok"/>
    <n v="2"/>
    <n v="2"/>
    <x v="8"/>
    <e v="#N/A"/>
    <n v="0"/>
    <n v="2"/>
  </r>
  <r>
    <x v="6"/>
    <s v="S6T74002"/>
    <s v="OPT562 1GIG-DVD-UPS-LAN-A6-CEN3(4HIGH)"/>
    <s v="1562R3320464"/>
    <s v="8945"/>
    <s v="Bak"/>
    <s v="Széchenyi tér 2."/>
    <s v="ok"/>
    <n v="2"/>
    <n v="2"/>
    <x v="9"/>
    <n v="1"/>
    <n v="1"/>
    <n v="1"/>
  </r>
  <r>
    <x v="6"/>
    <s v="S6T74004"/>
    <s v="Diebold-Opteva 560 ATM Outdoor"/>
    <s v="1560FCF00823"/>
    <s v="8948"/>
    <s v="Nova"/>
    <s v="Göcseji u. 2."/>
    <s v="ok"/>
    <n v="2"/>
    <n v="2"/>
    <x v="9"/>
    <n v="1"/>
    <n v="1"/>
    <n v="1"/>
  </r>
  <r>
    <x v="6"/>
    <s v="S6T74005"/>
    <s v="OPT562 1GIG-DVD-UPS-LAN-A6-CEN3(4HIGH)"/>
    <s v="1562RH131301"/>
    <s v="8761"/>
    <s v="Pacsa"/>
    <s v="József Attila utca (Áfész Áruház)"/>
    <s v="ok"/>
    <n v="2"/>
    <n v="2"/>
    <x v="9"/>
    <n v="1"/>
    <n v="1"/>
    <n v="1"/>
  </r>
  <r>
    <x v="6"/>
    <s v="S6T74008"/>
    <s v="OPT562 1GIG-DVD-UPS-LAN-A6-CEN3(4HIGH)"/>
    <s v="XXS6T74008"/>
    <s v="8771"/>
    <s v="Hahót"/>
    <s v="Kossuth tér 2."/>
    <s v="ok"/>
    <n v="2"/>
    <n v="2"/>
    <x v="9"/>
    <e v="#N/A"/>
    <n v="0"/>
    <n v="2"/>
  </r>
  <r>
    <x v="6"/>
    <s v="S6T74009"/>
    <s v="OPT562 1GIG-DVD-UPS-LAN-A6-CEN3(4HIGH)"/>
    <s v="1562R3320466"/>
    <s v="8897"/>
    <s v="Söjtör"/>
    <s v="Deák utca 142."/>
    <s v="ok"/>
    <n v="2"/>
    <n v="2"/>
    <x v="9"/>
    <n v="1"/>
    <n v="1"/>
    <n v="1"/>
  </r>
  <r>
    <x v="6"/>
    <s v="S6T74010"/>
    <s v="OPT562 1GIG-DVD-UPS-LAN-A6-CEN3(4HIGH)"/>
    <s v="1562RH145751"/>
    <s v="8856"/>
    <s v="Surd"/>
    <s v="Kossuth Lajos utca 9."/>
    <s v="ok"/>
    <n v="2"/>
    <n v="2"/>
    <x v="9"/>
    <n v="1"/>
    <n v="1"/>
    <n v="1"/>
  </r>
  <r>
    <x v="6"/>
    <s v="S6T74011"/>
    <s v="OPT562 1GIG-DVD-UPS-LAN-A6-CEN3(4HIGH)"/>
    <s v="XXS6T74011"/>
    <s v="8925"/>
    <s v="Búcsúszentlászló"/>
    <s v="Széchenyi u. 7."/>
    <s v="ok"/>
    <n v="2"/>
    <n v="2"/>
    <x v="9"/>
    <e v="#N/A"/>
    <n v="0"/>
    <n v="2"/>
  </r>
  <r>
    <x v="6"/>
    <s v="S6T74012"/>
    <s v="OPT562 1GIG-DVD-UPS-LAN-A6-CEN3(4HIGH)"/>
    <s v="XXS6T74012"/>
    <s v="8834"/>
    <s v="Murakeresztúr"/>
    <s v="Állomás tér 1."/>
    <s v="ok"/>
    <n v="2"/>
    <n v="2"/>
    <x v="9"/>
    <e v="#N/A"/>
    <n v="0"/>
    <n v="2"/>
  </r>
  <r>
    <x v="6"/>
    <s v="S6T74014"/>
    <s v="OPT562 1GIG-DVD-UPS-LAN-A6-CEN3(4HIGH)"/>
    <s v="1562RH142387"/>
    <s v="8935"/>
    <s v="Nagykapornak"/>
    <s v="Fő utca 30."/>
    <s v="ok"/>
    <n v="2"/>
    <n v="2"/>
    <x v="9"/>
    <n v="1"/>
    <n v="1"/>
    <n v="1"/>
  </r>
  <r>
    <x v="6"/>
    <s v="S6T74015"/>
    <s v="OPT562 1GIG-DVD-UPS-LAN-A6-CEN3(4HIGH)"/>
    <s v="1562RH159125"/>
    <s v="8945"/>
    <s v="Bak"/>
    <s v="Széchenyi tér 2."/>
    <s v="ok"/>
    <n v="2"/>
    <n v="2"/>
    <x v="9"/>
    <e v="#N/A"/>
    <n v="0"/>
    <n v="2"/>
  </r>
  <r>
    <x v="6"/>
    <s v="S6T74505"/>
    <s v="Diebold-Questar 3410 ATM"/>
    <s v="XXS6T74505"/>
    <s v="8900"/>
    <s v="Zalaegerszeg"/>
    <s v="Ady u. 43."/>
    <s v="ok"/>
    <n v="2"/>
    <n v="2"/>
    <x v="9"/>
    <e v="#N/A"/>
    <n v="0"/>
    <n v="2"/>
  </r>
  <r>
    <x v="6"/>
    <s v="S6T74507"/>
    <s v="Diebold-Opteva 760 ATM Outdoor"/>
    <s v="1760RH128260"/>
    <s v="8391"/>
    <s v="Sármellék"/>
    <s v="Dózsa u. 317."/>
    <s v="ok"/>
    <n v="2"/>
    <n v="2"/>
    <x v="9"/>
    <n v="1"/>
    <n v="1"/>
    <n v="1"/>
  </r>
  <r>
    <x v="6"/>
    <s v="S6T74508"/>
    <s v="OPT562 1GIG-DVD-UPS-LAN-A6-CEN3(4HIGH)"/>
    <s v="1562RH145752"/>
    <s v="8315"/>
    <s v="Gyenesdiás"/>
    <s v="Kossuth u. 45."/>
    <s v="ok"/>
    <n v="2"/>
    <n v="2"/>
    <x v="9"/>
    <n v="1"/>
    <n v="1"/>
    <n v="1"/>
  </r>
  <r>
    <x v="6"/>
    <s v="S6T74509"/>
    <s v="ProCash 2050"/>
    <s v="XXS6T74509"/>
    <s v="8788"/>
    <s v="Zalaszentlászló"/>
    <s v="Kossuth u. 18."/>
    <s v="ok"/>
    <n v="2"/>
    <n v="2"/>
    <x v="9"/>
    <n v="1"/>
    <n v="1"/>
    <n v="1"/>
  </r>
  <r>
    <x v="6"/>
    <s v="S6T74511"/>
    <s v="OPT562 1GIG-DVD-UPS-LAN-A6-CEN3(4HIGH)"/>
    <s v="1562RH142403"/>
    <s v="8314"/>
    <s v="Vonyarcvashegy"/>
    <s v="Kossuth u. 42."/>
    <s v="ok"/>
    <n v="2"/>
    <n v="2"/>
    <x v="9"/>
    <n v="1"/>
    <n v="1"/>
    <n v="1"/>
  </r>
  <r>
    <x v="6"/>
    <s v="S6T75001"/>
    <s v="OPT562 1GIG-DVD-UPS-LAN-A6-CEN3(4HIGH)"/>
    <s v="1562RCF00038"/>
    <s v="8868"/>
    <s v="Letenye"/>
    <s v="Kossuth u. 15."/>
    <s v="ok"/>
    <n v="2"/>
    <n v="2"/>
    <x v="9"/>
    <n v="1"/>
    <n v="1"/>
    <n v="1"/>
  </r>
  <r>
    <x v="6"/>
    <s v="S6T75002"/>
    <s v="OPT562 1GIG-DVD-UPS-LAN-A6-CEN3(4HIGH)"/>
    <s v="1562RH130985"/>
    <s v="8960"/>
    <s v="Lenti"/>
    <s v="Kossuth u. 4."/>
    <s v="ok"/>
    <n v="2"/>
    <n v="2"/>
    <x v="9"/>
    <n v="1"/>
    <n v="1"/>
    <n v="1"/>
  </r>
  <r>
    <x v="6"/>
    <s v="S6T75003"/>
    <s v="ProCash 2050"/>
    <s v="XXS6T75003"/>
    <s v="8754"/>
    <s v="Galambok"/>
    <s v="Ady Endre út 4."/>
    <s v="ok"/>
    <n v="2"/>
    <n v="2"/>
    <x v="9"/>
    <n v="1"/>
    <n v="1"/>
    <n v="1"/>
  </r>
  <r>
    <x v="6"/>
    <s v="S6T75502"/>
    <s v="OPT562 1GIG-DVD-UPS-LAN-A6-CEN3(4HIGH)"/>
    <s v="1562RH145156"/>
    <s v="8999"/>
    <s v="Zalalövő"/>
    <s v="Petőfi út 2."/>
    <s v="ok"/>
    <n v="2"/>
    <n v="2"/>
    <x v="9"/>
    <n v="1"/>
    <n v="1"/>
    <n v="1"/>
  </r>
  <r>
    <x v="6"/>
    <s v="S6T75503"/>
    <s v="Diebold-Opteva 560 ATM Outdoor"/>
    <s v="1560R3302368"/>
    <s v="8796"/>
    <s v="Türje"/>
    <s v="Szabadság tér 4."/>
    <s v="ok"/>
    <n v="2"/>
    <n v="2"/>
    <x v="9"/>
    <n v="1"/>
    <n v="1"/>
    <n v="1"/>
  </r>
  <r>
    <x v="6"/>
    <s v="S6T75504"/>
    <s v="OPT562 1GIG-DVD-UPS-LAN-A6-CEN3(4HIGH)"/>
    <s v="1562RH152824"/>
    <s v="8790"/>
    <s v="Zalaszentgrót"/>
    <s v="Nefelejcs utca 1."/>
    <s v="ok"/>
    <n v="2"/>
    <n v="2"/>
    <x v="9"/>
    <n v="1"/>
    <n v="1"/>
    <n v="1"/>
  </r>
  <r>
    <x v="7"/>
    <s v="S6T18401"/>
    <s v="Diebold-Opteva 520 ATM Indoor"/>
    <s v="1520FH120085"/>
    <s v="1062"/>
    <s v="Budapest"/>
    <s v="Váci út 1-3"/>
    <s v="ok"/>
    <n v="1"/>
    <n v="1"/>
    <x v="13"/>
    <n v="1"/>
    <n v="1"/>
    <n v="0"/>
  </r>
  <r>
    <x v="7"/>
    <s v="S6T18402"/>
    <s v="Diebold-Opteva 520 ATM Indoor"/>
    <s v="1520F3311674"/>
    <s v="9024"/>
    <s v="Győr"/>
    <s v="Baross G. u. 43"/>
    <s v="ok"/>
    <n v="1"/>
    <n v="1"/>
    <x v="19"/>
    <e v="#N/A"/>
    <n v="0"/>
    <n v="1"/>
  </r>
  <r>
    <x v="7"/>
    <s v="S6T18403"/>
    <s v="OPT562 1GIG-DVD-UPS-LAN-A6-CEN3(4HIGH)"/>
    <s v="1562R3300028"/>
    <s v="9700"/>
    <s v="Szombathely"/>
    <s v="Berzsenyi tér 2."/>
    <s v="ok"/>
    <n v="1"/>
    <n v="1"/>
    <x v="8"/>
    <e v="#N/A"/>
    <n v="0"/>
    <n v="1"/>
  </r>
  <r>
    <x v="7"/>
    <s v="S6T18404"/>
    <s v="Diebold-Opteva 520 ATM Indoor"/>
    <s v="1520FCF00443"/>
    <s v="1027"/>
    <s v="Budapest"/>
    <s v="Henger u. 2"/>
    <s v="ok"/>
    <n v="1"/>
    <n v="1"/>
    <x v="0"/>
    <n v="1"/>
    <n v="1"/>
    <n v="0"/>
  </r>
  <r>
    <x v="7"/>
    <s v="S6T18405"/>
    <s v="Diebold-Opteva 520 ATM Indoor"/>
    <s v="1520FCF00447"/>
    <s v="4026"/>
    <s v="Debrecen"/>
    <s v="Bem tér 14. földszint 1-3"/>
    <s v="ok"/>
    <n v="1"/>
    <n v="1"/>
    <x v="16"/>
    <e v="#N/A"/>
    <n v="0"/>
    <n v="1"/>
  </r>
  <r>
    <x v="7"/>
    <s v="S6T18406"/>
    <s v="OPT562 1GIG-DVD-UPS-LAN-A6-CEN3(4HIGH)"/>
    <s v="1562R3300029"/>
    <s v="6000"/>
    <s v="Kecskemét"/>
    <s v="Kisfaludy u. 8."/>
    <s v="ok"/>
    <n v="1"/>
    <n v="1"/>
    <x v="11"/>
    <e v="#N/A"/>
    <n v="0"/>
    <n v="1"/>
  </r>
  <r>
    <x v="7"/>
    <s v="S6T18407"/>
    <s v="OPT562 1GIG-DVD-UPS-LAN-A6-CEN3(4HIGH)"/>
    <s v="1522FH113196"/>
    <s v="6720"/>
    <s v="Szeged"/>
    <s v="Klauzál tér 2."/>
    <s v="ok"/>
    <n v="1"/>
    <n v="1"/>
    <x v="3"/>
    <e v="#N/A"/>
    <n v="0"/>
    <n v="1"/>
  </r>
  <r>
    <x v="7"/>
    <s v="S6T18408"/>
    <s v="Diebold-Opteva 522 Lobby Cash Dispenser"/>
    <s v="1522FH116005"/>
    <s v="8000"/>
    <s v="Székesfehérvár"/>
    <s v="Rákóczi út 1."/>
    <s v="ok"/>
    <n v="1"/>
    <n v="1"/>
    <x v="4"/>
    <e v="#N/A"/>
    <n v="0"/>
    <n v="1"/>
  </r>
  <r>
    <x v="8"/>
    <s v="DBD82220001"/>
    <s v="Diebold-Opteva 828 FL Cash Recycler"/>
    <s v="1828FH101652"/>
    <s v="1033"/>
    <s v="Budapest"/>
    <s v="Flórián tér 15."/>
    <s v="ok"/>
    <n v="2"/>
    <n v="2"/>
    <x v="0"/>
    <n v="1"/>
    <n v="1"/>
    <n v="1"/>
  </r>
  <r>
    <x v="8"/>
    <s v="DBD82220003"/>
    <s v="Diebold-Opteva 828 FL Cash Recycler"/>
    <s v="1828FH101655"/>
    <s v="1173"/>
    <s v="Budapest"/>
    <s v="Ferihegyi út 93."/>
    <s v="ok"/>
    <n v="2"/>
    <n v="2"/>
    <x v="10"/>
    <n v="1"/>
    <n v="1"/>
    <n v="1"/>
  </r>
  <r>
    <x v="8"/>
    <s v="DBD82220004"/>
    <s v="Diebold-Opteva 828 FL Cash Recycler"/>
    <s v="1828FH101691"/>
    <s v="5650"/>
    <s v="Mezőberény"/>
    <s v="Kossuth tér 12."/>
    <s v="ok"/>
    <n v="2"/>
    <n v="2"/>
    <x v="11"/>
    <e v="#N/A"/>
    <n v="0"/>
    <n v="2"/>
  </r>
  <r>
    <x v="8"/>
    <s v="DBD82220007"/>
    <s v="Diebold-Opteva 828 FL Cash Recycler"/>
    <s v="1828FH101654"/>
    <s v="1152"/>
    <s v="Budapest"/>
    <s v="Szentmihályi út 131."/>
    <s v="ok"/>
    <n v="2"/>
    <n v="2"/>
    <x v="14"/>
    <e v="#N/A"/>
    <n v="0"/>
    <n v="2"/>
  </r>
  <r>
    <x v="8"/>
    <s v="DBD82220008"/>
    <s v="Diebold-Opteva 828 FL Cash Recycler"/>
    <s v="1828FH101693"/>
    <s v="1062"/>
    <s v="Budapest"/>
    <s v="Váci út 1-3."/>
    <s v="ok"/>
    <n v="2"/>
    <n v="2"/>
    <x v="13"/>
    <e v="#N/A"/>
    <n v="0"/>
    <n v="2"/>
  </r>
  <r>
    <x v="8"/>
    <s v="DBD82220009"/>
    <s v="Diebold-Opteva 828 FL Cash Recycler"/>
    <s v="1828FH101692"/>
    <s v="8600"/>
    <s v="Siófok"/>
    <s v="Fő tér 10/a"/>
    <s v="ok"/>
    <n v="2"/>
    <n v="2"/>
    <x v="4"/>
    <n v="1"/>
    <n v="1"/>
    <n v="1"/>
  </r>
  <r>
    <x v="8"/>
    <s v="DBD82220010"/>
    <s v="Diebold-Opteva 828 FL Cash Recycler"/>
    <s v="1828FH101696"/>
    <s v="9700"/>
    <s v="Szombathely"/>
    <s v="Fő tér 3-5."/>
    <s v="ok"/>
    <n v="2"/>
    <n v="2"/>
    <x v="8"/>
    <n v="1"/>
    <n v="1"/>
    <n v="1"/>
  </r>
  <r>
    <x v="8"/>
    <s v="DBD82220011"/>
    <s v="Diebold-Opteva 828 FL Cash Recycler"/>
    <s v="1828FH101694"/>
    <s v="7621"/>
    <s v="Pécs"/>
    <s v="Rákóczi út 44."/>
    <s v="ok"/>
    <n v="2"/>
    <n v="2"/>
    <x v="12"/>
    <n v="1"/>
    <n v="1"/>
    <n v="1"/>
  </r>
  <r>
    <x v="8"/>
    <s v="DBD82220012"/>
    <s v="Diebold-Opteva 828 FL Cash Recycler"/>
    <s v="1828FH101695"/>
    <s v="4400"/>
    <s v="Nyíregyháza"/>
    <s v="Dózsa Gy. u. 2."/>
    <s v="ok"/>
    <n v="2"/>
    <n v="2"/>
    <x v="1"/>
    <n v="1"/>
    <n v="1"/>
    <n v="1"/>
  </r>
  <r>
    <x v="8"/>
    <s v="DBD82220013"/>
    <s v="Diebold-Opteva 828 FL Cash Recycler"/>
    <s v="1828FH101697"/>
    <s v="1239"/>
    <s v="Budapest"/>
    <s v="Bevásárló u. 2-6."/>
    <s v="ok"/>
    <n v="2"/>
    <n v="2"/>
    <x v="15"/>
    <n v="1"/>
    <n v="1"/>
    <n v="1"/>
  </r>
  <r>
    <x v="8"/>
    <s v="DBD82220014"/>
    <s v="Diebold-Opteva 828 FL Cash Recycler"/>
    <s v="1828FH101715"/>
    <s v="8900"/>
    <s v="Zalaegerszeg"/>
    <s v="Kisfaludy u. 15-17."/>
    <s v="ok"/>
    <n v="2"/>
    <n v="2"/>
    <x v="9"/>
    <e v="#N/A"/>
    <n v="0"/>
    <n v="2"/>
  </r>
  <r>
    <x v="8"/>
    <s v="DBD82220015"/>
    <s v="Diebold-Opteva 828 FL Cash Recycler"/>
    <s v="1828FH101703"/>
    <s v="2600"/>
    <s v="Vác"/>
    <s v="Széchenyi u. 3-7."/>
    <s v="ok"/>
    <n v="2"/>
    <n v="2"/>
    <x v="6"/>
    <e v="#N/A"/>
    <n v="0"/>
    <n v="2"/>
  </r>
  <r>
    <x v="8"/>
    <s v="DBD82220016"/>
    <s v="Diebold-Opteva 828 FL Cash Recycler"/>
    <s v="1828FH101699"/>
    <s v="7400"/>
    <s v="Kaposvár"/>
    <s v="Széchenyi tér 2."/>
    <s v="ok"/>
    <n v="2"/>
    <n v="2"/>
    <x v="12"/>
    <n v="1"/>
    <n v="1"/>
    <n v="1"/>
  </r>
  <r>
    <x v="8"/>
    <s v="DBD82220017"/>
    <s v="Diebold-Opteva 828 FL Cash Recycler"/>
    <s v="1828FH101701"/>
    <s v="5700"/>
    <s v="Gyula"/>
    <s v="Bodoky u. és Béke sugárút sarok 9."/>
    <s v="ok"/>
    <n v="2"/>
    <n v="2"/>
    <x v="3"/>
    <n v="1"/>
    <n v="1"/>
    <n v="1"/>
  </r>
  <r>
    <x v="8"/>
    <s v="DBD82220018"/>
    <s v="Diebold-Opteva 828 FL Cash Recycler"/>
    <s v="1828FH101719"/>
    <s v="4032"/>
    <s v="Debrecen"/>
    <s v="Füredi u. 43."/>
    <s v="ok"/>
    <n v="2"/>
    <n v="2"/>
    <x v="16"/>
    <e v="#N/A"/>
    <n v="0"/>
    <n v="2"/>
  </r>
  <r>
    <x v="8"/>
    <s v="DBD82220019"/>
    <s v="Diebold-Opteva 828 FL Cash Recycler"/>
    <s v="1828FH101726"/>
    <s v="6400"/>
    <s v="Kiskunhalas"/>
    <s v="Sétáló u. 7."/>
    <s v="ok"/>
    <n v="2"/>
    <n v="2"/>
    <x v="7"/>
    <e v="#N/A"/>
    <n v="0"/>
    <n v="2"/>
  </r>
  <r>
    <x v="8"/>
    <s v="DBD82220020"/>
    <s v="Diebold-Opteva 828 FL Cash Recycler"/>
    <s v="1828FH101728"/>
    <s v="3300"/>
    <s v="Eger"/>
    <s v="Törvényház u. 4."/>
    <s v="ok"/>
    <n v="2"/>
    <n v="2"/>
    <x v="2"/>
    <n v="1"/>
    <n v="1"/>
    <n v="1"/>
  </r>
  <r>
    <x v="8"/>
    <s v="DBD82220021"/>
    <s v="Diebold-Opteva 828 FL Cash Recycler"/>
    <s v="1828FH101727"/>
    <s v="7100"/>
    <s v="Szekszárd"/>
    <s v="Szent István tér 5-7."/>
    <s v="ok"/>
    <n v="2"/>
    <n v="2"/>
    <x v="7"/>
    <n v="1"/>
    <n v="1"/>
    <n v="1"/>
  </r>
  <r>
    <x v="8"/>
    <s v="DBD82220022"/>
    <s v="Diebold-Opteva 828 FL Cash Recycler"/>
    <s v="1828FH101729"/>
    <s v="2400"/>
    <s v="Dunaújváros"/>
    <s v="Dózsa György u. 4/e."/>
    <s v="ok"/>
    <n v="2"/>
    <n v="2"/>
    <x v="7"/>
    <e v="#N/A"/>
    <n v="0"/>
    <n v="2"/>
  </r>
  <r>
    <x v="8"/>
    <s v="DBD82220023"/>
    <s v="Diebold-Opteva 828 FL Cash Recycler"/>
    <s v="1828FH101732"/>
    <s v="2310"/>
    <s v="Szigetszentmiklós"/>
    <s v="Ifjúság útja 17."/>
    <s v="ok"/>
    <n v="2"/>
    <n v="2"/>
    <x v="15"/>
    <n v="1"/>
    <n v="1"/>
    <n v="1"/>
  </r>
  <r>
    <x v="8"/>
    <s v="DBD82220024"/>
    <s v="Diebold-Opteva 828 FL Cash Recycler"/>
    <s v="1828FH101714"/>
    <s v="8800"/>
    <s v="Nagykanizsa"/>
    <s v="Deák tér 15."/>
    <s v="ok"/>
    <n v="2"/>
    <n v="2"/>
    <x v="9"/>
    <n v="1"/>
    <n v="1"/>
    <n v="1"/>
  </r>
  <r>
    <x v="8"/>
    <s v="DBD82220025"/>
    <s v="Diebold-Opteva 828 FL Cash Recycler"/>
    <s v="1828FH101713"/>
    <s v="1085"/>
    <s v="Budapest"/>
    <s v="József krt. 33."/>
    <s v="ok"/>
    <n v="2"/>
    <n v="2"/>
    <x v="13"/>
    <e v="#N/A"/>
    <n v="0"/>
    <n v="2"/>
  </r>
  <r>
    <x v="8"/>
    <s v="DBD82220026"/>
    <s v="Diebold-Opteva 828 FL Cash Recycler"/>
    <s v="1828FH101700"/>
    <s v="1173"/>
    <s v="Budapest"/>
    <s v="Pesti út 5-7."/>
    <s v="ok"/>
    <n v="2"/>
    <n v="2"/>
    <x v="10"/>
    <n v="1"/>
    <n v="1"/>
    <n v="1"/>
  </r>
  <r>
    <x v="8"/>
    <s v="DBD82220027"/>
    <s v="Diebold-Opteva 828 FL Cash Recycler"/>
    <s v="1828FH101749"/>
    <s v="2120"/>
    <s v="Dunakeszi"/>
    <s v="Barátság u. 29."/>
    <s v="ok"/>
    <n v="2"/>
    <n v="2"/>
    <x v="14"/>
    <e v="#N/A"/>
    <n v="0"/>
    <n v="2"/>
  </r>
  <r>
    <x v="8"/>
    <s v="DBD82220028"/>
    <s v="Diebold-Opteva 828 FL Cash Recycler"/>
    <s v="1828FH101702"/>
    <s v="1106"/>
    <s v="Budapest"/>
    <s v="Örs vezér tere 25."/>
    <s v="ok"/>
    <n v="2"/>
    <n v="2"/>
    <x v="17"/>
    <e v="#N/A"/>
    <n v="0"/>
    <n v="2"/>
  </r>
  <r>
    <x v="8"/>
    <s v="DBD82220029"/>
    <s v="Diebold-Opteva 828 FL Cash Recycler"/>
    <s v="1828FH101717"/>
    <s v="8200"/>
    <s v="Veszprém"/>
    <s v="Budapest út 4."/>
    <s v="ok"/>
    <n v="2"/>
    <n v="2"/>
    <x v="4"/>
    <n v="1"/>
    <n v="1"/>
    <n v="1"/>
  </r>
  <r>
    <x v="8"/>
    <s v="DBD82220031"/>
    <s v="Diebold-Opteva 828 FL Cash Recycler"/>
    <s v="1828FH101716"/>
    <s v="6500"/>
    <s v="Baja"/>
    <s v="Deák Ferenc u. 1."/>
    <s v="ok"/>
    <n v="2"/>
    <n v="2"/>
    <x v="12"/>
    <e v="#N/A"/>
    <n v="0"/>
    <n v="2"/>
  </r>
  <r>
    <x v="8"/>
    <s v="DBD82220032"/>
    <s v="Diebold-Opteva 828 FL Cash Recycler"/>
    <s v="1828FH101724"/>
    <s v="2040"/>
    <s v="Budaörs"/>
    <s v="Sport út 2-4."/>
    <s v="ok"/>
    <n v="2"/>
    <n v="2"/>
    <x v="17"/>
    <e v="#N/A"/>
    <n v="0"/>
    <n v="2"/>
  </r>
  <r>
    <x v="8"/>
    <s v="DBD82220033"/>
    <s v="Diebold-Opteva 828 FL Cash Recycler"/>
    <s v="1828FH101721"/>
    <s v="5100"/>
    <s v="Jászberény"/>
    <s v="Lehel vezér tér 28."/>
    <s v="ok"/>
    <n v="2"/>
    <n v="2"/>
    <x v="10"/>
    <n v="1"/>
    <n v="1"/>
    <n v="1"/>
  </r>
  <r>
    <x v="8"/>
    <s v="DBD82220034"/>
    <s v="Diebold-Opteva 828 FL Cash Recycler"/>
    <s v="1828FH101720"/>
    <s v="3527"/>
    <s v="Miskolc"/>
    <s v="József Attila u. 87."/>
    <s v="ok"/>
    <n v="2"/>
    <n v="2"/>
    <x v="2"/>
    <n v="1"/>
    <n v="1"/>
    <n v="1"/>
  </r>
  <r>
    <x v="8"/>
    <s v="DBD82220035"/>
    <s v="Diebold-Opteva 828 FL Cash Recycler"/>
    <s v="1828FH101718"/>
    <s v="5000"/>
    <s v="Szolnok"/>
    <s v="Szapáry u. 31."/>
    <s v="ok"/>
    <n v="2"/>
    <n v="2"/>
    <x v="11"/>
    <n v="1"/>
    <n v="1"/>
    <n v="1"/>
  </r>
  <r>
    <x v="8"/>
    <s v="DBD82220036"/>
    <s v="Diebold-Opteva 828 FL Cash Recycler"/>
    <s v="1828FH101723"/>
    <s v="4025"/>
    <s v="Debrecen"/>
    <s v="Pásti u. 1-3."/>
    <s v="ok"/>
    <n v="2"/>
    <n v="2"/>
    <x v="16"/>
    <e v="#N/A"/>
    <n v="0"/>
    <n v="2"/>
  </r>
  <r>
    <x v="8"/>
    <s v="DBD82220037"/>
    <s v="Diebold-Opteva 828 FL Cash Recycler"/>
    <s v="1828FH101712"/>
    <s v="5600"/>
    <s v="Békéscsaba"/>
    <s v="Andrássy út 37-43."/>
    <s v="ok"/>
    <n v="2"/>
    <n v="2"/>
    <x v="3"/>
    <e v="#N/A"/>
    <n v="0"/>
    <n v="2"/>
  </r>
  <r>
    <x v="8"/>
    <s v="DBD82220038"/>
    <s v="Diebold-Opteva 828 FL Cash Recycler"/>
    <s v="1828FH101725"/>
    <s v="1191"/>
    <s v="Budapest"/>
    <s v="Vak Bottyán u. 73. A-C."/>
    <s v="ok"/>
    <n v="2"/>
    <n v="2"/>
    <x v="10"/>
    <e v="#N/A"/>
    <n v="0"/>
    <n v="2"/>
  </r>
  <r>
    <x v="8"/>
    <s v="DBD82220039"/>
    <s v="Diebold-Opteva 828 FL Cash Recycler"/>
    <s v="1828FH101722"/>
    <s v="8360"/>
    <s v="Keszthely"/>
    <s v="Kossuth Lajos u. 38."/>
    <s v="ok"/>
    <n v="2"/>
    <n v="2"/>
    <x v="9"/>
    <n v="1"/>
    <n v="1"/>
    <n v="1"/>
  </r>
  <r>
    <x v="8"/>
    <s v="DBD82220040"/>
    <s v="Diebold-Opteva 828 FL Cash Recycler"/>
    <s v="1828FH101656"/>
    <s v="9022"/>
    <s v="Győr"/>
    <s v="Teleki u. 51."/>
    <s v="ok"/>
    <n v="2"/>
    <n v="2"/>
    <x v="19"/>
    <e v="#N/A"/>
    <n v="0"/>
    <n v="2"/>
  </r>
  <r>
    <x v="8"/>
    <s v="DBD82220041"/>
    <s v="Diebold-Opteva 828 FL Cash Recycler"/>
    <s v="1828FH101742"/>
    <s v="9200"/>
    <s v="Mosonmagyaróvár"/>
    <s v="Fő út 24."/>
    <s v="ok"/>
    <n v="2"/>
    <n v="2"/>
    <x v="19"/>
    <e v="#N/A"/>
    <n v="0"/>
    <n v="2"/>
  </r>
  <r>
    <x v="8"/>
    <s v="DBD82220042"/>
    <s v="Diebold-Opteva 828 FL Cash Recycler"/>
    <s v="1828FH101740"/>
    <s v="1117"/>
    <s v="Budapest"/>
    <s v="Október Huszonharmadika u. 8-10."/>
    <s v="ok"/>
    <n v="2"/>
    <n v="2"/>
    <x v="17"/>
    <n v="1"/>
    <n v="1"/>
    <n v="1"/>
  </r>
  <r>
    <x v="8"/>
    <s v="DBD82220043"/>
    <s v="Diebold-Opteva 828 FL Cash Recycler"/>
    <s v="1828FH101741"/>
    <s v="1085"/>
    <s v="Budapest"/>
    <s v="Kálvin tér 12-13."/>
    <s v="ok"/>
    <n v="2"/>
    <n v="2"/>
    <x v="13"/>
    <e v="#N/A"/>
    <n v="0"/>
    <n v="2"/>
  </r>
  <r>
    <x v="8"/>
    <s v="DBD82220045"/>
    <s v="Diebold-Opteva 828 FL Cash Recycler"/>
    <s v="1828FH101744"/>
    <s v="4800"/>
    <s v="Vásárosnamény"/>
    <s v="Szabadság tér 33."/>
    <s v="ok"/>
    <n v="2"/>
    <n v="2"/>
    <x v="1"/>
    <n v="1"/>
    <n v="1"/>
    <n v="1"/>
  </r>
  <r>
    <x v="8"/>
    <s v="DBD82220046"/>
    <s v="Diebold-Opteva 828 FL Cash Recycler"/>
    <s v="1828FH101751"/>
    <s v="6100"/>
    <s v="Kiskunfélegyháza"/>
    <s v="Petőfi tér 1."/>
    <s v="ok"/>
    <n v="2"/>
    <n v="2"/>
    <x v="11"/>
    <e v="#N/A"/>
    <n v="0"/>
    <n v="2"/>
  </r>
  <r>
    <x v="8"/>
    <s v="DBD82220047"/>
    <s v="Diebold-Opteva 828 FL Cash Recycler"/>
    <s v="1828FH101762"/>
    <s v="8000"/>
    <s v="Székesfehérvár"/>
    <s v="Holland fasor 2."/>
    <s v="ok"/>
    <n v="2"/>
    <n v="2"/>
    <x v="4"/>
    <n v="1"/>
    <n v="1"/>
    <n v="1"/>
  </r>
  <r>
    <x v="8"/>
    <s v="DBD82220048"/>
    <s v="Diebold-Opteva 828 FL Cash Recycler"/>
    <s v="1828FH101736"/>
    <s v="8380"/>
    <s v="Hévíz"/>
    <s v="Erzsébet királyné u. 11."/>
    <s v="ok"/>
    <n v="2"/>
    <n v="2"/>
    <x v="9"/>
    <n v="1"/>
    <n v="1"/>
    <n v="1"/>
  </r>
  <r>
    <x v="8"/>
    <s v="DBD82220049"/>
    <s v="Diebold-Opteva 828 FL Cash Recycler"/>
    <s v="1828FH101739"/>
    <s v="1181"/>
    <s v="Budapest"/>
    <s v="Üllői út 377."/>
    <s v="ok"/>
    <n v="2"/>
    <n v="2"/>
    <x v="15"/>
    <e v="#N/A"/>
    <n v="0"/>
    <n v="2"/>
  </r>
  <r>
    <x v="8"/>
    <s v="DBD82220052"/>
    <s v="Diebold-Opteva 828 FL Cash Recycler"/>
    <s v="1828FH101738"/>
    <s v="9023"/>
    <s v="Győr"/>
    <s v="Bartók Béla u. 53/b"/>
    <s v="ok"/>
    <n v="2"/>
    <n v="2"/>
    <x v="19"/>
    <e v="#N/A"/>
    <n v="0"/>
    <n v="2"/>
  </r>
  <r>
    <x v="8"/>
    <s v="DBD82220053"/>
    <s v="Diebold-Opteva 828 FL Cash Recycler"/>
    <s v="1828FH101747"/>
    <s v="9300"/>
    <s v="Csorna"/>
    <s v="Soproni út 58."/>
    <s v="ok"/>
    <n v="2"/>
    <n v="2"/>
    <x v="8"/>
    <e v="#N/A"/>
    <n v="0"/>
    <n v="2"/>
  </r>
  <r>
    <x v="8"/>
    <s v="DBD82220054"/>
    <s v="Diebold-Opteva 828 FL Cash Recycler"/>
    <s v="1828FH101746"/>
    <s v="2800"/>
    <s v="Tatabánya"/>
    <s v="Fő tér 32."/>
    <s v="ok"/>
    <n v="2"/>
    <n v="2"/>
    <x v="19"/>
    <e v="#N/A"/>
    <n v="0"/>
    <n v="2"/>
  </r>
  <r>
    <x v="8"/>
    <s v="DBD82220055"/>
    <s v="Diebold-Opteva 828 FL Cash Recycler"/>
    <s v="1828FH101745"/>
    <s v="6000"/>
    <s v="Kecskemét"/>
    <s v="Csányi út - Korona u. 2."/>
    <s v="ok"/>
    <n v="2"/>
    <n v="2"/>
    <x v="11"/>
    <n v="1"/>
    <n v="1"/>
    <n v="1"/>
  </r>
  <r>
    <x v="8"/>
    <s v="DBD82220056"/>
    <s v="Diebold-Opteva 828 FL Cash Recycler"/>
    <s v="1828FH101748"/>
    <s v="1221"/>
    <s v="Budapest"/>
    <s v="Nagytétényi út 37-43."/>
    <s v="ok"/>
    <n v="2"/>
    <n v="2"/>
    <x v="17"/>
    <n v="1"/>
    <n v="1"/>
    <n v="1"/>
  </r>
  <r>
    <x v="8"/>
    <s v="DBD82220057"/>
    <s v="Diebold-Opteva 828 FL Cash Recycler"/>
    <s v="1828FH101750"/>
    <s v="6800"/>
    <s v="Hódmezővásárhely"/>
    <s v="Andrássy u. 1."/>
    <s v="ok"/>
    <n v="2"/>
    <n v="2"/>
    <x v="3"/>
    <e v="#N/A"/>
    <n v="0"/>
    <n v="2"/>
  </r>
  <r>
    <x v="8"/>
    <s v="DBD82220058"/>
    <s v="Diebold-Opteva 828 FL Cash Recycler"/>
    <s v="1828FH101752"/>
    <s v="8000"/>
    <s v="Székesfehérvár"/>
    <s v="Ősz u. 13."/>
    <s v="ok"/>
    <n v="2"/>
    <n v="2"/>
    <x v="4"/>
    <n v="1"/>
    <n v="1"/>
    <n v="1"/>
  </r>
  <r>
    <x v="8"/>
    <s v="DBD82220059"/>
    <s v="Diebold-Opteva 828 FL Cash Recycler"/>
    <s v="1828FH101754"/>
    <s v="3530"/>
    <s v="Miskolc"/>
    <s v="Uitz B. u. 6."/>
    <s v="ok"/>
    <n v="2"/>
    <n v="2"/>
    <x v="2"/>
    <n v="1"/>
    <n v="1"/>
    <n v="1"/>
  </r>
  <r>
    <x v="8"/>
    <s v="DBD82220060"/>
    <s v="Diebold-Opteva 828 FL Cash Recycler"/>
    <s v="1828FH101755"/>
    <s v="6724"/>
    <s v="Szeged"/>
    <s v="Rókusi krt. 46-64."/>
    <s v="ok"/>
    <n v="2"/>
    <n v="2"/>
    <x v="3"/>
    <n v="1"/>
    <n v="1"/>
    <n v="1"/>
  </r>
  <r>
    <x v="8"/>
    <s v="DBD82220061"/>
    <s v="Diebold-Opteva 828 FL Cash Recycler"/>
    <s v="1828FH101756"/>
    <s v="3600"/>
    <s v="Ózd"/>
    <s v="Városház tér 1/a."/>
    <s v="ok"/>
    <n v="2"/>
    <n v="2"/>
    <x v="2"/>
    <e v="#N/A"/>
    <n v="0"/>
    <n v="2"/>
  </r>
  <r>
    <x v="8"/>
    <s v="DBD82220063"/>
    <s v="Diebold-Opteva 828 FL Cash Recycler"/>
    <s v="1828FH101758"/>
    <s v="1042"/>
    <s v="Budapest"/>
    <s v="Árpád út 63-65."/>
    <s v="ok"/>
    <n v="2"/>
    <n v="2"/>
    <x v="0"/>
    <e v="#N/A"/>
    <n v="0"/>
    <n v="2"/>
  </r>
  <r>
    <x v="8"/>
    <s v="DBD82220064"/>
    <s v="Diebold-Opteva 828 FL Cash Recycler"/>
    <s v="1828FH101759"/>
    <s v="8300"/>
    <s v="Tapolca"/>
    <s v="Fő tér 2."/>
    <s v="ok"/>
    <n v="2"/>
    <n v="2"/>
    <x v="9"/>
    <n v="2"/>
    <n v="2"/>
    <n v="0"/>
  </r>
  <r>
    <x v="8"/>
    <s v="DBD82220066"/>
    <s v="Diebold-Opteva 828 FL Cash Recycler"/>
    <s v="1828FH101760"/>
    <s v="4025"/>
    <s v="Debrecen"/>
    <s v="Piac u. 45-47."/>
    <s v="ok"/>
    <n v="2"/>
    <n v="2"/>
    <x v="16"/>
    <e v="#N/A"/>
    <n v="0"/>
    <n v="2"/>
  </r>
  <r>
    <x v="8"/>
    <s v="DBD82220067"/>
    <s v="Diebold-Opteva 828 FL Cash Recycler"/>
    <s v="1828FH101761"/>
    <s v="5900"/>
    <s v="Orosháza"/>
    <s v="Kossuth u. 20."/>
    <s v="ok"/>
    <n v="2"/>
    <n v="2"/>
    <x v="3"/>
    <n v="1"/>
    <n v="1"/>
    <n v="1"/>
  </r>
  <r>
    <x v="8"/>
    <s v="DBD82220068"/>
    <s v="Diebold-Opteva 828 FL Cash Recycler"/>
    <s v="1828FH101753"/>
    <s v="3100"/>
    <s v="Salgótarján"/>
    <s v="Rákóczi u. 22."/>
    <s v="ok"/>
    <n v="2"/>
    <n v="2"/>
    <x v="6"/>
    <n v="1"/>
    <n v="1"/>
    <n v="1"/>
  </r>
  <r>
    <x v="8"/>
    <s v="DBD82220069"/>
    <s v="Diebold-Opteva 828 FL Cash Recycler"/>
    <s v="1828FH101763"/>
    <s v="1211"/>
    <s v="Budapest"/>
    <s v="Kossuth Lajos u. 86."/>
    <s v="ok"/>
    <n v="2"/>
    <n v="2"/>
    <x v="15"/>
    <n v="1"/>
    <n v="1"/>
    <n v="1"/>
  </r>
  <r>
    <x v="8"/>
    <s v="DBD82220070"/>
    <s v="Diebold-Opteva 828 FL Cash Recycler"/>
    <s v="1828FH101764"/>
    <s v="2651"/>
    <s v="Rétság"/>
    <s v="Rákóczi u. 28-30."/>
    <s v="ok"/>
    <n v="2"/>
    <n v="2"/>
    <x v="6"/>
    <e v="#N/A"/>
    <n v="0"/>
    <n v="2"/>
  </r>
  <r>
    <x v="8"/>
    <s v="DBD82220071"/>
    <s v="Diebold-Opteva 828 FL Cash Recycler"/>
    <s v="1828FH101765"/>
    <s v="8230"/>
    <s v="Balatonfüred"/>
    <s v="Petőfi S. u. 8."/>
    <s v="ok"/>
    <n v="2"/>
    <n v="2"/>
    <x v="4"/>
    <n v="1"/>
    <n v="1"/>
    <n v="1"/>
  </r>
  <r>
    <x v="8"/>
    <s v="DBD82220072"/>
    <s v="Diebold-Opteva 828 FL Cash Recycler"/>
    <s v="1828FH101766"/>
    <s v="7800"/>
    <s v="Siklós"/>
    <s v="Felszabadulás u. 60-62."/>
    <s v="ok"/>
    <n v="2"/>
    <n v="2"/>
    <x v="12"/>
    <n v="1"/>
    <n v="1"/>
    <n v="1"/>
  </r>
  <r>
    <x v="8"/>
    <s v="DBD82220073"/>
    <s v="Diebold-Opteva 828 FL Cash Recycler"/>
    <s v="1828FH101767"/>
    <s v="2370"/>
    <s v="Dabas"/>
    <s v="Bartók Béla út 46."/>
    <s v="ok"/>
    <n v="2"/>
    <n v="2"/>
    <x v="15"/>
    <e v="#N/A"/>
    <n v="0"/>
    <n v="2"/>
  </r>
  <r>
    <x v="8"/>
    <s v="DBD82220074"/>
    <s v="Diebold-Opteva 828 FL Cash Recycler"/>
    <s v="1828FH101768"/>
    <s v="6000"/>
    <s v="Kecskemét"/>
    <s v="Dunaföldvári út 2."/>
    <s v="ok"/>
    <n v="2"/>
    <n v="2"/>
    <x v="11"/>
    <e v="#N/A"/>
    <n v="0"/>
    <n v="2"/>
  </r>
  <r>
    <x v="8"/>
    <s v="DBD82220076"/>
    <s v="Diebold-Opteva 828 FL Cash Recycler"/>
    <s v="1828FH101770"/>
    <s v="9028"/>
    <s v="Győr"/>
    <s v="Kormos u. 6."/>
    <s v="ok"/>
    <n v="2"/>
    <n v="2"/>
    <x v="19"/>
    <e v="#N/A"/>
    <n v="0"/>
    <n v="2"/>
  </r>
  <r>
    <x v="8"/>
    <s v="DBD82220077"/>
    <s v="Diebold-Opteva 828 FL Cash Recycler"/>
    <s v="1828FH101771"/>
    <s v="7150"/>
    <s v="Bonyhád"/>
    <s v="Szabadság tér 10."/>
    <s v="ok"/>
    <n v="2"/>
    <n v="2"/>
    <x v="12"/>
    <e v="#N/A"/>
    <n v="0"/>
    <n v="2"/>
  </r>
  <r>
    <x v="8"/>
    <s v="DBD82220078"/>
    <s v="Diebold-Opteva 828 FL Cash Recycler"/>
    <s v="1828FH101772"/>
    <s v="7632"/>
    <s v="Pécs-Kertváros"/>
    <s v="Diana tér 14."/>
    <s v="ok"/>
    <n v="2"/>
    <n v="2"/>
    <x v="12"/>
    <n v="1"/>
    <n v="1"/>
    <n v="1"/>
  </r>
  <r>
    <x v="8"/>
    <s v="DBD82220079"/>
    <s v="Diebold-Opteva 828 FL Cash Recycler"/>
    <s v="1828FH101773"/>
    <s v="2060"/>
    <s v="Bicske"/>
    <s v="Bocskai köz 1."/>
    <s v="ok"/>
    <n v="2"/>
    <n v="2"/>
    <x v="19"/>
    <e v="#N/A"/>
    <n v="0"/>
    <n v="2"/>
  </r>
  <r>
    <x v="8"/>
    <s v="DBD82220080"/>
    <s v="Diebold-Opteva 828 FL Cash Recycler"/>
    <s v="1828FH101774"/>
    <s v="2100"/>
    <s v="Gödöllő"/>
    <s v="Szabadság tér 12-13."/>
    <s v="ok"/>
    <n v="2"/>
    <n v="2"/>
    <x v="10"/>
    <e v="#N/A"/>
    <n v="0"/>
    <n v="2"/>
  </r>
  <r>
    <x v="8"/>
    <s v="DBD82220081"/>
    <s v="Diebold-Opteva 828 FL Cash Recycler"/>
    <s v="1828FH101775"/>
    <s v="2500"/>
    <s v="Esztergom"/>
    <s v="Rákóczi tér 2-4."/>
    <s v="ok"/>
    <n v="2"/>
    <n v="2"/>
    <x v="14"/>
    <e v="#N/A"/>
    <n v="0"/>
    <n v="2"/>
  </r>
  <r>
    <x v="8"/>
    <s v="DBD82220082"/>
    <s v="Diebold-Opteva 828 FL Cash Recycler"/>
    <s v="1828FH101802"/>
    <s v="3580"/>
    <s v="Tiszaújváros"/>
    <s v="Szent István út 30."/>
    <s v="ok"/>
    <n v="2"/>
    <n v="2"/>
    <x v="2"/>
    <n v="1"/>
    <n v="1"/>
    <n v="1"/>
  </r>
  <r>
    <x v="8"/>
    <s v="DBD82220083"/>
    <s v="Diebold-Opteva 828 FL Cash Recycler"/>
    <s v="1828FH101803"/>
    <s v="2890"/>
    <s v="Tata"/>
    <s v="Ady E. u. 1-3."/>
    <s v="ok"/>
    <n v="2"/>
    <n v="2"/>
    <x v="19"/>
    <e v="#N/A"/>
    <n v="0"/>
    <n v="2"/>
  </r>
  <r>
    <x v="8"/>
    <s v="DBD82220084"/>
    <s v="Diebold-Opteva 828 FL Cash Recycler"/>
    <s v="1828FH101804"/>
    <s v="6900"/>
    <s v="Makó"/>
    <s v="Széchenyi tér 14-16."/>
    <s v="ok"/>
    <n v="2"/>
    <n v="2"/>
    <x v="3"/>
    <e v="#N/A"/>
    <n v="0"/>
    <n v="2"/>
  </r>
  <r>
    <x v="8"/>
    <s v="DBD82220085"/>
    <s v="Diebold-Opteva 828 FL Cash Recycler"/>
    <s v="1828FH101805"/>
    <s v="1195"/>
    <s v="Budapest"/>
    <s v="Üllői út 285."/>
    <s v="ok"/>
    <n v="2"/>
    <n v="2"/>
    <x v="10"/>
    <e v="#N/A"/>
    <n v="0"/>
    <n v="2"/>
  </r>
  <r>
    <x v="8"/>
    <s v="DBD82220086"/>
    <s v="Diebold-Opteva 828 FL Cash Recycler"/>
    <s v="1828FH102024"/>
    <s v="2483"/>
    <s v="Gárdony"/>
    <s v="Szabadság u. 18."/>
    <s v="ok"/>
    <n v="2"/>
    <n v="2"/>
    <x v="7"/>
    <n v="1"/>
    <n v="1"/>
    <n v="1"/>
  </r>
  <r>
    <x v="8"/>
    <s v="DBD82220087"/>
    <s v="Diebold-Opteva 828 FL Cash Recycler"/>
    <s v="1828FH101806"/>
    <s v="9400"/>
    <s v="Sopron"/>
    <s v="Várkerület 96/a"/>
    <s v="ok"/>
    <n v="2"/>
    <n v="2"/>
    <x v="8"/>
    <n v="1"/>
    <n v="1"/>
    <n v="1"/>
  </r>
  <r>
    <x v="8"/>
    <s v="DBD82220088"/>
    <s v="Diebold-Opteva 828 FL Cash Recycler"/>
    <s v="1828FH101807"/>
    <s v="7030"/>
    <s v="Paks"/>
    <s v="Dózsa Gy. út 33."/>
    <s v="ok"/>
    <n v="2"/>
    <n v="2"/>
    <x v="7"/>
    <n v="1"/>
    <n v="1"/>
    <n v="1"/>
  </r>
  <r>
    <x v="8"/>
    <s v="DBD82220089"/>
    <s v="Diebold-Opteva 828 FL Cash Recycler"/>
    <s v="1828FH101808"/>
    <s v="3060"/>
    <s v="Pásztó"/>
    <s v="Fő u. 73/a."/>
    <s v="ok"/>
    <n v="2"/>
    <n v="2"/>
    <x v="10"/>
    <n v="1"/>
    <n v="1"/>
    <n v="1"/>
  </r>
  <r>
    <x v="8"/>
    <s v="DBD82220090"/>
    <s v="Diebold-Opteva 828 FL Cash Recycler"/>
    <s v="1828FH102025"/>
    <s v="6320"/>
    <s v="Solt"/>
    <s v="Kossuth u. 48-50."/>
    <s v="ok"/>
    <n v="2"/>
    <n v="2"/>
    <x v="7"/>
    <n v="1"/>
    <n v="1"/>
    <n v="1"/>
  </r>
  <r>
    <x v="8"/>
    <s v="DBD82220091"/>
    <s v="Diebold-Opteva 828 FL Cash Recycler"/>
    <s v="1828FH101810"/>
    <s v="2670"/>
    <s v="Nagykáta"/>
    <s v="Bajcsy-Zs. u. 1."/>
    <s v="ok"/>
    <n v="2"/>
    <n v="2"/>
    <x v="10"/>
    <e v="#N/A"/>
    <n v="0"/>
    <n v="2"/>
  </r>
  <r>
    <x v="8"/>
    <s v="DBD82220092"/>
    <s v="Diebold-Opteva 828 FL Cash Recycler"/>
    <s v="1828FH101811"/>
    <s v="8400"/>
    <s v="Ajka"/>
    <s v="Szabadság tér 18."/>
    <s v="ok"/>
    <n v="2"/>
    <n v="2"/>
    <x v="4"/>
    <e v="#N/A"/>
    <n v="0"/>
    <n v="2"/>
  </r>
  <r>
    <x v="8"/>
    <s v="DBD82220093"/>
    <s v="Diebold-Opteva 828 FL Cash Recycler"/>
    <s v="1828FH101812"/>
    <s v="6000"/>
    <s v="Kecskemét"/>
    <s v="Szabadság tér 5."/>
    <s v="ok"/>
    <n v="2"/>
    <n v="2"/>
    <x v="11"/>
    <n v="1"/>
    <n v="1"/>
    <n v="1"/>
  </r>
  <r>
    <x v="8"/>
    <s v="DBD82220095"/>
    <s v="Diebold-Opteva 828 FL Cash Recycler"/>
    <s v="1828FH101815"/>
    <s v="2200"/>
    <s v="Monor"/>
    <s v="Kossuth L. u. 88/b"/>
    <s v="ok"/>
    <n v="2"/>
    <n v="2"/>
    <x v="15"/>
    <n v="1"/>
    <n v="1"/>
    <n v="1"/>
  </r>
  <r>
    <x v="8"/>
    <s v="DBD82220096"/>
    <s v="Diebold-Opteva 828 FL Cash Recycler"/>
    <s v="1828FH101816"/>
    <s v="5540"/>
    <s v="Szarvas"/>
    <s v="Kossuth L. tér 1."/>
    <s v="ok"/>
    <n v="2"/>
    <n v="2"/>
    <x v="11"/>
    <e v="#N/A"/>
    <n v="0"/>
    <n v="2"/>
  </r>
  <r>
    <x v="8"/>
    <s v="DBD82220097"/>
    <s v="Diebold-Opteva 828 FL Cash Recycler"/>
    <s v="1828FH101814"/>
    <s v="6600"/>
    <s v="Szentes"/>
    <s v="Kossuth u. 26."/>
    <s v="ok"/>
    <n v="2"/>
    <n v="2"/>
    <x v="11"/>
    <e v="#N/A"/>
    <n v="0"/>
    <n v="2"/>
  </r>
  <r>
    <x v="8"/>
    <s v="DBD82220098"/>
    <s v="Diebold-Opteva 828 FL Cash Recycler"/>
    <s v="1828FH101817"/>
    <s v="9600"/>
    <s v="Sárvár"/>
    <s v="Batthyány u. 2."/>
    <s v="ok"/>
    <n v="2"/>
    <n v="2"/>
    <x v="8"/>
    <n v="1"/>
    <n v="1"/>
    <n v="1"/>
  </r>
  <r>
    <x v="8"/>
    <s v="DBD82220099"/>
    <s v="Diebold-Opteva 828 FL Cash Recycler"/>
    <s v="1828FH101818"/>
    <s v="6724"/>
    <s v="Szeged"/>
    <s v="Londoni körút 3."/>
    <s v="ok"/>
    <n v="2"/>
    <n v="2"/>
    <x v="3"/>
    <n v="1"/>
    <n v="1"/>
    <n v="1"/>
  </r>
  <r>
    <x v="8"/>
    <s v="DBD82220100"/>
    <s v="Diebold-Opteva 828 FL Cash Recycler"/>
    <s v="1828FH101769"/>
    <s v="3400"/>
    <s v="Mezőkövesd"/>
    <s v="Mátyás király u. 149."/>
    <s v="ok"/>
    <n v="2"/>
    <n v="2"/>
    <x v="2"/>
    <n v="1"/>
    <n v="1"/>
    <n v="1"/>
  </r>
  <r>
    <x v="8"/>
    <s v="DBD82220101"/>
    <s v="Diebold-Opteva 828 FL Cash Recycler"/>
    <s v="1828FH101809"/>
    <s v="1024"/>
    <s v="Budapest"/>
    <s v="Fény utca 11-13."/>
    <s v="ok"/>
    <n v="2"/>
    <n v="2"/>
    <x v="0"/>
    <e v="#N/A"/>
    <n v="0"/>
    <n v="2"/>
  </r>
  <r>
    <x v="8"/>
    <s v="DBD82220102"/>
    <s v="Diebold-Opteva 828 FL Cash Recycler"/>
    <s v="1828FH101813"/>
    <s v="6300"/>
    <s v="Kalocsa"/>
    <s v="Szent István király krt. 43-45."/>
    <s v="ok"/>
    <n v="2"/>
    <n v="2"/>
    <x v="7"/>
    <e v="#N/A"/>
    <n v="0"/>
    <n v="2"/>
  </r>
  <r>
    <x v="8"/>
    <s v="DBD82220103"/>
    <s v="Diebold-Opteva 828 FL Cash Recycler"/>
    <s v="1828FH101819"/>
    <s v="1163"/>
    <s v="Budapest"/>
    <s v="Jókai u. 3/b"/>
    <s v="ok"/>
    <n v="2"/>
    <n v="2"/>
    <x v="6"/>
    <e v="#N/A"/>
    <n v="0"/>
    <n v="2"/>
  </r>
  <r>
    <x v="8"/>
    <s v="DBD82220104"/>
    <s v="Diebold-Opteva 828 FL Cash Recycler"/>
    <s v="1828FH101820"/>
    <s v="1041"/>
    <s v="Budapest"/>
    <s v="Erzsébet utca 50."/>
    <s v="ok"/>
    <n v="2"/>
    <n v="2"/>
    <x v="14"/>
    <e v="#N/A"/>
    <n v="0"/>
    <n v="2"/>
  </r>
  <r>
    <x v="8"/>
    <s v="DBD82220105"/>
    <s v="Diebold-Opteva 828 FL Cash Recycler"/>
    <s v="1828FH101821"/>
    <s v="1117"/>
    <s v="Budapest"/>
    <s v="Móricz Zs. Körtér 18."/>
    <s v="ok"/>
    <n v="2"/>
    <n v="2"/>
    <x v="17"/>
    <n v="1"/>
    <n v="1"/>
    <n v="1"/>
  </r>
  <r>
    <x v="8"/>
    <s v="DBD82220106"/>
    <s v="Diebold-Opteva 828 FL Cash Recycler"/>
    <s v="1828FH102001"/>
    <s v="8000"/>
    <s v="Székesfehérvár"/>
    <s v="Fő u. 7."/>
    <s v="ok"/>
    <n v="2"/>
    <n v="2"/>
    <x v="4"/>
    <n v="1"/>
    <n v="1"/>
    <n v="1"/>
  </r>
  <r>
    <x v="8"/>
    <s v="DBD82220107"/>
    <s v="Diebold-Opteva 828 FL Cash Recycler"/>
    <s v="1828FH102002"/>
    <s v="7900"/>
    <s v="Szigetvár"/>
    <s v="Vár u. 4."/>
    <s v="ok"/>
    <n v="2"/>
    <n v="2"/>
    <x v="12"/>
    <e v="#N/A"/>
    <n v="0"/>
    <n v="2"/>
  </r>
  <r>
    <x v="8"/>
    <s v="DBD82220108"/>
    <s v="Diebold-Opteva 828 FL Cash Recycler"/>
    <s v="1828FH101757"/>
    <s v="1137"/>
    <s v="Budapest"/>
    <s v="Lehel út 70-76."/>
    <s v="ok"/>
    <n v="2"/>
    <n v="2"/>
    <x v="14"/>
    <e v="#N/A"/>
    <n v="0"/>
    <n v="2"/>
  </r>
  <r>
    <x v="8"/>
    <s v="DBD82220109"/>
    <s v="Diebold-Opteva 828 FL Cash Recycler"/>
    <s v="1828FH102004"/>
    <s v="3700"/>
    <s v="Kazincbarcika"/>
    <s v="Egressy B. u. 50."/>
    <s v="ok"/>
    <n v="2"/>
    <n v="2"/>
    <x v="2"/>
    <e v="#N/A"/>
    <n v="0"/>
    <n v="2"/>
  </r>
  <r>
    <x v="8"/>
    <s v="DBD82220110"/>
    <s v="Diebold-Opteva 828 FL Cash Recycler"/>
    <s v="1828FH102005"/>
    <s v="4025"/>
    <s v="Debrecen"/>
    <s v="Hatvan u.  2-4."/>
    <s v="ok"/>
    <n v="2"/>
    <n v="2"/>
    <x v="16"/>
    <n v="1"/>
    <n v="1"/>
    <n v="1"/>
  </r>
  <r>
    <x v="8"/>
    <s v="DBD82220111"/>
    <s v="Diebold-Opteva 828 FL Cash Recycler"/>
    <s v="1828FH102006"/>
    <s v="2330"/>
    <s v="Dunaharaszti"/>
    <s v="Dózsa György út 25."/>
    <s v="ok"/>
    <n v="2"/>
    <n v="2"/>
    <x v="15"/>
    <n v="1"/>
    <n v="1"/>
    <n v="1"/>
  </r>
  <r>
    <x v="8"/>
    <s v="DBD82220112"/>
    <s v="Diebold-Opteva 828 FL Cash Recycler"/>
    <s v="1828FH102007"/>
    <s v="9500"/>
    <s v="Celldömölk"/>
    <s v="Kossuth u.  18."/>
    <s v="ok"/>
    <n v="2"/>
    <n v="2"/>
    <x v="8"/>
    <n v="1"/>
    <n v="1"/>
    <n v="1"/>
  </r>
  <r>
    <x v="8"/>
    <s v="DBD82220113"/>
    <s v="Diebold-Opteva 828 FL Cash Recycler"/>
    <s v="1828FH102008"/>
    <s v="6060"/>
    <s v="Tiszakécske"/>
    <s v="Béke tér 6."/>
    <s v="ok"/>
    <n v="2"/>
    <n v="2"/>
    <x v="11"/>
    <e v="#N/A"/>
    <n v="0"/>
    <n v="2"/>
  </r>
  <r>
    <x v="8"/>
    <s v="DBD82220114"/>
    <s v="Diebold-Opteva 828 FL Cash Recycler"/>
    <s v="1828FH102010"/>
    <s v="1097"/>
    <s v="Budapest"/>
    <s v="Könyves K. krt. 12-14."/>
    <s v="ok"/>
    <n v="2"/>
    <n v="2"/>
    <x v="17"/>
    <n v="1"/>
    <n v="1"/>
    <n v="1"/>
  </r>
  <r>
    <x v="8"/>
    <s v="DBD82220115"/>
    <s v="Diebold-Opteva 828 FL Cash Recycler"/>
    <s v="1828FH102009"/>
    <s v="2234"/>
    <s v="Maglód"/>
    <s v="Esterházy J. u. 1."/>
    <s v="ok"/>
    <n v="2"/>
    <n v="2"/>
    <x v="10"/>
    <n v="1"/>
    <n v="1"/>
    <n v="1"/>
  </r>
  <r>
    <x v="8"/>
    <s v="DBD82220116"/>
    <s v="Diebold-Opteva 828 FL Cash Recycler"/>
    <s v="1828FH102011"/>
    <s v="3950"/>
    <s v="Sárospatak"/>
    <s v="Eötvös u. 2."/>
    <s v="ok"/>
    <n v="2"/>
    <n v="2"/>
    <x v="1"/>
    <e v="#N/A"/>
    <n v="0"/>
    <n v="2"/>
  </r>
  <r>
    <x v="8"/>
    <s v="DBD82220117"/>
    <s v="Diebold-Opteva 828 FL Cash Recycler"/>
    <s v="1828FH102012"/>
    <s v="2310"/>
    <s v="Szigetszentmiklós"/>
    <s v="Háros u. 120."/>
    <s v="ok"/>
    <n v="2"/>
    <n v="2"/>
    <x v="15"/>
    <n v="1"/>
    <n v="1"/>
    <n v="1"/>
  </r>
  <r>
    <x v="8"/>
    <s v="DBD82220118"/>
    <s v="Diebold-Opteva 828 FL Cash Recycler"/>
    <s v="1828FH102013"/>
    <s v="1103"/>
    <s v="Budapest"/>
    <s v="Sibrik Miklós u. 30."/>
    <s v="ok"/>
    <n v="2"/>
    <n v="2"/>
    <x v="17"/>
    <e v="#N/A"/>
    <n v="0"/>
    <n v="2"/>
  </r>
  <r>
    <x v="8"/>
    <s v="DBD82220119"/>
    <s v="Diebold-Opteva 828 FL Cash Recycler"/>
    <s v="1828FH102014"/>
    <s v="4080"/>
    <s v="Hajdúnánás"/>
    <s v="Köztársaság tér 17-18/A"/>
    <s v="ok"/>
    <n v="2"/>
    <n v="2"/>
    <x v="16"/>
    <e v="#N/A"/>
    <n v="0"/>
    <n v="2"/>
  </r>
  <r>
    <x v="8"/>
    <s v="DBD82220120"/>
    <s v="Diebold-Opteva 828 FL Cash Recycler"/>
    <s v="1828FH102015"/>
    <s v="2840"/>
    <s v="Oroszlány"/>
    <s v="Rákóczi u. 84."/>
    <s v="ok"/>
    <n v="2"/>
    <n v="2"/>
    <x v="19"/>
    <n v="1"/>
    <n v="1"/>
    <n v="1"/>
  </r>
  <r>
    <x v="8"/>
    <s v="DBD82220121"/>
    <s v="Diebold-Opteva 828 FL Cash Recycler"/>
    <s v="1828FH102016"/>
    <s v="3360"/>
    <s v="Heves"/>
    <s v="Hősök tere 4."/>
    <s v="ok"/>
    <n v="2"/>
    <n v="2"/>
    <x v="6"/>
    <n v="1"/>
    <n v="1"/>
    <n v="1"/>
  </r>
  <r>
    <x v="8"/>
    <s v="DBD82220123"/>
    <s v="Diebold-Opteva 828 FL Cash Recycler"/>
    <s v="1828FH102018"/>
    <s v="2085"/>
    <s v="Pilisvörösvár"/>
    <s v="Fő u. 60."/>
    <s v="ok"/>
    <n v="2"/>
    <n v="2"/>
    <x v="0"/>
    <n v="1"/>
    <n v="1"/>
    <n v="1"/>
  </r>
  <r>
    <x v="8"/>
    <s v="DBD82220124"/>
    <s v="Diebold-Opteva 828 FL Cash Recycler"/>
    <s v="1828FH102019"/>
    <s v="8700"/>
    <s v="Marcali"/>
    <s v="Rákóczi u. 6-10."/>
    <s v="ok"/>
    <n v="2"/>
    <n v="2"/>
    <x v="9"/>
    <e v="#N/A"/>
    <n v="0"/>
    <n v="2"/>
  </r>
  <r>
    <x v="8"/>
    <s v="DBD82220125"/>
    <s v="Diebold-Opteva 828 FL Cash Recycler"/>
    <s v="1828FH102020"/>
    <s v="4600"/>
    <s v="Kisvárda"/>
    <s v="Szent László u. 30."/>
    <s v="ok"/>
    <n v="2"/>
    <n v="2"/>
    <x v="1"/>
    <n v="1"/>
    <n v="1"/>
    <n v="1"/>
  </r>
  <r>
    <x v="8"/>
    <s v="DBD82220126"/>
    <s v="Diebold-Opteva 828 FL Cash Recycler"/>
    <s v="1828FH102021"/>
    <s v="3390"/>
    <s v="Füzesabony"/>
    <s v="Rákóczi út 77."/>
    <s v="ok"/>
    <n v="2"/>
    <n v="2"/>
    <x v="6"/>
    <e v="#N/A"/>
    <n v="0"/>
    <n v="2"/>
  </r>
  <r>
    <x v="8"/>
    <s v="DBD82220127"/>
    <s v="Diebold-Opteva 828 FL Cash Recycler"/>
    <s v="1828FH102022"/>
    <s v="9330"/>
    <s v="Kapuvár"/>
    <s v="Szent István király u. 4-6."/>
    <s v="ok"/>
    <n v="2"/>
    <n v="2"/>
    <x v="8"/>
    <n v="1"/>
    <n v="1"/>
    <n v="1"/>
  </r>
  <r>
    <x v="8"/>
    <s v="DBD82220128"/>
    <s v="Diebold-Opteva 828 FL Cash Recycler"/>
    <s v="1828FH102023"/>
    <s v="4700"/>
    <s v="Mátészalka"/>
    <s v="Szalkai u. 34."/>
    <s v="ok"/>
    <n v="2"/>
    <n v="2"/>
    <x v="1"/>
    <n v="1"/>
    <n v="1"/>
    <n v="1"/>
  </r>
  <r>
    <x v="8"/>
    <s v="DBD82220129"/>
    <s v="Diebold-Opteva 828 FL Cash Recycler"/>
    <s v="1828FH102261"/>
    <s v="1118"/>
    <s v="Budapest"/>
    <s v="Rétköz u. 5."/>
    <s v="ok"/>
    <n v="2"/>
    <n v="2"/>
    <x v="17"/>
    <n v="1"/>
    <n v="1"/>
    <n v="1"/>
  </r>
  <r>
    <x v="8"/>
    <s v="DBD82220130"/>
    <s v="Diebold-Opteva 828 FL Cash Recycler"/>
    <s v="1828FH102026"/>
    <s v="2083"/>
    <s v="Solymár"/>
    <s v="Szent Flórián u. 2-4."/>
    <s v="ok"/>
    <n v="2"/>
    <n v="2"/>
    <x v="0"/>
    <n v="1"/>
    <n v="1"/>
    <n v="1"/>
  </r>
  <r>
    <x v="8"/>
    <s v="DBD82220131"/>
    <s v="Diebold-Opteva 828 FL Cash Recycler"/>
    <s v="1828FH102027"/>
    <s v="2230"/>
    <s v="Gyömrő"/>
    <s v="Szent István u. 17."/>
    <s v="ok"/>
    <n v="2"/>
    <n v="2"/>
    <x v="10"/>
    <e v="#N/A"/>
    <n v="0"/>
    <n v="2"/>
  </r>
  <r>
    <x v="8"/>
    <s v="DBD82220132"/>
    <s v="Diebold-Opteva 828 FL Cash Recycler"/>
    <s v="1828FH102028"/>
    <s v="9700"/>
    <s v="Szombathely"/>
    <s v="Király u. 10."/>
    <s v="ok"/>
    <n v="2"/>
    <n v="2"/>
    <x v="8"/>
    <n v="1"/>
    <n v="1"/>
    <n v="1"/>
  </r>
  <r>
    <x v="8"/>
    <s v="DBD82220133"/>
    <s v="Diebold-Opteva 828 FL Cash Recycler"/>
    <s v="1828FH102029"/>
    <s v="6230"/>
    <s v="Soltvadkert"/>
    <s v="Szentháromság u. 2."/>
    <s v="ok"/>
    <n v="2"/>
    <n v="2"/>
    <x v="7"/>
    <e v="#N/A"/>
    <n v="0"/>
    <n v="2"/>
  </r>
  <r>
    <x v="8"/>
    <s v="DBD82220134"/>
    <s v="Diebold-Opteva 828 FL Cash Recycler"/>
    <s v="1828FH102017"/>
    <s v="2220"/>
    <s v="Vecsés"/>
    <s v="Fő út 246-248."/>
    <s v="ok"/>
    <n v="2"/>
    <n v="2"/>
    <x v="15"/>
    <e v="#N/A"/>
    <n v="0"/>
    <n v="2"/>
  </r>
  <r>
    <x v="8"/>
    <s v="DBD82220135"/>
    <s v="Diebold-Opteva 828 FL Cash Recycler"/>
    <s v="1828FH102030"/>
    <s v="8060"/>
    <s v="Mór"/>
    <s v="Deák F. u. 2."/>
    <s v="ok"/>
    <n v="2"/>
    <n v="2"/>
    <x v="4"/>
    <n v="1"/>
    <n v="1"/>
    <n v="1"/>
  </r>
  <r>
    <x v="8"/>
    <s v="DBD82220136"/>
    <s v="Diebold-Opteva 828 FL Cash Recycler"/>
    <s v="1828FH102180"/>
    <s v="6640"/>
    <s v="Csongrád"/>
    <s v="Szentháromság tér 2-6."/>
    <s v="ok"/>
    <n v="2"/>
    <n v="2"/>
    <x v="11"/>
    <e v="#N/A"/>
    <n v="0"/>
    <n v="2"/>
  </r>
  <r>
    <x v="8"/>
    <s v="DBD82220137"/>
    <s v="Diebold-Opteva 828 FL Cash Recycler"/>
    <s v="1828FH102181"/>
    <s v="7130"/>
    <s v="Tolna"/>
    <s v="Kossuth L. u. 31."/>
    <s v="ok"/>
    <n v="2"/>
    <n v="2"/>
    <x v="7"/>
    <e v="#N/A"/>
    <n v="0"/>
    <n v="2"/>
  </r>
  <r>
    <x v="8"/>
    <s v="DBD82220138"/>
    <s v="Diebold-Opteva 828 FL Cash Recycler"/>
    <s v="1828FH102188"/>
    <s v="4220"/>
    <s v="Hajdúböszörmény"/>
    <s v="Kossuth u. 3."/>
    <s v="ok"/>
    <n v="2"/>
    <n v="2"/>
    <x v="16"/>
    <e v="#N/A"/>
    <n v="0"/>
    <n v="2"/>
  </r>
  <r>
    <x v="8"/>
    <s v="DBD82220139"/>
    <s v="Diebold-Opteva 828 FL Cash Recycler"/>
    <s v="1828FH102187"/>
    <s v="2900"/>
    <s v="Komárom"/>
    <s v="Mártírok u. 23."/>
    <s v="ok"/>
    <n v="2"/>
    <n v="2"/>
    <x v="19"/>
    <e v="#N/A"/>
    <n v="0"/>
    <n v="2"/>
  </r>
  <r>
    <x v="8"/>
    <s v="DBD82220140"/>
    <s v="Diebold-Opteva 828 FL Cash Recycler"/>
    <s v="1828FH102186"/>
    <s v="7000"/>
    <s v="Sárbogárd"/>
    <s v="Ady E. u. 170."/>
    <s v="ok"/>
    <n v="2"/>
    <n v="2"/>
    <x v="7"/>
    <e v="#N/A"/>
    <n v="0"/>
    <n v="2"/>
  </r>
  <r>
    <x v="8"/>
    <s v="DBD82220141"/>
    <s v="Diebold-Opteva 828 FL Cash Recycler"/>
    <s v="1828FH102183"/>
    <s v="7500"/>
    <s v="Nagyatád"/>
    <s v="Korányi Sándor u. 6."/>
    <s v="ok"/>
    <n v="2"/>
    <n v="2"/>
    <x v="12"/>
    <n v="1"/>
    <n v="1"/>
    <n v="1"/>
  </r>
  <r>
    <x v="8"/>
    <s v="DBD82220142"/>
    <s v="Diebold-Opteva 828 FL Cash Recycler"/>
    <s v="1828FH102182"/>
    <s v="3534"/>
    <s v="Miskolc"/>
    <s v="Árpád u. 2."/>
    <s v="ok"/>
    <n v="2"/>
    <n v="2"/>
    <x v="2"/>
    <n v="1"/>
    <n v="1"/>
    <n v="1"/>
  </r>
  <r>
    <x v="8"/>
    <s v="DBD82220143"/>
    <s v="Diebold-Opteva 828 FL Cash Recycler"/>
    <s v="1828FH102185"/>
    <s v="7700"/>
    <s v="Mohács"/>
    <s v="Jókai u. 1."/>
    <s v="ok"/>
    <n v="2"/>
    <n v="2"/>
    <x v="12"/>
    <e v="#N/A"/>
    <n v="0"/>
    <n v="2"/>
  </r>
  <r>
    <x v="8"/>
    <s v="DBD82220145"/>
    <s v="Diebold-Opteva 828 FL Cash Recycler"/>
    <s v="1828FH102189"/>
    <s v="9730"/>
    <s v="Kőszeg"/>
    <s v="Kossuth u. 8."/>
    <s v="ok"/>
    <n v="2"/>
    <n v="2"/>
    <x v="8"/>
    <e v="#N/A"/>
    <n v="0"/>
    <n v="2"/>
  </r>
  <r>
    <x v="8"/>
    <s v="DBD82220146"/>
    <s v="Diebold-Opteva 828 FL Cash Recycler"/>
    <s v="1828FH102184"/>
    <s v="5400"/>
    <s v="Mezőtúr"/>
    <s v="Szabadság tér 29."/>
    <s v="ok"/>
    <n v="2"/>
    <n v="2"/>
    <x v="11"/>
    <e v="#N/A"/>
    <n v="0"/>
    <n v="2"/>
  </r>
  <r>
    <x v="8"/>
    <s v="DBD82220147"/>
    <s v="Diebold-Opteva 828 FL Cash Recycler"/>
    <s v="1828FH102191"/>
    <s v="7400"/>
    <s v="Kaposvár"/>
    <s v="Honvéd u. 55."/>
    <s v="ok"/>
    <n v="2"/>
    <n v="2"/>
    <x v="12"/>
    <n v="1"/>
    <n v="1"/>
    <n v="1"/>
  </r>
  <r>
    <x v="8"/>
    <s v="DBD82220148"/>
    <s v="Diebold-Opteva 828 FL Cash Recycler"/>
    <s v="1828FH102192"/>
    <s v="1117"/>
    <s v="Budapest"/>
    <s v="Hunyadi J. u. 19."/>
    <s v="ok"/>
    <n v="2"/>
    <n v="2"/>
    <x v="17"/>
    <e v="#N/A"/>
    <n v="0"/>
    <n v="2"/>
  </r>
  <r>
    <x v="8"/>
    <s v="DBD82220150"/>
    <s v="Diebold-Opteva 828 FL Cash Recycler"/>
    <s v="1828FH102193"/>
    <s v="2120"/>
    <s v="Dunakeszi"/>
    <s v="Nádas u. 7."/>
    <s v="ok"/>
    <n v="2"/>
    <n v="2"/>
    <x v="14"/>
    <e v="#N/A"/>
    <n v="0"/>
    <n v="2"/>
  </r>
  <r>
    <x v="8"/>
    <s v="DBD82220151"/>
    <s v="Diebold-Opteva 828 FL Cash Recycler"/>
    <s v="1828FH102194"/>
    <s v="2141"/>
    <s v="Csömör"/>
    <s v="Határ út 6."/>
    <s v="ok"/>
    <n v="2"/>
    <n v="2"/>
    <x v="10"/>
    <n v="1"/>
    <n v="1"/>
    <n v="1"/>
  </r>
  <r>
    <x v="8"/>
    <s v="DBD82220152"/>
    <s v="Diebold-Opteva 828 FL Cash Recycler"/>
    <s v="1828FH102195"/>
    <s v="5430"/>
    <s v="Tiszaföldvár"/>
    <s v="Kossuth L. u. 191."/>
    <s v="ok"/>
    <n v="2"/>
    <n v="2"/>
    <x v="11"/>
    <n v="1"/>
    <n v="1"/>
    <n v="1"/>
  </r>
  <r>
    <x v="8"/>
    <s v="DBD82220153"/>
    <s v="Diebold-Opteva 828 FL Cash Recycler"/>
    <s v="1828FH102196"/>
    <s v="2750"/>
    <s v="Nagykőrös"/>
    <s v="Szabadság tér 2."/>
    <s v="ok"/>
    <n v="2"/>
    <n v="2"/>
    <x v="11"/>
    <e v="#N/A"/>
    <n v="0"/>
    <n v="2"/>
  </r>
  <r>
    <x v="8"/>
    <s v="DBD82220154"/>
    <s v="Diebold-Opteva 828 FL Cash Recycler"/>
    <s v="1828FH102197"/>
    <s v="4300"/>
    <s v="Nyírbátor"/>
    <s v="Zrínyi u. 1."/>
    <s v="ok"/>
    <n v="2"/>
    <n v="2"/>
    <x v="1"/>
    <n v="1"/>
    <n v="1"/>
    <n v="1"/>
  </r>
  <r>
    <x v="8"/>
    <s v="DBD82220155"/>
    <s v="Diebold-Opteva 828 FL Cash Recycler"/>
    <s v="1828FH102199"/>
    <s v="3524"/>
    <s v="Miskolc-Avas"/>
    <s v="Klapka u. 18."/>
    <s v="ok"/>
    <n v="2"/>
    <n v="2"/>
    <x v="2"/>
    <n v="1"/>
    <n v="1"/>
    <n v="1"/>
  </r>
  <r>
    <x v="8"/>
    <s v="DBD82220156"/>
    <s v="Diebold-Opteva 828 FL Cash Recycler"/>
    <s v="1828FH102200"/>
    <s v="6120"/>
    <s v="Kiskunmajsa"/>
    <s v="Csendes köz 1."/>
    <s v="ok"/>
    <n v="2"/>
    <n v="2"/>
    <x v="7"/>
    <n v="1"/>
    <n v="1"/>
    <n v="1"/>
  </r>
  <r>
    <x v="8"/>
    <s v="DBD82220157"/>
    <s v="Diebold-Opteva 828 FL Cash Recycler"/>
    <s v="1828FH102201"/>
    <s v="1148"/>
    <s v="Budapest"/>
    <s v="Nagy Lajos király útja 19-21."/>
    <s v="ok"/>
    <n v="2"/>
    <n v="2"/>
    <x v="6"/>
    <e v="#N/A"/>
    <n v="0"/>
    <n v="2"/>
  </r>
  <r>
    <x v="8"/>
    <s v="DBD82220158"/>
    <s v="Diebold-Opteva 828 FL Cash Recycler"/>
    <s v="1828FH102202"/>
    <s v="5350"/>
    <s v="Tiszafüred"/>
    <s v="Piac u. 3."/>
    <s v="ok"/>
    <n v="2"/>
    <n v="2"/>
    <x v="16"/>
    <e v="#N/A"/>
    <n v="0"/>
    <n v="2"/>
  </r>
  <r>
    <x v="8"/>
    <s v="DBD82220159"/>
    <s v="Diebold-Opteva 828 FL Cash Recycler"/>
    <s v="1828FH102198"/>
    <s v="7300"/>
    <s v="Komló"/>
    <s v="Kossuth L. u. 95/1"/>
    <s v="ok"/>
    <n v="2"/>
    <n v="2"/>
    <x v="12"/>
    <e v="#N/A"/>
    <n v="0"/>
    <n v="2"/>
  </r>
  <r>
    <x v="8"/>
    <s v="DBD82220162"/>
    <s v="Diebold-Opteva 828 FL Cash Recycler"/>
    <s v="1828FH102205"/>
    <s v="4060"/>
    <s v="Balmazújváros"/>
    <s v="Veres Péter u. 3."/>
    <s v="ok"/>
    <n v="2"/>
    <n v="2"/>
    <x v="16"/>
    <e v="#N/A"/>
    <n v="0"/>
    <n v="2"/>
  </r>
  <r>
    <x v="8"/>
    <s v="DBD82220163"/>
    <s v="Diebold-Opteva 828 FL Cash Recycler"/>
    <s v="1828FH102204"/>
    <s v="8640"/>
    <s v="Fonyód"/>
    <s v="Ady E. u. 25."/>
    <s v="ok"/>
    <n v="2"/>
    <n v="2"/>
    <x v="9"/>
    <n v="1"/>
    <n v="1"/>
    <n v="1"/>
  </r>
  <r>
    <x v="8"/>
    <s v="DBD82220164"/>
    <s v="Diebold-Opteva 828 FL Cash Recycler"/>
    <s v="1828FH102206"/>
    <s v="4100"/>
    <s v="Berettyóújfalu"/>
    <s v="Oláh Zs. u. 1."/>
    <s v="ok"/>
    <n v="2"/>
    <n v="2"/>
    <x v="16"/>
    <e v="#N/A"/>
    <n v="0"/>
    <n v="2"/>
  </r>
  <r>
    <x v="8"/>
    <s v="DBD82220165"/>
    <s v="Diebold-Opteva 828 FL Cash Recycler"/>
    <s v="1828FH102207"/>
    <s v="4320"/>
    <s v="Nagykálló"/>
    <s v="Árpád u. 12."/>
    <s v="ok"/>
    <n v="2"/>
    <n v="2"/>
    <x v="1"/>
    <n v="1"/>
    <n v="1"/>
    <n v="1"/>
  </r>
  <r>
    <x v="8"/>
    <s v="DBD82220166"/>
    <s v="Diebold-Opteva 828 FL Cash Recycler"/>
    <s v="1828FH102208"/>
    <s v="5200"/>
    <s v="Törökszentmiklós"/>
    <s v="Kossuth u. 141."/>
    <s v="ok"/>
    <n v="2"/>
    <n v="2"/>
    <x v="11"/>
    <n v="1"/>
    <n v="1"/>
    <n v="1"/>
  </r>
  <r>
    <x v="8"/>
    <s v="DBD82220167"/>
    <s v="Diebold-Opteva 828 FL Cash Recycler"/>
    <s v="1828FH102209"/>
    <s v="4900"/>
    <s v="Fehérgyarmat"/>
    <s v="Móricz Zs. u. 4."/>
    <s v="ok"/>
    <n v="2"/>
    <n v="2"/>
    <x v="1"/>
    <n v="1"/>
    <n v="1"/>
    <n v="1"/>
  </r>
  <r>
    <x v="8"/>
    <s v="DBD82220168"/>
    <s v="Diebold-Opteva 828 FL Cash Recycler"/>
    <s v="1828FH102210"/>
    <s v="5000"/>
    <s v="Szolnok"/>
    <s v="Nagy Imre krt. 2/a"/>
    <s v="ok"/>
    <n v="2"/>
    <n v="2"/>
    <x v="11"/>
    <n v="1"/>
    <n v="1"/>
    <n v="1"/>
  </r>
  <r>
    <x v="8"/>
    <s v="DBD82220169"/>
    <s v="Diebold-Opteva 828 FL Cash Recycler"/>
    <s v="1828FH102211"/>
    <s v="2040"/>
    <s v="Budaörs"/>
    <s v="Szabadság u. 131."/>
    <s v="ok"/>
    <n v="2"/>
    <n v="2"/>
    <x v="17"/>
    <n v="1"/>
    <n v="1"/>
    <n v="1"/>
  </r>
  <r>
    <x v="8"/>
    <s v="DBD82220170"/>
    <s v="Diebold-Opteva 828 FL Cash Recycler"/>
    <s v="1828FH102212"/>
    <s v="2340"/>
    <s v="Kiskunlacháza"/>
    <s v="Dózsa György út 219."/>
    <s v="ok"/>
    <n v="2"/>
    <n v="2"/>
    <x v="15"/>
    <n v="1"/>
    <n v="1"/>
    <n v="1"/>
  </r>
  <r>
    <x v="8"/>
    <s v="DBD82220171"/>
    <s v="Diebold-Opteva 828 FL Cash Recycler"/>
    <s v="1828FH102213"/>
    <s v="1094"/>
    <s v="Budapest"/>
    <s v="Ferenc krt. 13."/>
    <s v="ok"/>
    <n v="2"/>
    <n v="2"/>
    <x v="17"/>
    <e v="#N/A"/>
    <n v="0"/>
    <n v="2"/>
  </r>
  <r>
    <x v="8"/>
    <s v="DBD82220172"/>
    <s v="Diebold-Opteva 828 FL Cash Recycler"/>
    <s v="1828FH102214"/>
    <s v="1075"/>
    <s v="Budapest"/>
    <s v="Károly krt. 25."/>
    <s v="ok"/>
    <n v="2"/>
    <n v="2"/>
    <x v="13"/>
    <e v="#N/A"/>
    <n v="0"/>
    <n v="2"/>
  </r>
  <r>
    <x v="8"/>
    <s v="DBD82220173"/>
    <s v="Diebold-Opteva 828 FL Cash Recycler"/>
    <s v="1828FH102215"/>
    <s v="1039"/>
    <s v="Budapest"/>
    <s v="Heltai J. tér 9."/>
    <s v="ok"/>
    <n v="2"/>
    <n v="2"/>
    <x v="0"/>
    <n v="1"/>
    <n v="1"/>
    <n v="1"/>
  </r>
  <r>
    <x v="8"/>
    <s v="DBD82220175"/>
    <s v="Diebold-Opteva 828 FL Cash Recycler"/>
    <s v="1828FH102216"/>
    <s v="1203"/>
    <s v="Budapest"/>
    <s v="Bíró Mihály út 7."/>
    <s v="ok"/>
    <n v="2"/>
    <n v="2"/>
    <x v="15"/>
    <n v="1"/>
    <n v="1"/>
    <n v="1"/>
  </r>
  <r>
    <x v="8"/>
    <s v="DBD82220176"/>
    <s v="Diebold-Opteva 828 FL Cash Recycler"/>
    <s v="1828FH102218"/>
    <s v="1025"/>
    <s v="Budapest"/>
    <s v="Szépvölgyi út 4/b"/>
    <s v="ok"/>
    <n v="2"/>
    <n v="2"/>
    <x v="0"/>
    <e v="#N/A"/>
    <n v="0"/>
    <n v="2"/>
  </r>
  <r>
    <x v="8"/>
    <s v="DBD82220177"/>
    <s v="Diebold-Opteva 828 FL Cash Recycler"/>
    <s v="1828FH101743"/>
    <s v="6720"/>
    <s v="Szeged"/>
    <s v="Takaréktár u. 7."/>
    <s v="ok"/>
    <n v="2"/>
    <n v="2"/>
    <x v="3"/>
    <n v="1"/>
    <n v="1"/>
    <n v="1"/>
  </r>
  <r>
    <x v="8"/>
    <s v="DBD82220178"/>
    <s v="Diebold-Opteva 828 FL Cash Recycler"/>
    <s v="1828FH102220"/>
    <s v="2360"/>
    <s v="Gyál"/>
    <s v="Kőrösi út 160."/>
    <s v="ok"/>
    <n v="2"/>
    <n v="2"/>
    <x v="15"/>
    <n v="1"/>
    <n v="1"/>
    <n v="1"/>
  </r>
  <r>
    <x v="8"/>
    <s v="DBD82220179"/>
    <s v="Diebold-Opteva 828 FL Cash Recycler"/>
    <s v="1828FH102222"/>
    <s v="8790"/>
    <s v="Zalaszentgrót"/>
    <s v="Batthyányi u. 11."/>
    <s v="ok"/>
    <n v="2"/>
    <n v="2"/>
    <x v="9"/>
    <e v="#N/A"/>
    <n v="0"/>
    <n v="2"/>
  </r>
  <r>
    <x v="8"/>
    <s v="DBD82220180"/>
    <s v="Diebold-Opteva 828 FL Cash Recycler"/>
    <s v="1828FH102224"/>
    <s v="1204"/>
    <s v="Budapest"/>
    <s v="Kossuth L. u. 44-46."/>
    <s v="ok"/>
    <n v="2"/>
    <n v="2"/>
    <x v="15"/>
    <n v="1"/>
    <n v="1"/>
    <n v="1"/>
  </r>
  <r>
    <x v="8"/>
    <s v="DBD82220181"/>
    <s v="Diebold-Opteva 828 FL Cash Recycler"/>
    <s v="1828FH101657"/>
    <s v="8500"/>
    <s v="Pápa"/>
    <s v="Fő tér 22."/>
    <s v="ok"/>
    <n v="2"/>
    <n v="2"/>
    <x v="8"/>
    <n v="1"/>
    <n v="1"/>
    <n v="1"/>
  </r>
  <r>
    <x v="8"/>
    <s v="DBD82220182"/>
    <s v="Diebold-Opteva 828 FL Cash Recycler"/>
    <s v="1828FH102219"/>
    <s v="1081"/>
    <s v="Budapest"/>
    <s v="Népszínház u. 3-5."/>
    <s v="ok"/>
    <n v="2"/>
    <n v="2"/>
    <x v="13"/>
    <e v="#N/A"/>
    <n v="0"/>
    <n v="2"/>
  </r>
  <r>
    <x v="8"/>
    <s v="DBD82220183"/>
    <s v="Diebold-Opteva 828 FL Cash Recycler"/>
    <s v="1828FH102221"/>
    <s v="7621"/>
    <s v="Pécs"/>
    <s v="Rákóczi út 1."/>
    <s v="ok"/>
    <n v="2"/>
    <n v="2"/>
    <x v="12"/>
    <n v="1"/>
    <n v="1"/>
    <n v="1"/>
  </r>
  <r>
    <x v="8"/>
    <s v="DBD82220184"/>
    <s v="Diebold-Opteva 828 FL Cash Recycler"/>
    <s v="1828FH102223"/>
    <s v="3860"/>
    <s v="Encs"/>
    <s v="Bem József u. 1."/>
    <s v="ok"/>
    <n v="2"/>
    <n v="2"/>
    <x v="2"/>
    <e v="#N/A"/>
    <n v="0"/>
    <n v="2"/>
  </r>
  <r>
    <x v="8"/>
    <s v="DBD82220185"/>
    <s v="Diebold-Opteva 828 FL Cash Recycler"/>
    <s v="1828FH102225"/>
    <s v="8900"/>
    <s v="Zalaegerszeg"/>
    <s v="Kisfaludy u. 15-17."/>
    <s v="ok"/>
    <n v="2"/>
    <n v="2"/>
    <x v="9"/>
    <e v="#N/A"/>
    <n v="0"/>
    <n v="2"/>
  </r>
  <r>
    <x v="8"/>
    <s v="DBD82220186"/>
    <s v="Diebold-Opteva 828 FL Cash Recycler"/>
    <s v="1828FH102226"/>
    <s v="2536"/>
    <s v="Nyergesújfalu"/>
    <s v="Kossuth Lajos u. 12."/>
    <s v="ok"/>
    <n v="2"/>
    <n v="2"/>
    <x v="0"/>
    <e v="#N/A"/>
    <n v="0"/>
    <n v="2"/>
  </r>
  <r>
    <x v="8"/>
    <s v="DBD82220187"/>
    <s v="Diebold-Opteva 828 FL Cash Recycler"/>
    <s v="1828FH102227"/>
    <s v="7570"/>
    <s v="Barcs"/>
    <s v="Séta tér 5."/>
    <s v="ok"/>
    <n v="2"/>
    <n v="2"/>
    <x v="12"/>
    <e v="#N/A"/>
    <n v="0"/>
    <n v="2"/>
  </r>
  <r>
    <x v="8"/>
    <s v="DBD82220188"/>
    <s v="Diebold-Opteva 828 FL Cash Recycler"/>
    <s v="1828FH102228"/>
    <s v="1075"/>
    <s v="Budapest"/>
    <s v="Károly krt. 25."/>
    <s v="ok"/>
    <n v="2"/>
    <n v="2"/>
    <x v="13"/>
    <e v="#N/A"/>
    <n v="0"/>
    <n v="2"/>
  </r>
  <r>
    <x v="8"/>
    <s v="DBD82220189"/>
    <s v="Diebold-Opteva 828 FL Cash Recycler"/>
    <s v="1828FH102229"/>
    <s v="3630"/>
    <s v="Putnok"/>
    <s v="Kossuth u. 45."/>
    <s v="ok"/>
    <n v="2"/>
    <n v="2"/>
    <x v="2"/>
    <n v="1"/>
    <n v="1"/>
    <n v="1"/>
  </r>
  <r>
    <x v="8"/>
    <s v="DBD82220190"/>
    <s v="Diebold-Opteva 828 FL Cash Recycler"/>
    <s v="1828FH102230"/>
    <s v="1126"/>
    <s v="Budapest"/>
    <s v="Böszörményi út 9-11."/>
    <s v="ok"/>
    <n v="2"/>
    <n v="2"/>
    <x v="0"/>
    <n v="1"/>
    <n v="1"/>
    <n v="1"/>
  </r>
  <r>
    <x v="8"/>
    <s v="DBD82220191"/>
    <s v="Diebold-Opteva 828 FL Cash Recycler"/>
    <s v="1828FH102231"/>
    <s v="1124"/>
    <s v="Budapest"/>
    <s v="Apor Vilmos tér 11."/>
    <s v="ok"/>
    <n v="2"/>
    <n v="2"/>
    <x v="0"/>
    <n v="1"/>
    <n v="1"/>
    <n v="1"/>
  </r>
  <r>
    <x v="8"/>
    <s v="DBD82220192"/>
    <s v="Diebold-Opteva 828 FL Cash Recycler"/>
    <s v="1828FH102249"/>
    <s v="1066"/>
    <s v="Budapest"/>
    <s v="Oktogon tér 3."/>
    <s v="ok"/>
    <n v="2"/>
    <n v="2"/>
    <x v="13"/>
    <e v="#N/A"/>
    <n v="0"/>
    <n v="2"/>
  </r>
  <r>
    <x v="8"/>
    <s v="DBD82220193"/>
    <s v="Diebold-Opteva 828 FL Cash Recycler"/>
    <s v="1828FH102252"/>
    <s v="3300"/>
    <s v="Eger"/>
    <s v="Széchenyi u. 2."/>
    <s v="ok"/>
    <n v="2"/>
    <n v="2"/>
    <x v="2"/>
    <n v="1"/>
    <n v="1"/>
    <n v="1"/>
  </r>
  <r>
    <x v="8"/>
    <s v="DBD82220194"/>
    <s v="Diebold-Opteva 828 FL Cash Recycler"/>
    <s v="1828FH102253"/>
    <s v="6720"/>
    <s v="Szeged"/>
    <s v="Aradi vértanúk tere 3."/>
    <s v="ok"/>
    <n v="2"/>
    <n v="2"/>
    <x v="3"/>
    <n v="1"/>
    <n v="1"/>
    <n v="1"/>
  </r>
  <r>
    <x v="8"/>
    <s v="DBD82220195"/>
    <s v="Diebold-Opteva 828 FL Cash Recycler"/>
    <s v="1828FH102254"/>
    <s v="3525"/>
    <s v="Miskolc"/>
    <s v="Rákóczi u. 1."/>
    <s v="ok"/>
    <n v="2"/>
    <n v="2"/>
    <x v="2"/>
    <e v="#N/A"/>
    <n v="0"/>
    <n v="2"/>
  </r>
  <r>
    <x v="8"/>
    <s v="DBD82220196"/>
    <s v="Diebold-Opteva 828 FL Cash Recycler"/>
    <s v="1828FH102256"/>
    <s v="3780"/>
    <s v="Edelény"/>
    <s v="Tóth Árpád u. 1."/>
    <s v="ok"/>
    <n v="2"/>
    <n v="2"/>
    <x v="2"/>
    <e v="#N/A"/>
    <n v="0"/>
    <n v="2"/>
  </r>
  <r>
    <x v="8"/>
    <s v="DBD82220197"/>
    <s v="Diebold-Opteva 828 FL Cash Recycler"/>
    <s v="1828FH102255"/>
    <s v="9317"/>
    <s v="Szany"/>
    <s v="Ady E. u. 2."/>
    <s v="ok"/>
    <n v="2"/>
    <n v="2"/>
    <x v="8"/>
    <e v="#N/A"/>
    <n v="0"/>
    <n v="2"/>
  </r>
  <r>
    <x v="8"/>
    <s v="DBD82220198"/>
    <s v="Diebold-Opteva 828 FL Cash Recycler"/>
    <s v="1828FH102257"/>
    <s v="1055"/>
    <s v="Budapest"/>
    <s v="Szent István krt. 1."/>
    <s v="ok"/>
    <n v="2"/>
    <n v="2"/>
    <x v="13"/>
    <e v="#N/A"/>
    <n v="0"/>
    <n v="2"/>
  </r>
  <r>
    <x v="8"/>
    <s v="DBD82220199"/>
    <s v="Diebold-Opteva 828 FL Cash Recycler"/>
    <s v="1828FH102258"/>
    <s v="1151"/>
    <s v="Budapest"/>
    <s v="Fő utca 64."/>
    <s v="ok"/>
    <n v="2"/>
    <n v="2"/>
    <x v="14"/>
    <n v="1"/>
    <n v="1"/>
    <n v="1"/>
  </r>
  <r>
    <x v="8"/>
    <s v="DBD82220200"/>
    <s v="Diebold-Opteva 828 FL Cash Recycler"/>
    <s v="1828FH102259"/>
    <s v="1149"/>
    <s v="Budapest"/>
    <s v="Bosnyák tér 17."/>
    <s v="ok"/>
    <n v="2"/>
    <n v="2"/>
    <x v="14"/>
    <n v="1"/>
    <n v="1"/>
    <n v="1"/>
  </r>
  <r>
    <x v="8"/>
    <s v="DBD82220201"/>
    <s v="Diebold-Opteva 828 FL Cash Recycler"/>
    <s v="1828FH102260"/>
    <s v="1083"/>
    <s v="Budapest"/>
    <s v="Futó u. 37-45."/>
    <s v="ok"/>
    <n v="2"/>
    <n v="2"/>
    <x v="13"/>
    <n v="1"/>
    <n v="1"/>
    <n v="1"/>
  </r>
  <r>
    <x v="8"/>
    <s v="DBD82220202"/>
    <s v="Diebold-Opteva 828 FL Cash Recycler"/>
    <s v="1828FH102262"/>
    <s v="2700"/>
    <s v="Cegléd"/>
    <s v="Szabadság tér 6."/>
    <s v="ok"/>
    <n v="2"/>
    <n v="2"/>
    <x v="6"/>
    <n v="1"/>
    <n v="1"/>
    <n v="1"/>
  </r>
  <r>
    <x v="8"/>
    <s v="DBD82220203"/>
    <s v="Diebold-Opteva 828 FL Cash Recycler"/>
    <s v="1828FH102263"/>
    <s v="2510"/>
    <s v="Dorog"/>
    <s v="Mária u. 2."/>
    <s v="ok"/>
    <n v="2"/>
    <n v="2"/>
    <x v="14"/>
    <e v="#N/A"/>
    <n v="0"/>
    <n v="2"/>
  </r>
  <r>
    <x v="8"/>
    <s v="DBD82220204"/>
    <s v="Diebold-Opteva 828 FL Cash Recycler"/>
    <s v="1828FH102264"/>
    <s v="9970"/>
    <s v="Szentgotthárd"/>
    <s v="Mártírok tere 2."/>
    <s v="ok"/>
    <n v="2"/>
    <n v="2"/>
    <x v="8"/>
    <n v="1"/>
    <n v="1"/>
    <n v="1"/>
  </r>
  <r>
    <x v="8"/>
    <s v="DBD82220205"/>
    <s v="Diebold-Opteva 828 FL Cash Recycler"/>
    <s v="1828FH102265"/>
    <s v="3200"/>
    <s v="Gyöngyös"/>
    <s v="Fő tér 1."/>
    <s v="ok"/>
    <n v="2"/>
    <n v="2"/>
    <x v="6"/>
    <n v="1"/>
    <n v="1"/>
    <n v="1"/>
  </r>
  <r>
    <x v="8"/>
    <s v="DBD82220206"/>
    <s v="Diebold-Opteva 828 FL Cash Recycler"/>
    <s v="1828FH102266"/>
    <s v="2030"/>
    <s v="Érd"/>
    <s v="Budai út 24."/>
    <s v="ok"/>
    <n v="2"/>
    <n v="2"/>
    <x v="15"/>
    <n v="1"/>
    <n v="1"/>
    <n v="1"/>
  </r>
  <r>
    <x v="8"/>
    <s v="DBD82220208"/>
    <s v="Diebold-Opteva 828 FL Cash Recycler"/>
    <s v="1828FH102267"/>
    <s v="2071"/>
    <s v="Páty"/>
    <s v="Kossuth u. 83."/>
    <s v="ok"/>
    <n v="2"/>
    <n v="2"/>
    <x v="19"/>
    <n v="1"/>
    <n v="1"/>
    <n v="1"/>
  </r>
  <r>
    <x v="8"/>
    <s v="DBD82220209"/>
    <s v="Diebold-Opteva 828 FL Cash Recycler"/>
    <s v="1828FH102268"/>
    <s v="1032"/>
    <s v="Budapest"/>
    <s v="Bécsi út 154."/>
    <s v="ok"/>
    <n v="2"/>
    <n v="2"/>
    <x v="0"/>
    <n v="1"/>
    <n v="1"/>
    <n v="1"/>
  </r>
  <r>
    <x v="8"/>
    <s v="DBD82220210"/>
    <s v="Diebold-Opteva 828 FL Cash Recycler"/>
    <s v="1828FH102203"/>
    <s v="2092"/>
    <s v="Budakeszi"/>
    <s v="Fő u. 174."/>
    <s v="ok"/>
    <n v="2"/>
    <n v="2"/>
    <x v="0"/>
    <e v="#N/A"/>
    <n v="0"/>
    <n v="2"/>
  </r>
  <r>
    <x v="8"/>
    <s v="DBD82220211"/>
    <s v="Diebold-Opteva 828 FL Cash Recycler"/>
    <s v="1828FH102190"/>
    <s v="1133"/>
    <s v="Budapest"/>
    <s v="Váci út 80."/>
    <s v="ok"/>
    <n v="2"/>
    <n v="2"/>
    <x v="14"/>
    <n v="1"/>
    <n v="1"/>
    <n v="1"/>
  </r>
  <r>
    <x v="8"/>
    <s v="DBD82220212"/>
    <s v="Diebold-Opteva 828 FL Cash Recycler"/>
    <s v="1828FH101653"/>
    <s v="3000"/>
    <s v="Hatvan"/>
    <s v="Kossuth L. tér 8."/>
    <s v="ok"/>
    <n v="2"/>
    <n v="2"/>
    <x v="10"/>
    <n v="1"/>
    <n v="1"/>
    <n v="1"/>
  </r>
  <r>
    <x v="8"/>
    <s v="DBD82220213"/>
    <s v="Diebold-Opteva 828 FL Cash Recycler"/>
    <s v="1828FH102217"/>
    <s v="7200"/>
    <s v="Dombóvár"/>
    <s v="Dombó Pál u. 3."/>
    <s v="ok"/>
    <n v="2"/>
    <n v="2"/>
    <x v="12"/>
    <e v="#N/A"/>
    <n v="0"/>
    <n v="2"/>
  </r>
  <r>
    <x v="8"/>
    <s v="DBD82220214"/>
    <s v="Diebold-Opteva 828 FL Cash Recycler"/>
    <s v="1828FH101698"/>
    <s v="5300"/>
    <s v="Karcag"/>
    <s v="Kossuth L. tér 15."/>
    <s v="ok"/>
    <n v="2"/>
    <n v="2"/>
    <x v="16"/>
    <e v="#N/A"/>
    <n v="0"/>
    <n v="2"/>
  </r>
  <r>
    <x v="8"/>
    <s v="DBD82220215"/>
    <s v="Diebold-Opteva 828 FL Cash Recycler"/>
    <s v="1828FIP00650"/>
    <s v="9027"/>
    <s v="Győr"/>
    <s v="Budai u. 1."/>
    <s v="ok"/>
    <n v="2"/>
    <n v="2"/>
    <x v="19"/>
    <n v="1"/>
    <n v="1"/>
    <n v="1"/>
  </r>
  <r>
    <x v="8"/>
    <s v="DBD82220216"/>
    <s v="Diebold-Opteva 828 FL Cash Recycler"/>
    <s v="1828FIP00651"/>
    <s v="1106"/>
    <s v="Budapest"/>
    <s v="Örs vezér tere 25/a"/>
    <s v="ok"/>
    <n v="2"/>
    <n v="2"/>
    <x v="17"/>
    <e v="#N/A"/>
    <n v="0"/>
    <n v="2"/>
  </r>
  <r>
    <x v="8"/>
    <s v="DBD82220217"/>
    <s v="Diebold-Opteva 828 FL Cash Recycler"/>
    <s v="1828FIP00652"/>
    <s v="1106"/>
    <s v="Budapest"/>
    <s v="Örs vezér tere 25/a"/>
    <s v="ok"/>
    <n v="2"/>
    <n v="2"/>
    <x v="17"/>
    <n v="1"/>
    <n v="1"/>
    <n v="1"/>
  </r>
  <r>
    <x v="8"/>
    <s v="DBD82220218"/>
    <s v="Diebold-Opteva 828 FL Cash Recycler"/>
    <s v="1828FIP00653"/>
    <s v="1152"/>
    <s v="Budapest"/>
    <s v="Szentmihályi út 131."/>
    <s v="ok"/>
    <n v="2"/>
    <n v="2"/>
    <x v="14"/>
    <n v="1"/>
    <n v="1"/>
    <n v="1"/>
  </r>
  <r>
    <x v="8"/>
    <s v="DBD82220219"/>
    <s v="Diebold-Opteva 828 FL Cash Recycler"/>
    <s v="1828FIP00654"/>
    <s v="3170"/>
    <s v="Szécsény"/>
    <s v="Feszty Árpád u. 1."/>
    <s v="ok"/>
    <n v="2"/>
    <n v="2"/>
    <x v="6"/>
    <n v="1"/>
    <n v="1"/>
    <n v="1"/>
  </r>
  <r>
    <x v="8"/>
    <s v="DBD82220220"/>
    <s v="Diebold-Opteva 828 FL Cash Recycler"/>
    <s v="1828FIP00655"/>
    <s v="3900"/>
    <s v="Szerencs"/>
    <s v="Kossuth tér 3/a"/>
    <s v="ok"/>
    <n v="2"/>
    <n v="2"/>
    <x v="1"/>
    <n v="1"/>
    <n v="1"/>
    <n v="1"/>
  </r>
  <r>
    <x v="8"/>
    <s v="DBD82220221"/>
    <s v="Diebold-Opteva 828 FL Cash Recycler"/>
    <s v="1828FIP00656"/>
    <s v="3980"/>
    <s v="Sátoraljaújhely"/>
    <s v="Széchenyi tér 13."/>
    <s v="ok"/>
    <n v="2"/>
    <n v="2"/>
    <x v="1"/>
    <e v="#N/A"/>
    <n v="0"/>
    <n v="2"/>
  </r>
  <r>
    <x v="8"/>
    <s v="DBD82220222"/>
    <s v="Diebold-Opteva 828 FL Cash Recycler"/>
    <s v="1828FIP00657"/>
    <s v="1085"/>
    <s v="Budapest"/>
    <s v="Kálvin tér 12-13."/>
    <s v="ok"/>
    <n v="2"/>
    <n v="2"/>
    <x v="13"/>
    <e v="#N/A"/>
    <n v="0"/>
    <n v="2"/>
  </r>
  <r>
    <x v="8"/>
    <s v="DBD82220224"/>
    <s v="Diebold-Opteva 828 FL Cash Recycler"/>
    <s v="1828FIP00659"/>
    <s v="7633"/>
    <s v="Pécs-Újmecsekalja"/>
    <s v="Ybl u. 7/3"/>
    <s v="ok"/>
    <n v="2"/>
    <n v="2"/>
    <x v="12"/>
    <n v="1"/>
    <n v="1"/>
    <n v="1"/>
  </r>
  <r>
    <x v="8"/>
    <s v="DBD82220225"/>
    <s v="Diebold-Opteva 828 FL Cash Recycler"/>
    <s v="1828FIP00660"/>
    <s v="1102"/>
    <s v="Budapest"/>
    <s v="Kőrösi Csoma sétány 6."/>
    <s v="ok"/>
    <n v="2"/>
    <n v="2"/>
    <x v="17"/>
    <e v="#N/A"/>
    <n v="0"/>
    <n v="2"/>
  </r>
  <r>
    <x v="8"/>
    <s v="DBD82220226"/>
    <s v="Diebold-Opteva 828 FL Cash Recycler"/>
    <s v="1828FIP00661"/>
    <s v="9400"/>
    <s v="Sopron"/>
    <s v="Teleki Pál u. 22."/>
    <s v="ok"/>
    <n v="2"/>
    <n v="2"/>
    <x v="8"/>
    <e v="#N/A"/>
    <n v="0"/>
    <n v="2"/>
  </r>
  <r>
    <x v="8"/>
    <s v="DBD82220227"/>
    <s v="Diebold-Opteva 828 FL Cash Recycler"/>
    <s v="1828FIP00662"/>
    <s v="9026"/>
    <s v="Győr"/>
    <s v="Egyetem tér 1."/>
    <s v="ok"/>
    <n v="2"/>
    <n v="2"/>
    <x v="19"/>
    <n v="1"/>
    <n v="1"/>
    <n v="1"/>
  </r>
  <r>
    <x v="8"/>
    <s v="DBD82220228"/>
    <s v="Diebold-Opteva 828 FL Cash Recycler"/>
    <s v="1828FIP00663"/>
    <s v="8100"/>
    <s v="Várpalota"/>
    <s v="Újlaki u. 2."/>
    <s v="ok"/>
    <n v="2"/>
    <n v="2"/>
    <x v="4"/>
    <n v="1"/>
    <n v="1"/>
    <n v="1"/>
  </r>
  <r>
    <x v="8"/>
    <s v="DBD82220229"/>
    <s v="Diebold-Opteva 828 FL Cash Recycler"/>
    <s v="1828FIP00664"/>
    <s v="6090"/>
    <s v="Kunszentmiklós"/>
    <s v="Kálvin tér 11."/>
    <s v="ok"/>
    <n v="2"/>
    <n v="2"/>
    <x v="15"/>
    <n v="1"/>
    <n v="1"/>
    <n v="1"/>
  </r>
  <r>
    <x v="8"/>
    <s v="DBD82220230"/>
    <s v="Diebold-Opteva 828 FL Cash Recycler"/>
    <s v="1828FIP00665"/>
    <s v="5440"/>
    <s v="Kunszentmárton"/>
    <s v="Kossuth u. 2."/>
    <s v="ok"/>
    <n v="2"/>
    <n v="2"/>
    <x v="11"/>
    <n v="1"/>
    <n v="1"/>
    <n v="1"/>
  </r>
  <r>
    <x v="8"/>
    <s v="DBD82220231"/>
    <s v="Diebold-Opteva 828 FL Cash Recycler"/>
    <s v="1828FIP00666"/>
    <s v="7773"/>
    <s v="Villány"/>
    <s v="Baross G. u. 36-38."/>
    <s v="ok"/>
    <n v="2"/>
    <n v="2"/>
    <x v="12"/>
    <e v="#N/A"/>
    <n v="0"/>
    <n v="2"/>
  </r>
  <r>
    <x v="8"/>
    <s v="DBD82220232"/>
    <s v="Diebold-Opteva 828 FL Cash Recycler"/>
    <s v="1828FIP00667"/>
    <s v="3770"/>
    <s v="Sajószentpéter"/>
    <s v="Bethlen G. u. 1/a"/>
    <s v="ok"/>
    <n v="2"/>
    <n v="2"/>
    <x v="2"/>
    <e v="#N/A"/>
    <n v="0"/>
    <n v="2"/>
  </r>
  <r>
    <x v="8"/>
    <s v="DBD82220233"/>
    <s v="Diebold-Opteva 828 FL Cash Recycler"/>
    <s v="1828FIP00668"/>
    <s v="8960"/>
    <s v="Lenti"/>
    <s v="Dózsa Gy. u. 1."/>
    <s v="ok"/>
    <n v="2"/>
    <n v="2"/>
    <x v="9"/>
    <n v="1"/>
    <n v="1"/>
    <n v="1"/>
  </r>
  <r>
    <x v="8"/>
    <s v="DBD82220234"/>
    <s v="Diebold-Opteva 828 FL Cash Recycler"/>
    <s v="1828FIP00669"/>
    <s v="3800"/>
    <s v="Szikszó"/>
    <s v="Kassai u. 16."/>
    <s v="ok"/>
    <n v="2"/>
    <n v="2"/>
    <x v="2"/>
    <n v="1"/>
    <n v="1"/>
    <n v="1"/>
  </r>
  <r>
    <x v="8"/>
    <s v="DBD82220235"/>
    <s v="Diebold-Opteva 828 FL Cash Recycler"/>
    <s v="1828FIP00670"/>
    <s v="1181"/>
    <s v="Budapest"/>
    <s v="Üllői út 377."/>
    <s v="ok"/>
    <n v="2"/>
    <n v="2"/>
    <x v="15"/>
    <e v="#N/A"/>
    <n v="0"/>
    <n v="2"/>
  </r>
  <r>
    <x v="8"/>
    <s v="DBD82220236"/>
    <s v="Diebold-Opteva 828 FL Cash Recycler"/>
    <s v="1828FIP00671"/>
    <s v="8630"/>
    <s v="Balatonboglár"/>
    <s v="Dózsa Gy. u. 1."/>
    <s v="ok"/>
    <n v="2"/>
    <n v="2"/>
    <x v="9"/>
    <n v="1"/>
    <n v="1"/>
    <n v="1"/>
  </r>
  <r>
    <x v="8"/>
    <s v="DBD82220238"/>
    <s v="Diebold-Opteva 828 FL Cash Recycler"/>
    <s v="1828FIP00673"/>
    <s v="7090"/>
    <s v="Tamási"/>
    <s v="Szabadság út 33."/>
    <s v="ok"/>
    <n v="2"/>
    <n v="2"/>
    <x v="4"/>
    <n v="1"/>
    <n v="1"/>
    <n v="1"/>
  </r>
  <r>
    <x v="8"/>
    <s v="DBD82220239"/>
    <s v="Diebold-Opteva 828 FL Cash Recycler"/>
    <s v="1828FIP00674"/>
    <s v="2660"/>
    <s v="Balassagyarmat"/>
    <s v="Rákóczi fejedelem u. 44."/>
    <s v="ok"/>
    <n v="2"/>
    <n v="2"/>
    <x v="6"/>
    <e v="#N/A"/>
    <n v="0"/>
    <n v="2"/>
  </r>
  <r>
    <x v="8"/>
    <s v="DBD82220240"/>
    <s v="Diebold-Opteva 828 FL Cash Recycler"/>
    <s v="1828FIP00675"/>
    <s v="6087"/>
    <s v="Dunavecse"/>
    <s v="Fő u. 40."/>
    <s v="ok"/>
    <n v="2"/>
    <n v="2"/>
    <x v="7"/>
    <n v="1"/>
    <n v="1"/>
    <n v="1"/>
  </r>
  <r>
    <x v="8"/>
    <s v="DBD82220241"/>
    <s v="Diebold-Opteva 828 FL Cash Recycler"/>
    <s v="1828FIP00676"/>
    <s v="2730"/>
    <s v="Albertirsa"/>
    <s v="Vasút u. 4/a"/>
    <s v="ok"/>
    <n v="2"/>
    <n v="2"/>
    <x v="15"/>
    <e v="#N/A"/>
    <n v="0"/>
    <n v="2"/>
  </r>
  <r>
    <x v="8"/>
    <s v="DBD82220242"/>
    <s v="Diebold-Opteva 828 FL Cash Recycler"/>
    <s v="1828FIP00893"/>
    <s v="4400"/>
    <s v="Nyíregyháza"/>
    <s v="Dózsa Gy. u. 2."/>
    <s v="ok"/>
    <n v="2"/>
    <n v="2"/>
    <x v="1"/>
    <n v="1"/>
    <n v="1"/>
    <n v="1"/>
  </r>
  <r>
    <x v="8"/>
    <s v="DBD82220243"/>
    <s v="Diebold-Opteva 828 FL Cash Recycler"/>
    <s v="1828FIP00894"/>
    <s v="4130"/>
    <s v="Derecske"/>
    <s v="Köztársaság útja 111."/>
    <s v="ok"/>
    <n v="2"/>
    <n v="2"/>
    <x v="16"/>
    <n v="1"/>
    <n v="1"/>
    <n v="1"/>
  </r>
  <r>
    <x v="8"/>
    <s v="DBD82220244"/>
    <s v="Diebold-Opteva 828 FL Cash Recycler"/>
    <s v="1828FIP00895"/>
    <s v="8840"/>
    <s v="Csurgó"/>
    <s v="Széchenyi tér 21."/>
    <s v="ok"/>
    <n v="2"/>
    <n v="2"/>
    <x v="9"/>
    <n v="1"/>
    <n v="1"/>
    <n v="1"/>
  </r>
  <r>
    <x v="8"/>
    <s v="DBD82220245"/>
    <s v="Diebold-Opteva 828 FL Cash Recycler"/>
    <s v="1828FIP00896"/>
    <s v="1183"/>
    <s v="Budapest"/>
    <s v="Gyömrői út 79-83."/>
    <s v="ok"/>
    <n v="2"/>
    <n v="2"/>
    <x v="15"/>
    <n v="1"/>
    <n v="1"/>
    <n v="1"/>
  </r>
  <r>
    <x v="8"/>
    <s v="DBD82220246"/>
    <s v="Diebold-Opteva 828 FL Cash Recycler"/>
    <s v="1828FIP00897"/>
    <s v="6760"/>
    <s v="Kistelek"/>
    <s v="Kossuth L. u. 6-8."/>
    <s v="ok"/>
    <n v="2"/>
    <n v="2"/>
    <x v="3"/>
    <n v="1"/>
    <n v="1"/>
    <n v="1"/>
  </r>
  <r>
    <x v="8"/>
    <s v="DBD82220247"/>
    <s v="Diebold-Opteva 828 FL Cash Recycler"/>
    <s v="1828FIP00898"/>
    <s v="1221"/>
    <s v="Budapest"/>
    <s v="Kossuth L. u. 31."/>
    <s v="ok"/>
    <n v="2"/>
    <n v="2"/>
    <x v="17"/>
    <n v="1"/>
    <n v="1"/>
    <n v="1"/>
  </r>
  <r>
    <x v="8"/>
    <s v="DBD82220248"/>
    <s v="Diebold-Opteva 828 FL Cash Recycler"/>
    <s v="1828FIP00899"/>
    <s v="2000"/>
    <s v="Szentendre"/>
    <s v="Dumtsa J. u. 6."/>
    <s v="ok"/>
    <n v="2"/>
    <n v="2"/>
    <x v="14"/>
    <e v="#N/A"/>
    <n v="0"/>
    <n v="2"/>
  </r>
  <r>
    <x v="8"/>
    <s v="DBD82220249"/>
    <s v="Diebold-Opteva 828 FL Cash Recycler"/>
    <s v="1828FIP00900"/>
    <s v="1134"/>
    <s v="Budapest"/>
    <s v="Váci út 17"/>
    <s v="ok"/>
    <n v="2"/>
    <n v="2"/>
    <x v="14"/>
    <e v="#N/A"/>
    <n v="0"/>
    <n v="2"/>
  </r>
  <r>
    <x v="8"/>
    <s v="DBD82220250"/>
    <s v="Diebold-Opteva 828 FL Cash Recycler"/>
    <s v="1828FIP00901"/>
    <s v="1120"/>
    <s v="Budapest"/>
    <s v="Alkotás u. 53."/>
    <s v="ok"/>
    <n v="2"/>
    <n v="2"/>
    <x v="0"/>
    <e v="#N/A"/>
    <n v="0"/>
    <n v="2"/>
  </r>
  <r>
    <x v="8"/>
    <s v="DBD82220251"/>
    <s v="Diebold-Opteva 828 FL Cash Recycler"/>
    <s v="1828FIP00902"/>
    <s v="3530"/>
    <s v="Miskolc"/>
    <s v="Uitz B. u. 6."/>
    <s v="ok"/>
    <n v="2"/>
    <n v="2"/>
    <x v="2"/>
    <e v="#N/A"/>
    <n v="0"/>
    <n v="2"/>
  </r>
  <r>
    <x v="8"/>
    <s v="DBD82220252"/>
    <s v="Diebold-Opteva 828 FL Cash Recycler"/>
    <s v="1828FIP00903"/>
    <s v="1149"/>
    <s v="Budapest"/>
    <s v="Fogarasi út 15/b"/>
    <s v="ok"/>
    <n v="2"/>
    <n v="2"/>
    <x v="14"/>
    <n v="1"/>
    <n v="1"/>
    <n v="1"/>
  </r>
  <r>
    <x v="8"/>
    <s v="DBD82220253"/>
    <s v="Diebold-Opteva 828 FL Cash Recycler"/>
    <s v="1828FIP00904"/>
    <s v="7561"/>
    <s v="Nagybajom"/>
    <s v="Fő út 107."/>
    <s v="ok"/>
    <n v="2"/>
    <n v="2"/>
    <x v="12"/>
    <e v="#N/A"/>
    <n v="0"/>
    <n v="2"/>
  </r>
  <r>
    <x v="8"/>
    <s v="DBD82220254"/>
    <s v="Diebold-Opteva 828 FL Cash Recycler"/>
    <s v="1828FIP00905"/>
    <s v="5310"/>
    <s v="Kisújszállás"/>
    <s v="Szabadság u. 6."/>
    <s v="ok"/>
    <n v="2"/>
    <n v="2"/>
    <x v="11"/>
    <n v="1"/>
    <n v="1"/>
    <n v="1"/>
  </r>
  <r>
    <x v="8"/>
    <s v="DBD82220255"/>
    <s v="Diebold-Opteva 828 FL Cash Recycler"/>
    <s v="1828FIP00906"/>
    <s v="9737"/>
    <s v="Bük"/>
    <s v="Kossuth L. u. 1-3."/>
    <s v="ok"/>
    <n v="2"/>
    <n v="2"/>
    <x v="8"/>
    <n v="1"/>
    <n v="1"/>
    <n v="1"/>
  </r>
  <r>
    <x v="8"/>
    <s v="DBD82220256"/>
    <s v="Diebold-Opteva 828 FL Cash Recycler"/>
    <s v="1828FIP00672"/>
    <s v="6050"/>
    <s v="Lajosmizse"/>
    <s v="Dózsa Gy. u. 102/a"/>
    <s v="ok"/>
    <n v="2"/>
    <n v="2"/>
    <x v="15"/>
    <e v="#N/A"/>
    <n v="0"/>
    <n v="2"/>
  </r>
  <r>
    <x v="8"/>
    <s v="DBD82220257"/>
    <s v="Diebold-Opteva 828 FL Cash Recycler"/>
    <s v="1828FH102003"/>
    <s v="1138"/>
    <s v="Budapest"/>
    <s v="Váci út 135-139."/>
    <s v="ok"/>
    <n v="2"/>
    <n v="2"/>
    <x v="14"/>
    <e v="#N/A"/>
    <n v="0"/>
    <n v="2"/>
  </r>
  <r>
    <x v="8"/>
    <s v="DBD82220258"/>
    <s v="Diebold-Opteva 828 FL Cash Recycler"/>
    <s v="1828FIP00908"/>
    <s v="5630"/>
    <s v="Békés"/>
    <s v="Széchenyi tér 2."/>
    <s v="ok"/>
    <n v="2"/>
    <n v="2"/>
    <x v="3"/>
    <e v="#N/A"/>
    <n v="0"/>
    <n v="2"/>
  </r>
  <r>
    <x v="8"/>
    <s v="DBD82220259"/>
    <s v="Diebold-Opteva 828 FL Cash Recycler"/>
    <s v="1828FIP00909"/>
    <s v="8330"/>
    <s v="Sümeg"/>
    <s v="Szent István tér 1."/>
    <s v="ok"/>
    <n v="2"/>
    <n v="2"/>
    <x v="9"/>
    <n v="1"/>
    <n v="1"/>
    <n v="1"/>
  </r>
  <r>
    <x v="8"/>
    <s v="DBD82220260"/>
    <s v="Diebold-Opteva 828 FL Cash Recycler"/>
    <s v="1828FIP00910"/>
    <s v="7621"/>
    <s v="Pécs"/>
    <s v="Rákóczi út 44."/>
    <s v="ok"/>
    <n v="2"/>
    <n v="2"/>
    <x v="12"/>
    <n v="1"/>
    <n v="1"/>
    <n v="1"/>
  </r>
  <r>
    <x v="8"/>
    <s v="DBD82220261"/>
    <s v="Diebold-Opteva 828 FL Cash Recycler"/>
    <s v="1828FH101733"/>
    <s v="4200"/>
    <s v="Hajdúszoboszló"/>
    <s v="Szilfákalja u. 4."/>
    <s v="ok"/>
    <n v="2"/>
    <n v="1"/>
    <x v="16"/>
    <e v="#N/A"/>
    <n v="0"/>
    <n v="1"/>
  </r>
  <r>
    <x v="8"/>
    <s v="DBD82220262"/>
    <s v="Diebold-Opteva 828 FL Cash Recycler"/>
    <s v="1828FIP00907"/>
    <s v="7624"/>
    <s v="Pécs"/>
    <s v="Budai Nagy Antal utca 1."/>
    <s v="ok"/>
    <n v="2"/>
    <n v="1"/>
    <x v="12"/>
    <e v="#N/A"/>
    <n v="0"/>
    <n v="1"/>
  </r>
  <r>
    <x v="8"/>
    <s v="DBD82220263"/>
    <s v="Diebold-Opteva 828 FL Cash Recycler"/>
    <s v="1828FIP00911"/>
    <s v="6080"/>
    <s v="Szabadszállás"/>
    <s v="Kálvin tér 4."/>
    <s v="ok"/>
    <n v="2"/>
    <n v="1"/>
    <x v="7"/>
    <e v="#N/A"/>
    <n v="0"/>
    <n v="1"/>
  </r>
  <r>
    <x v="8"/>
    <s v="DBD82220264"/>
    <s v="Diebold-Opteva 828 FL Cash Recycler"/>
    <s v="1828FIP00912"/>
    <s v="2030"/>
    <s v="Érd"/>
    <s v="Iparos u. 5."/>
    <s v="ok"/>
    <n v="2"/>
    <n v="1"/>
    <x v="15"/>
    <e v="#N/A"/>
    <n v="0"/>
    <n v="1"/>
  </r>
  <r>
    <x v="8"/>
    <s v="DBD82220265"/>
    <s v="Diebold-Opteva 828 FL Cash Recycler"/>
    <s v="1828FIP00658"/>
    <s v="2060"/>
    <s v="Bicske"/>
    <s v="Kossuth tér 16."/>
    <s v="ok"/>
    <n v="2"/>
    <n v="1"/>
    <x v="19"/>
    <e v="#N/A"/>
    <n v="0"/>
    <n v="1"/>
  </r>
  <r>
    <x v="8"/>
    <s v="DBD82220266"/>
    <s v="Diebold-Opteva 828 FL Cash Recycler"/>
    <s v="1828FIP00913"/>
    <s v="9431"/>
    <s v="Fertőd"/>
    <s v="Fő u. 9."/>
    <s v="ok"/>
    <n v="2"/>
    <n v="1"/>
    <x v="8"/>
    <e v="#N/A"/>
    <n v="0"/>
    <n v="1"/>
  </r>
  <r>
    <x v="8"/>
    <s v="DBD82220267"/>
    <s v="Diebold-Opteva 828 FL Cash Recycler"/>
    <s v="1828FIP00914"/>
    <s v="1146"/>
    <s v="Budapest"/>
    <s v="Thököly út 102/b"/>
    <s v="ok"/>
    <n v="2"/>
    <n v="1"/>
    <x v="14"/>
    <e v="#N/A"/>
    <n v="0"/>
    <n v="1"/>
  </r>
  <r>
    <x v="8"/>
    <s v="DBD82220268"/>
    <s v="Diebold-Opteva 828 FL Cash Recycler"/>
    <s v="1828FIP00966"/>
    <s v="8360"/>
    <s v="Keszthely"/>
    <s v="Ady E. u. 2."/>
    <s v="ok"/>
    <n v="2"/>
    <n v="1"/>
    <x v="9"/>
    <e v="#N/A"/>
    <n v="0"/>
    <n v="1"/>
  </r>
  <r>
    <x v="9"/>
    <s v="S6T17600"/>
    <s v="Diebold-Opteva 760 ATM Outdoor"/>
    <s v="1760R3320573"/>
    <s v="9700"/>
    <s v="Szombathely"/>
    <s v="Király u.2"/>
    <s v="ok"/>
    <n v="2"/>
    <n v="2"/>
    <x v="8"/>
    <e v="#N/A"/>
    <n v="0"/>
    <n v="2"/>
  </r>
  <r>
    <x v="9"/>
    <s v="S6T17602"/>
    <s v="OPT562 1GIG-DVD-UPS-LAN-A6-CEN3(4HIGH)"/>
    <s v="1562RH120081"/>
    <s v="8000"/>
    <s v="Székesfehérvár"/>
    <s v="Budai u. 9-11."/>
    <s v="ok"/>
    <n v="2"/>
    <n v="2"/>
    <x v="4"/>
    <n v="1"/>
    <n v="1"/>
    <n v="1"/>
  </r>
  <r>
    <x v="9"/>
    <s v="S6T17603"/>
    <s v="Diebold-Opteva 760 ATM Outdoor"/>
    <s v="1760RCF00493"/>
    <s v="9730"/>
    <s v="Kőszeg"/>
    <s v="Várkörút 6."/>
    <s v="ok"/>
    <n v="2"/>
    <n v="2"/>
    <x v="8"/>
    <n v="1"/>
    <n v="1"/>
    <n v="1"/>
  </r>
  <r>
    <x v="9"/>
    <s v="S6T17604"/>
    <s v="Diebold-Opteva 720 ATM Indoor"/>
    <s v="1720FH120201"/>
    <s v="9400"/>
    <s v="Sopron"/>
    <s v="Határdomb u. 1-2."/>
    <s v="ok"/>
    <n v="2"/>
    <n v="2"/>
    <x v="8"/>
    <e v="#N/A"/>
    <n v="0"/>
    <n v="2"/>
  </r>
  <r>
    <x v="9"/>
    <s v="S6T17606"/>
    <s v="Diebold-Opteva 760 ATM Outdoor"/>
    <s v="1760RCF00115"/>
    <s v="8230"/>
    <s v="Balatonfüred"/>
    <s v="Arácsi u.16."/>
    <s v="ok"/>
    <n v="2"/>
    <n v="2"/>
    <x v="4"/>
    <e v="#N/A"/>
    <n v="0"/>
    <n v="2"/>
  </r>
  <r>
    <x v="9"/>
    <s v="S6T17609"/>
    <s v="Diebold-Opteva 760 ATM Outdoor"/>
    <s v="1760RH122048"/>
    <s v="1023"/>
    <s v="Budapest"/>
    <s v="Lajos u. 4."/>
    <s v="ok"/>
    <n v="2"/>
    <n v="2"/>
    <x v="0"/>
    <n v="1"/>
    <n v="1"/>
    <n v="1"/>
  </r>
  <r>
    <x v="9"/>
    <s v="S6T17611"/>
    <s v="Diebold-Opteva 760 ATM Outdoor"/>
    <s v="1760RH122049"/>
    <s v="9022"/>
    <s v="Győr"/>
    <s v="Kisfaludy u. 44."/>
    <s v="ok"/>
    <n v="2"/>
    <n v="2"/>
    <x v="19"/>
    <n v="1"/>
    <n v="1"/>
    <n v="1"/>
  </r>
  <r>
    <x v="9"/>
    <s v="S6T17612"/>
    <s v="OPT562 1GIG-DVD-UPS-LAN-A6-CEN3(4HIGH)"/>
    <s v="1562RH134182"/>
    <s v="1051"/>
    <s v="Budapest"/>
    <s v="Bajcsy Zsilinszky út 12."/>
    <s v="ok"/>
    <n v="2"/>
    <n v="2"/>
    <x v="13"/>
    <n v="1"/>
    <n v="1"/>
    <n v="1"/>
  </r>
  <r>
    <x v="9"/>
    <s v="S6T17613"/>
    <s v="Diebold-Opteva 760 ATM Outdoor"/>
    <s v="1760RH122843"/>
    <s v="9025"/>
    <s v="Győr"/>
    <s v="Csipkegyári utca 11."/>
    <s v="ok"/>
    <n v="2"/>
    <n v="2"/>
    <x v="19"/>
    <e v="#N/A"/>
    <n v="0"/>
    <n v="2"/>
  </r>
  <r>
    <x v="9"/>
    <s v="S6T17614"/>
    <s v="Diebold-Opteva 760 ATM Outdoor"/>
    <s v="1760RH122801"/>
    <s v="8200"/>
    <s v="Veszprém"/>
    <s v="Szabadság tér 8."/>
    <s v="ok"/>
    <n v="2"/>
    <n v="2"/>
    <x v="4"/>
    <e v="#N/A"/>
    <n v="0"/>
    <n v="2"/>
  </r>
  <r>
    <x v="9"/>
    <s v="S6T17615"/>
    <s v="Diebold-Opteva 760 ATM Outdoor"/>
    <s v="1760RH123967"/>
    <s v="8360"/>
    <s v="Keszthely"/>
    <s v="Rákóczi u. 3."/>
    <s v="ok"/>
    <n v="2"/>
    <n v="2"/>
    <x v="9"/>
    <n v="1"/>
    <n v="1"/>
    <n v="1"/>
  </r>
  <r>
    <x v="9"/>
    <s v="S6T17617"/>
    <s v="Diebold-Opteva 760 ATM Outdoor"/>
    <s v="1760RH126602"/>
    <s v="9400"/>
    <s v="Sopron"/>
    <s v="Kossuth Lajos u. 19."/>
    <s v="ok"/>
    <n v="2"/>
    <n v="2"/>
    <x v="8"/>
    <e v="#N/A"/>
    <n v="0"/>
    <n v="2"/>
  </r>
  <r>
    <x v="9"/>
    <s v="S6T17618"/>
    <s v="Diebold-Opteva 760 ATM Outdoor"/>
    <s v="1760RH126795"/>
    <s v="8900"/>
    <s v="Zalaegerszeg"/>
    <s v="Kossuth L. u. 29-31."/>
    <s v="ok"/>
    <n v="2"/>
    <n v="2"/>
    <x v="9"/>
    <e v="#N/A"/>
    <n v="0"/>
    <n v="2"/>
  </r>
  <r>
    <x v="10"/>
    <s v="CA001_ENA"/>
    <s v="Diebold-Opteva 720 ATM Indoor"/>
    <s v="1720FH122125"/>
    <s v="1054"/>
    <s v="Budapest"/>
    <s v="Szabadság tér 5-6."/>
    <s v="ok"/>
    <n v="0"/>
    <n v="0"/>
    <x v="13"/>
    <e v="#N/A"/>
    <n v="0"/>
    <n v="0"/>
  </r>
  <r>
    <x v="10"/>
    <s v="CA01"/>
    <s v="Diebold-Opteva 520 ATM Indoor"/>
    <s v="1520FH120025"/>
    <s v="1139"/>
    <s v="Budapest"/>
    <s v="Fáy u. 27."/>
    <s v="ok"/>
    <n v="2"/>
    <n v="2"/>
    <x v="14"/>
    <e v="#N/A"/>
    <n v="0"/>
    <n v="2"/>
  </r>
  <r>
    <x v="10"/>
    <s v="CA02"/>
    <s v="Diebold-Opteva 520 ATM Indoor"/>
    <s v="1520FH120010"/>
    <s v="2330"/>
    <s v="Dunaharaszti"/>
    <s v="Némedi út 104."/>
    <s v="ok"/>
    <n v="2"/>
    <n v="2"/>
    <x v="15"/>
    <n v="1"/>
    <n v="1"/>
    <n v="1"/>
  </r>
  <r>
    <x v="10"/>
    <s v="CA03_ENA"/>
    <s v="Diebold-Opteva 760 ATM Outdoor"/>
    <s v="1760RH125342"/>
    <s v="1184"/>
    <s v="Budapest"/>
    <s v="Üllői út 400."/>
    <s v="ok"/>
    <n v="2"/>
    <n v="2"/>
    <x v="15"/>
    <n v="1"/>
    <n v="1"/>
    <n v="1"/>
  </r>
  <r>
    <x v="10"/>
    <s v="CA04"/>
    <s v="Diebold-Opteva 522 Lobby Cash Dispenser"/>
    <s v="1522FH100283"/>
    <s v="1031"/>
    <s v="Budapest"/>
    <s v="Záhony u. 7."/>
    <s v="ok"/>
    <n v="2"/>
    <n v="2"/>
    <x v="0"/>
    <n v="1"/>
    <n v="1"/>
    <n v="1"/>
  </r>
  <r>
    <x v="10"/>
    <s v="CA05"/>
    <s v="OPT562 1GIG-DVD-UPS-LAN-A6-CEN3(4HIGH)"/>
    <s v="1562RH139003"/>
    <s v="4024"/>
    <s v="Debrecen"/>
    <s v="Kossuth u. 25-27."/>
    <s v="ok"/>
    <n v="2"/>
    <n v="2"/>
    <x v="16"/>
    <n v="1"/>
    <n v="1"/>
    <n v="1"/>
  </r>
  <r>
    <x v="10"/>
    <s v="CA06_ENA"/>
    <s v="Diebold-Opteva 720 ATM Indoor"/>
    <s v="1720FH121785"/>
    <s v="2040"/>
    <s v="Budaörs"/>
    <s v="Szabadság u. 49."/>
    <s v="ok"/>
    <n v="2"/>
    <n v="2"/>
    <x v="17"/>
    <n v="1"/>
    <n v="1"/>
    <n v="1"/>
  </r>
  <r>
    <x v="10"/>
    <s v="CA07"/>
    <s v="Diebold-Opteva 520 ATM Indoor"/>
    <s v="1520FH123069"/>
    <s v="2040"/>
    <s v="Budaörs"/>
    <s v="Szabadság u. 49."/>
    <s v="ok"/>
    <n v="2"/>
    <n v="2"/>
    <x v="17"/>
    <n v="1"/>
    <n v="1"/>
    <n v="1"/>
  </r>
  <r>
    <x v="10"/>
    <s v="CA08_ENA"/>
    <s v="Diebold-Opteva 720 ATM Indoor"/>
    <s v="1720FH122348"/>
    <s v="1054"/>
    <s v="Budapest"/>
    <s v="Alkotmány u. 4."/>
    <s v="ok"/>
    <n v="2"/>
    <n v="2"/>
    <x v="13"/>
    <e v="#N/A"/>
    <n v="0"/>
    <n v="2"/>
  </r>
  <r>
    <x v="10"/>
    <s v="CA09"/>
    <s v="Diebold-Opteva 520 ATM Indoor"/>
    <s v="1520FH123082"/>
    <s v="6721"/>
    <s v="Szeged"/>
    <s v="Kossuth Lajos sgt. 18-20."/>
    <s v="ok"/>
    <n v="2"/>
    <n v="2"/>
    <x v="3"/>
    <n v="1"/>
    <n v="1"/>
    <n v="1"/>
  </r>
  <r>
    <x v="10"/>
    <s v="CA10"/>
    <s v="Diebold-Opteva 560 ATM Outdoor"/>
    <s v="1560R3302910"/>
    <s v="6000"/>
    <s v="Kecskemét"/>
    <s v="Külső-Szegedi út 6."/>
    <s v="ok"/>
    <n v="2"/>
    <n v="2"/>
    <x v="11"/>
    <n v="1"/>
    <n v="1"/>
    <n v="1"/>
  </r>
  <r>
    <x v="10"/>
    <s v="CA100"/>
    <s v="Diebold-Opteva 522 Lobby Cash Dispenser"/>
    <s v="1522FH104894"/>
    <s v="1068"/>
    <s v="Budapest"/>
    <s v="Dózsa György út 84/b"/>
    <s v="ok"/>
    <n v="2"/>
    <n v="2"/>
    <x v="13"/>
    <n v="1"/>
    <n v="1"/>
    <n v="1"/>
  </r>
  <r>
    <x v="10"/>
    <s v="CA101_ENA"/>
    <s v="Diebold-Opteva 720 ATM Indoor"/>
    <s v="1720FH122664"/>
    <s v="1188"/>
    <s v="Budapest"/>
    <s v="Nagykőrösi út 49."/>
    <s v="ok"/>
    <n v="2"/>
    <n v="2"/>
    <x v="15"/>
    <n v="1"/>
    <n v="1"/>
    <n v="1"/>
  </r>
  <r>
    <x v="10"/>
    <s v="CA102"/>
    <s v="OPT562 1GIG-DVD-UPS-LAN-A6-CEN3(4HIGH)"/>
    <s v="1562RCF00039"/>
    <s v="2144"/>
    <s v="Kerepes"/>
    <s v="Szabadság útja 1/e"/>
    <s v="ok"/>
    <n v="2"/>
    <n v="2"/>
    <x v="10"/>
    <n v="1"/>
    <n v="1"/>
    <n v="1"/>
  </r>
  <r>
    <x v="10"/>
    <s v="CA103_ENA"/>
    <s v="Diebold-Opteva 720 ATM Indoor"/>
    <s v="1720FH122115"/>
    <s v="2100"/>
    <s v="Gödöllő"/>
    <s v="Dózsa György út 13."/>
    <s v="ok"/>
    <n v="2"/>
    <n v="2"/>
    <x v="10"/>
    <n v="1"/>
    <n v="1"/>
    <n v="1"/>
  </r>
  <r>
    <x v="10"/>
    <s v="CA104_ENA"/>
    <s v="Diebold-Opteva 720 ATM Indoor"/>
    <s v="1720FH122665"/>
    <s v="4026"/>
    <s v="Debrecen"/>
    <s v="Csapó u. 30."/>
    <s v="ok"/>
    <n v="2"/>
    <n v="2"/>
    <x v="16"/>
    <n v="1"/>
    <n v="1"/>
    <n v="1"/>
  </r>
  <r>
    <x v="10"/>
    <s v="CA105_ENA"/>
    <s v="Diebold-Opteva 720 ATM Indoor"/>
    <s v="1720FH122168"/>
    <s v="2800"/>
    <s v="Tatabánya"/>
    <s v="Győri út 7-9."/>
    <s v="ok"/>
    <n v="2"/>
    <n v="2"/>
    <x v="19"/>
    <e v="#N/A"/>
    <n v="0"/>
    <n v="2"/>
  </r>
  <r>
    <x v="10"/>
    <s v="CA106"/>
    <s v="Diebold-Opteva 520 ATM Indoor"/>
    <s v="1520FH120017"/>
    <s v="2800"/>
    <s v="Tatabánya"/>
    <s v="Győri út 7-9."/>
    <s v="ok"/>
    <n v="2"/>
    <n v="2"/>
    <x v="19"/>
    <e v="#N/A"/>
    <n v="0"/>
    <n v="2"/>
  </r>
  <r>
    <x v="10"/>
    <s v="CA107"/>
    <s v="Diebold-Opteva 520 ATM Indoor"/>
    <s v="1520FH121681"/>
    <s v="2800"/>
    <s v="Tatabánya"/>
    <s v="Bláthy Ottó u. 1."/>
    <s v="ok"/>
    <n v="2"/>
    <n v="2"/>
    <x v="19"/>
    <e v="#N/A"/>
    <n v="0"/>
    <n v="2"/>
  </r>
  <r>
    <x v="10"/>
    <s v="CA108_ENA"/>
    <s v="Diebold-Opteva 720 ATM Indoor"/>
    <s v="1720FH123158"/>
    <s v="1141"/>
    <s v="Budapest"/>
    <s v="Nagy Lajos király útja 214."/>
    <s v="ok"/>
    <n v="2"/>
    <n v="2"/>
    <x v="6"/>
    <e v="#N/A"/>
    <n v="0"/>
    <n v="2"/>
  </r>
  <r>
    <x v="10"/>
    <s v="CA109"/>
    <s v="OPT562 1GIG-DVD-UPS-LAN-A6-CEN3(4HIGH)"/>
    <s v="1562RCF00957"/>
    <s v="8900"/>
    <s v="Zalaegerszeg"/>
    <s v="Kovács Károly tér 1/a."/>
    <s v="ok"/>
    <n v="2"/>
    <n v="2"/>
    <x v="9"/>
    <n v="1"/>
    <n v="1"/>
    <n v="1"/>
  </r>
  <r>
    <x v="10"/>
    <s v="CA11_ENA"/>
    <s v="Diebold-Opteva 760 ATM Outdoor"/>
    <s v="1760RH124784"/>
    <s v="9021"/>
    <s v="Győr"/>
    <s v="Árpád u. 45."/>
    <s v="ok"/>
    <n v="2"/>
    <n v="2"/>
    <x v="19"/>
    <n v="1"/>
    <n v="1"/>
    <n v="1"/>
  </r>
  <r>
    <x v="10"/>
    <s v="CA110"/>
    <s v="Diebold-Opteva 520 ATM Indoor"/>
    <s v="1520FH120011"/>
    <s v="2220"/>
    <s v="Vecsés"/>
    <s v="Fő u. 246-248."/>
    <s v="ok"/>
    <n v="2"/>
    <n v="2"/>
    <x v="10"/>
    <n v="1"/>
    <n v="1"/>
    <n v="1"/>
  </r>
  <r>
    <x v="10"/>
    <s v="CA111"/>
    <s v="Diebold-Opteva 520 ATM Indoor"/>
    <s v="1520FH121677"/>
    <s v="3300"/>
    <s v="Eger"/>
    <s v="Kistályai út 2."/>
    <s v="ok"/>
    <n v="2"/>
    <n v="2"/>
    <x v="2"/>
    <e v="#N/A"/>
    <n v="0"/>
    <n v="2"/>
  </r>
  <r>
    <x v="10"/>
    <s v="CA113"/>
    <s v="Diebold-Opteva 520 ATM Indoor"/>
    <s v="1520FH121679"/>
    <s v="3300"/>
    <s v="Eger"/>
    <s v="Törvényház u. 4."/>
    <s v="ok"/>
    <n v="2"/>
    <n v="2"/>
    <x v="2"/>
    <e v="#N/A"/>
    <n v="0"/>
    <n v="2"/>
  </r>
  <r>
    <x v="10"/>
    <s v="CA114_ENA"/>
    <s v="Diebold-Opteva 720 ATM Indoor"/>
    <s v="1720FH122666"/>
    <s v="8600"/>
    <s v="Siófok"/>
    <s v="Fő u. 174-176."/>
    <s v="ok"/>
    <n v="2"/>
    <n v="2"/>
    <x v="4"/>
    <n v="1"/>
    <n v="1"/>
    <n v="1"/>
  </r>
  <r>
    <x v="10"/>
    <s v="CA115_ENA"/>
    <s v="Diebold-Opteva 720 ATM Indoor"/>
    <s v="1720FH122663"/>
    <s v="1039"/>
    <s v="Budapest"/>
    <s v="Heltai Jenő tér 15."/>
    <s v="ok"/>
    <n v="2"/>
    <n v="2"/>
    <x v="0"/>
    <n v="1"/>
    <n v="1"/>
    <n v="1"/>
  </r>
  <r>
    <x v="10"/>
    <s v="CA116"/>
    <s v="Diebold-Opteva 520 ATM Indoor"/>
    <s v="1520FH122734"/>
    <s v="8600"/>
    <s v="Siófok"/>
    <s v="Vak Bottyán u. 27"/>
    <s v="ok"/>
    <n v="2"/>
    <n v="2"/>
    <x v="4"/>
    <e v="#N/A"/>
    <n v="0"/>
    <n v="2"/>
  </r>
  <r>
    <x v="10"/>
    <s v="CA117"/>
    <s v="Diebold-Opteva 520 ATM Indoor"/>
    <s v="1520FH122733"/>
    <s v="2400"/>
    <s v="Dunaújváros"/>
    <s v="Aranyvölgyi út 6."/>
    <s v="ok"/>
    <n v="2"/>
    <n v="2"/>
    <x v="7"/>
    <n v="1"/>
    <n v="1"/>
    <n v="1"/>
  </r>
  <r>
    <x v="10"/>
    <s v="CA118"/>
    <s v="Diebold-Opteva 520 ATM Indoor"/>
    <s v="1520FH123072"/>
    <s v="1239"/>
    <s v="Budapest"/>
    <s v="Európa u. 6."/>
    <s v="ok"/>
    <n v="2"/>
    <n v="2"/>
    <x v="15"/>
    <n v="1"/>
    <n v="1"/>
    <n v="1"/>
  </r>
  <r>
    <x v="10"/>
    <s v="CA119_ENA"/>
    <s v="Diebold-Opteva 720 ATM Indoor"/>
    <s v="1720FH122167"/>
    <s v="2120"/>
    <s v="Dunakeszi"/>
    <s v="Fő út 70."/>
    <s v="ok"/>
    <n v="2"/>
    <n v="2"/>
    <x v="14"/>
    <n v="1"/>
    <n v="1"/>
    <n v="1"/>
  </r>
  <r>
    <x v="10"/>
    <s v="CA12_ENA"/>
    <s v="Diebold-Opteva 720 ATM Indoor"/>
    <s v="1720FH123163"/>
    <s v="1036"/>
    <s v="Budapest"/>
    <s v="Lajos u. 48-66."/>
    <s v="ok"/>
    <n v="2"/>
    <n v="2"/>
    <x v="0"/>
    <n v="1"/>
    <n v="1"/>
    <n v="1"/>
  </r>
  <r>
    <x v="10"/>
    <s v="CA120_ENA"/>
    <s v="Diebold-Opteva 720 ATM Indoor"/>
    <s v="1720FH121856"/>
    <s v="4400"/>
    <s v="Nyíregyháza"/>
    <s v="Nagy Imre tér 1."/>
    <s v="ok"/>
    <n v="2"/>
    <n v="2"/>
    <x v="1"/>
    <n v="1"/>
    <n v="1"/>
    <n v="1"/>
  </r>
  <r>
    <x v="10"/>
    <s v="CA121"/>
    <s v="Diebold-Opteva 520 ATM Indoor"/>
    <s v="1520FH122651"/>
    <s v="4400"/>
    <s v="Nyíregyháza"/>
    <s v="Nagy Imre tér 1."/>
    <s v="ok"/>
    <n v="2"/>
    <n v="2"/>
    <x v="1"/>
    <n v="1"/>
    <n v="1"/>
    <n v="1"/>
  </r>
  <r>
    <x v="10"/>
    <s v="CA125_ENA"/>
    <s v="Diebold-Opteva 760 ATM Outdoor"/>
    <s v="1760RH132286"/>
    <s v="5700"/>
    <s v="Gyula"/>
    <s v="Városház u. 12."/>
    <s v="ok"/>
    <n v="2"/>
    <n v="2"/>
    <x v="3"/>
    <e v="#N/A"/>
    <n v="0"/>
    <n v="2"/>
  </r>
  <r>
    <x v="10"/>
    <s v="CA126"/>
    <s v="Diebold-Opteva 520 ATM Indoor"/>
    <s v="1520FH124917"/>
    <s v="2360"/>
    <s v="Gyál"/>
    <s v="Pro Logis Üzleti Park 3-as épület"/>
    <s v="ok"/>
    <n v="2"/>
    <n v="2"/>
    <x v="15"/>
    <n v="1"/>
    <n v="1"/>
    <n v="1"/>
  </r>
  <r>
    <x v="10"/>
    <s v="CA127_ENA"/>
    <s v="Diebold-Opteva 720 ATM Indoor"/>
    <s v="1720FH122164"/>
    <s v="1103"/>
    <s v="Budapest"/>
    <s v="Gyömrői út 99."/>
    <s v="ok"/>
    <n v="2"/>
    <n v="2"/>
    <x v="17"/>
    <n v="1"/>
    <n v="1"/>
    <n v="1"/>
  </r>
  <r>
    <x v="10"/>
    <s v="CA128"/>
    <s v="Diebold-Opteva 520 ATM Indoor"/>
    <s v="1520FH122727"/>
    <s v="1103"/>
    <s v="Budapest"/>
    <s v="Gyömrői út 24."/>
    <s v="ok"/>
    <n v="2"/>
    <n v="2"/>
    <x v="17"/>
    <e v="#N/A"/>
    <n v="0"/>
    <n v="2"/>
  </r>
  <r>
    <x v="10"/>
    <s v="CA129"/>
    <s v="OPT562 1GIG-DVD-UPS-LAN-A6-CEN3(4HIGH)"/>
    <s v="1562RH128272"/>
    <s v="2510"/>
    <s v="Dorog"/>
    <s v="Esztergomi út 27."/>
    <s v="ok"/>
    <n v="2"/>
    <n v="2"/>
    <x v="14"/>
    <e v="#N/A"/>
    <n v="0"/>
    <n v="2"/>
  </r>
  <r>
    <x v="10"/>
    <s v="CA131_ENA"/>
    <s v="Diebold-Opteva 720 ATM Indoor"/>
    <s v="1720FH123159"/>
    <s v="8360"/>
    <s v="Keszthely"/>
    <s v="Kossuth Lajos u. 41."/>
    <s v="ok"/>
    <n v="2"/>
    <n v="2"/>
    <x v="9"/>
    <n v="1"/>
    <n v="1"/>
    <n v="1"/>
  </r>
  <r>
    <x v="10"/>
    <s v="CA132_ENA"/>
    <s v="Diebold-Opteva 720 ATM Indoor"/>
    <s v="1720FH123160"/>
    <s v="8500"/>
    <s v="Pápa"/>
    <s v="Fő u. 26."/>
    <s v="ok"/>
    <n v="2"/>
    <n v="2"/>
    <x v="8"/>
    <e v="#N/A"/>
    <n v="0"/>
    <n v="2"/>
  </r>
  <r>
    <x v="10"/>
    <s v="CA133_ENA"/>
    <s v="Diebold-Opteva 720 ATM Indoor"/>
    <s v="1720FH123161"/>
    <s v="6800"/>
    <s v="Hódmezővásárhely"/>
    <s v="Hódtó u. 17."/>
    <s v="ok"/>
    <n v="2"/>
    <n v="2"/>
    <x v="3"/>
    <n v="1"/>
    <n v="1"/>
    <n v="1"/>
  </r>
  <r>
    <x v="10"/>
    <s v="CA134_ENA"/>
    <s v="Diebold-Opteva 720 ATM Indoor"/>
    <s v="1720FH123162"/>
    <s v="6600"/>
    <s v="Szentes"/>
    <s v="Kossuth Lajos u. 8."/>
    <s v="ok"/>
    <n v="2"/>
    <n v="2"/>
    <x v="11"/>
    <e v="#N/A"/>
    <n v="0"/>
    <n v="2"/>
  </r>
  <r>
    <x v="10"/>
    <s v="CA135"/>
    <s v="Diebold-Opteva 520 ATM Indoor"/>
    <s v="1520FH123070"/>
    <s v="2038"/>
    <s v="Sóskút"/>
    <s v="Kerox u. 1."/>
    <s v="ok"/>
    <n v="2"/>
    <n v="2"/>
    <x v="17"/>
    <e v="#N/A"/>
    <n v="0"/>
    <n v="2"/>
  </r>
  <r>
    <x v="10"/>
    <s v="CA136"/>
    <s v="Diebold-Opteva 522 Lobby Cash Dispenser"/>
    <s v="1522FH102029"/>
    <s v="1152"/>
    <s v="Budapest"/>
    <s v="Szentmihályi út 171"/>
    <s v="ok"/>
    <n v="2"/>
    <n v="2"/>
    <x v="14"/>
    <e v="#N/A"/>
    <n v="0"/>
    <n v="2"/>
  </r>
  <r>
    <x v="10"/>
    <s v="CA137"/>
    <s v="Diebold-Opteva 520 ATM Indoor"/>
    <s v="1520FCF00165"/>
    <s v="3525"/>
    <s v="Miskolc"/>
    <s v="Széchenyi út 111."/>
    <s v="ok"/>
    <n v="2"/>
    <n v="2"/>
    <x v="2"/>
    <e v="#N/A"/>
    <n v="0"/>
    <n v="2"/>
  </r>
  <r>
    <x v="10"/>
    <s v="CA138"/>
    <s v="Diebold-Opteva 520 ATM Indoor"/>
    <s v="1520FH124915"/>
    <s v="8200"/>
    <s v="Veszprém"/>
    <s v="Ady Endre u. 1."/>
    <s v="ok"/>
    <n v="2"/>
    <n v="2"/>
    <x v="4"/>
    <n v="1"/>
    <n v="1"/>
    <n v="1"/>
  </r>
  <r>
    <x v="10"/>
    <s v="CA139"/>
    <s v="Diebold-Opteva 520 ATM Indoor"/>
    <s v="1520FH122728"/>
    <s v="2040"/>
    <s v="Budaörs"/>
    <s v="Kinizsi út 1-3."/>
    <s v="ok"/>
    <n v="2"/>
    <n v="2"/>
    <x v="17"/>
    <n v="1"/>
    <n v="1"/>
    <n v="1"/>
  </r>
  <r>
    <x v="10"/>
    <s v="CA14_ENA"/>
    <s v="Diebold-Opteva 720 ATM Indoor"/>
    <s v="1720FH122162"/>
    <s v="6721"/>
    <s v="Szeged"/>
    <s v="Kossuth L. stny. 18-20."/>
    <s v="ok"/>
    <n v="2"/>
    <n v="2"/>
    <x v="3"/>
    <n v="1"/>
    <n v="1"/>
    <n v="1"/>
  </r>
  <r>
    <x v="10"/>
    <s v="CA140"/>
    <s v="OPT562 1GIG-DVD-UPS-LAN-A6-CEN3(4HIGH)"/>
    <s v="1562RH129815"/>
    <s v="2051"/>
    <s v="Biatorbágy"/>
    <s v="Vendel park Budai u. 1."/>
    <s v="ok"/>
    <n v="2"/>
    <n v="2"/>
    <x v="19"/>
    <e v="#N/A"/>
    <n v="0"/>
    <n v="2"/>
  </r>
  <r>
    <x v="10"/>
    <s v="CA142"/>
    <s v="Diebold-Opteva 520 ATM Indoor"/>
    <s v="1520FH124924"/>
    <s v="2051"/>
    <s v="Biatorbágy"/>
    <s v="Budaörsi út 4."/>
    <s v="ok"/>
    <n v="2"/>
    <n v="2"/>
    <x v="19"/>
    <n v="1"/>
    <n v="1"/>
    <n v="1"/>
  </r>
  <r>
    <x v="10"/>
    <s v="CA143"/>
    <s v="Diebold-Opteva 520 ATM Indoor"/>
    <s v="1520FH123077"/>
    <s v="5004"/>
    <s v="Szolnok"/>
    <s v="Tószegi út 21."/>
    <s v="ok"/>
    <n v="2"/>
    <n v="2"/>
    <x v="11"/>
    <e v="#N/A"/>
    <n v="0"/>
    <n v="2"/>
  </r>
  <r>
    <x v="10"/>
    <s v="CA144"/>
    <s v="Diebold-Opteva 522 Lobby Cash Dispenser"/>
    <s v="1522FH100287"/>
    <s v="6724"/>
    <s v="Szeged"/>
    <s v="Londoni krt. 3."/>
    <s v="ok"/>
    <n v="2"/>
    <n v="2"/>
    <x v="3"/>
    <n v="1"/>
    <n v="1"/>
    <n v="1"/>
  </r>
  <r>
    <x v="10"/>
    <s v="CA145"/>
    <s v="OPT562 1GIG-DVD-UPS-LAN-A6-CEN3(4HIGH)"/>
    <s v="1562RCF00179"/>
    <s v="5000"/>
    <s v="Szolnok"/>
    <s v="Kossuth u. 18"/>
    <s v="ok"/>
    <n v="2"/>
    <n v="2"/>
    <x v="11"/>
    <n v="1"/>
    <n v="1"/>
    <n v="1"/>
  </r>
  <r>
    <x v="10"/>
    <s v="CA146"/>
    <s v="OPT562 1GIG-DVD-UPS-LAN-A6-CEN3(4HIGH)"/>
    <s v="1562RCF00040"/>
    <s v="9400"/>
    <s v="Sopron"/>
    <s v="Ferenczy János u. 5."/>
    <s v="ok"/>
    <n v="2"/>
    <n v="2"/>
    <x v="8"/>
    <n v="1"/>
    <n v="1"/>
    <n v="1"/>
  </r>
  <r>
    <x v="10"/>
    <s v="CA147"/>
    <s v="Diebold-Opteva 520 ATM Indoor"/>
    <s v="1520FH124918"/>
    <s v="9700"/>
    <s v="Szombathely"/>
    <s v="Zanati út 31."/>
    <s v="ok"/>
    <n v="2"/>
    <n v="2"/>
    <x v="8"/>
    <n v="1"/>
    <n v="1"/>
    <n v="1"/>
  </r>
  <r>
    <x v="10"/>
    <s v="CA148"/>
    <s v="Diebold-Opteva 520 ATM Indoor"/>
    <s v="1520FH123081"/>
    <s v="9700"/>
    <s v="Szombathely"/>
    <s v="Kőszegi u. 32"/>
    <s v="ok"/>
    <n v="2"/>
    <n v="2"/>
    <x v="8"/>
    <n v="1"/>
    <n v="1"/>
    <n v="1"/>
  </r>
  <r>
    <x v="10"/>
    <s v="CA149"/>
    <s v="Diebold-Opteva 520 ATM Indoor"/>
    <s v="1520FH123083"/>
    <s v="9600"/>
    <s v="Sárvár"/>
    <s v="Rákóczi u. 83."/>
    <s v="ok"/>
    <n v="2"/>
    <n v="2"/>
    <x v="8"/>
    <n v="1"/>
    <n v="1"/>
    <n v="1"/>
  </r>
  <r>
    <x v="10"/>
    <s v="CA15_ENA"/>
    <s v="Diebold-Opteva 720 ATM Indoor"/>
    <s v="1720FH122346"/>
    <s v="8700"/>
    <s v="Szombathely"/>
    <s v="Kőszegi u. 30-32."/>
    <s v="ok"/>
    <n v="2"/>
    <n v="2"/>
    <x v="8"/>
    <n v="1"/>
    <n v="1"/>
    <n v="1"/>
  </r>
  <r>
    <x v="10"/>
    <s v="CA150"/>
    <s v="Diebold-Opteva 520 ATM Indoor"/>
    <s v="1520FH123086"/>
    <s v="1085"/>
    <s v="Budapest"/>
    <s v="Kerepesi út 9."/>
    <s v="ok"/>
    <n v="2"/>
    <n v="2"/>
    <x v="13"/>
    <n v="1"/>
    <n v="1"/>
    <n v="1"/>
  </r>
  <r>
    <x v="10"/>
    <s v="CA152_ENA"/>
    <s v="Diebold-Opteva 720 ATM Indoor"/>
    <s v="1720FH122667"/>
    <s v="1087"/>
    <s v="Budapest"/>
    <s v="Stróbl Alajos u. 3/b."/>
    <s v="ok"/>
    <n v="2"/>
    <n v="2"/>
    <x v="13"/>
    <e v="#N/A"/>
    <n v="0"/>
    <n v="2"/>
  </r>
  <r>
    <x v="10"/>
    <s v="CA153_ENA"/>
    <s v="Diebold-Opteva 720 ATM Indoor"/>
    <s v="1720FH123167"/>
    <s v="4200"/>
    <s v="Hajdúszoboszló"/>
    <s v="Szilfákalja u. 4."/>
    <s v="ok"/>
    <n v="2"/>
    <n v="2"/>
    <x v="16"/>
    <e v="#N/A"/>
    <n v="0"/>
    <n v="2"/>
  </r>
  <r>
    <x v="10"/>
    <s v="CA154"/>
    <s v="OPT562 1GIG-DVD-UPS-LAN-A6-CEN3(4HIGH)"/>
    <s v="1562RCF00035"/>
    <s v="8400"/>
    <s v="Ajka"/>
    <s v="Szabadság tér 12."/>
    <s v="ok"/>
    <n v="2"/>
    <n v="2"/>
    <x v="4"/>
    <n v="1"/>
    <n v="1"/>
    <n v="1"/>
  </r>
  <r>
    <x v="10"/>
    <s v="CA157"/>
    <s v="Diebold-Opteva 520 ATM Indoor"/>
    <s v="1520FH124926"/>
    <s v="3800"/>
    <s v="Szikszó"/>
    <s v="Avalon u. 4."/>
    <s v="ok"/>
    <n v="2"/>
    <n v="2"/>
    <x v="2"/>
    <n v="1"/>
    <n v="1"/>
    <n v="1"/>
  </r>
  <r>
    <x v="10"/>
    <s v="CA158"/>
    <s v="Diebold-Opteva 522 Lobby Cash Dispenser"/>
    <s v="1522FH100289"/>
    <s v="3256"/>
    <s v="Miskolc"/>
    <s v="Búza tér 1."/>
    <s v="ok"/>
    <n v="2"/>
    <n v="2"/>
    <x v="2"/>
    <e v="#N/A"/>
    <n v="0"/>
    <n v="2"/>
  </r>
  <r>
    <x v="10"/>
    <s v="CA159"/>
    <s v="Diebold-Opteva 520 ATM Indoor"/>
    <s v="1520FH123080"/>
    <s v="7031"/>
    <s v="Paks"/>
    <s v="Pf. 71. HRSZ.: 8803/15"/>
    <s v="ok"/>
    <n v="2"/>
    <n v="2"/>
    <x v="7"/>
    <n v="1"/>
    <n v="1"/>
    <n v="1"/>
  </r>
  <r>
    <x v="10"/>
    <s v="CA16_ENA"/>
    <s v="Diebold-Opteva 720 ATM Indoor"/>
    <s v="1720FH122111"/>
    <s v="8000"/>
    <s v="Székesfehérvár"/>
    <s v="Budai út 1."/>
    <s v="ok"/>
    <n v="2"/>
    <n v="2"/>
    <x v="4"/>
    <e v="#N/A"/>
    <n v="0"/>
    <n v="2"/>
  </r>
  <r>
    <x v="10"/>
    <s v="CA160"/>
    <s v="Diebold-Opteva 520 ATM Indoor"/>
    <s v="1520FH124925"/>
    <s v="9027"/>
    <s v="Győr"/>
    <s v="Nagysándor József út 31."/>
    <s v="ok"/>
    <n v="2"/>
    <n v="2"/>
    <x v="19"/>
    <e v="#N/A"/>
    <n v="0"/>
    <n v="2"/>
  </r>
  <r>
    <x v="10"/>
    <s v="CA161"/>
    <s v="Diebold-Opteva 522 Lobby Cash Dispenser"/>
    <s v="1522FH100285"/>
    <s v="9023"/>
    <s v="Győr"/>
    <s v="Szigethy Attila út 112."/>
    <s v="ok"/>
    <n v="2"/>
    <n v="2"/>
    <x v="19"/>
    <n v="1"/>
    <n v="1"/>
    <n v="1"/>
  </r>
  <r>
    <x v="10"/>
    <s v="CA163_ENA"/>
    <s v="Diebold-Opteva 720 ATM Indoor"/>
    <s v="1720FH122110"/>
    <s v="7030"/>
    <s v="Paks"/>
    <s v="Táncsics Mihály u.2."/>
    <s v="ok"/>
    <n v="2"/>
    <n v="2"/>
    <x v="7"/>
    <n v="1"/>
    <n v="1"/>
    <n v="1"/>
  </r>
  <r>
    <x v="10"/>
    <s v="CA164_ENA"/>
    <s v="Diebold-Opteva 760 ATM Outdoor"/>
    <s v="1760RH132285"/>
    <s v="6100"/>
    <s v="Kiskunfélegyháza"/>
    <s v="Kossuth Lajos u. 2."/>
    <s v="ok"/>
    <n v="2"/>
    <n v="2"/>
    <x v="11"/>
    <e v="#N/A"/>
    <n v="0"/>
    <n v="2"/>
  </r>
  <r>
    <x v="10"/>
    <s v="CA165_ENA"/>
    <s v="Diebold-Opteva 720 ATM Indoor"/>
    <s v="1720FH122670"/>
    <s v="3580"/>
    <s v="Tiszaújváros"/>
    <s v="Mátyás király út 3."/>
    <s v="ok"/>
    <n v="2"/>
    <n v="2"/>
    <x v="2"/>
    <n v="1"/>
    <n v="1"/>
    <n v="1"/>
  </r>
  <r>
    <x v="10"/>
    <s v="CA166"/>
    <s v="OPT562 1GIG-DVD-UPS-LAN-A6-CEN3(4HIGH)"/>
    <s v="1562RH129816"/>
    <s v="5100"/>
    <s v="Jászberény"/>
    <s v="Fémnyomó út 1."/>
    <s v="ok"/>
    <n v="2"/>
    <n v="2"/>
    <x v="10"/>
    <n v="1"/>
    <n v="1"/>
    <n v="1"/>
  </r>
  <r>
    <x v="10"/>
    <s v="CA167"/>
    <s v="OPT562 1GIG-DVD-UPS-LAN-A6-CEN3(4HIGH)"/>
    <s v="1562RH133120"/>
    <s v="3527"/>
    <s v="Miskolc"/>
    <s v="Szondi u. 1."/>
    <s v="ok"/>
    <n v="2"/>
    <n v="2"/>
    <x v="2"/>
    <n v="1"/>
    <n v="1"/>
    <n v="1"/>
  </r>
  <r>
    <x v="10"/>
    <s v="CA168"/>
    <s v="Diebold-Opteva 520 ATM Indoor"/>
    <s v="1520FH121682"/>
    <s v="3700"/>
    <s v="Kazincbarcika"/>
    <s v="Egressy B. u. 1."/>
    <s v="ok"/>
    <n v="2"/>
    <n v="2"/>
    <x v="2"/>
    <n v="1"/>
    <n v="1"/>
    <n v="1"/>
  </r>
  <r>
    <x v="10"/>
    <s v="CA169_ENA"/>
    <s v="Diebold-Opteva 760 ATM Outdoor"/>
    <s v="1760RH125343"/>
    <s v="2600"/>
    <s v="Vác"/>
    <s v="Szent István tér 4."/>
    <s v="ok"/>
    <n v="2"/>
    <n v="2"/>
    <x v="6"/>
    <n v="1"/>
    <n v="1"/>
    <n v="1"/>
  </r>
  <r>
    <x v="10"/>
    <s v="CA17_ENA"/>
    <s v="Diebold-Opteva 760 ATM Outdoor"/>
    <s v="1760RH127728"/>
    <s v="1111"/>
    <s v="Budapest"/>
    <s v="Lágymányosi u. 1-3."/>
    <s v="ok"/>
    <n v="2"/>
    <n v="2"/>
    <x v="17"/>
    <e v="#N/A"/>
    <n v="0"/>
    <n v="2"/>
  </r>
  <r>
    <x v="10"/>
    <s v="CA170"/>
    <s v="Diebold-Opteva 520 ATM Indoor"/>
    <s v="1520FH124920"/>
    <s v="1095"/>
    <s v="Budapest"/>
    <s v="Boráros tér 7."/>
    <s v="ok"/>
    <n v="2"/>
    <n v="2"/>
    <x v="17"/>
    <e v="#N/A"/>
    <n v="0"/>
    <n v="2"/>
  </r>
  <r>
    <x v="10"/>
    <s v="CA172"/>
    <s v="Diebold-Opteva 522 Lobby Cash Dispenser"/>
    <s v="1522FH100290"/>
    <s v="1145"/>
    <s v="Budapest"/>
    <s v="Uzsoki u. 29-41"/>
    <s v="ok"/>
    <n v="2"/>
    <n v="2"/>
    <x v="14"/>
    <n v="1"/>
    <n v="1"/>
    <n v="1"/>
  </r>
  <r>
    <x v="10"/>
    <s v="CA173"/>
    <s v="Diebold-Opteva 520 ATM Indoor"/>
    <s v="1520FH124914"/>
    <s v="1204"/>
    <s v="Budapest"/>
    <s v="Köves u. 1"/>
    <s v="ok"/>
    <n v="2"/>
    <n v="2"/>
    <x v="15"/>
    <n v="1"/>
    <n v="1"/>
    <n v="1"/>
  </r>
  <r>
    <x v="10"/>
    <s v="CA174_ENA"/>
    <s v="Diebold-Opteva 720 ATM Indoor"/>
    <s v="1720FH123165"/>
    <s v="2310"/>
    <s v="Szigetszentmiklós"/>
    <s v="Bajcsy-Zs. u. 26."/>
    <s v="ok"/>
    <n v="2"/>
    <n v="2"/>
    <x v="15"/>
    <n v="1"/>
    <n v="1"/>
    <n v="1"/>
  </r>
  <r>
    <x v="10"/>
    <s v="CA175"/>
    <s v="OPT562 1GIG-DVD-UPS-LAN-A6-CEN3(4HIGH)"/>
    <s v="1562RH133119"/>
    <s v="9200"/>
    <s v="Mosonmagyaróvár"/>
    <s v="József Attila u.51."/>
    <s v="ok"/>
    <n v="2"/>
    <n v="2"/>
    <x v="19"/>
    <e v="#N/A"/>
    <n v="0"/>
    <n v="2"/>
  </r>
  <r>
    <x v="10"/>
    <s v="CA176"/>
    <s v="Diebold-Opteva 522 Lobby Cash Dispenser"/>
    <s v="1522FH102030"/>
    <s v="1103"/>
    <s v="Budapest"/>
    <s v="Gyömrői út 19-21"/>
    <s v="ok"/>
    <n v="2"/>
    <n v="2"/>
    <x v="17"/>
    <e v="#N/A"/>
    <n v="0"/>
    <n v="2"/>
  </r>
  <r>
    <x v="10"/>
    <s v="CA177"/>
    <s v="Diebold-Opteva 522 Lobby Cash Dispenser"/>
    <s v="1522FH102200"/>
    <s v="1117"/>
    <s v="Budapest"/>
    <s v="Október Huszonharmadika u. 8-10."/>
    <s v="ok"/>
    <n v="2"/>
    <n v="2"/>
    <x v="17"/>
    <n v="1"/>
    <n v="1"/>
    <n v="1"/>
  </r>
  <r>
    <x v="10"/>
    <s v="CA178"/>
    <s v="Diebold-Opteva 520 ATM Indoor"/>
    <s v="1520FH124922"/>
    <s v="8800"/>
    <s v="Nagykanizsa"/>
    <s v="Táborhely u. 4"/>
    <s v="ok"/>
    <n v="2"/>
    <n v="2"/>
    <x v="9"/>
    <n v="1"/>
    <n v="1"/>
    <n v="1"/>
  </r>
  <r>
    <x v="10"/>
    <s v="CA179"/>
    <s v="Diebold-Opteva 520 ATM Indoor"/>
    <s v="1520FH122653"/>
    <s v="9200"/>
    <s v="Mosonmagyaróvár"/>
    <s v="Kerékgyári út 2-4."/>
    <s v="ok"/>
    <n v="2"/>
    <n v="2"/>
    <x v="19"/>
    <e v="#N/A"/>
    <n v="0"/>
    <n v="2"/>
  </r>
  <r>
    <x v="10"/>
    <s v="CA18_ENA"/>
    <s v="Diebold-Opteva 760 ATM Outdoor"/>
    <s v="1760RH126771"/>
    <s v="6000"/>
    <s v="Kecskemét"/>
    <s v="Kisfaludy u. 8."/>
    <s v="ok"/>
    <n v="2"/>
    <n v="2"/>
    <x v="11"/>
    <n v="1"/>
    <n v="1"/>
    <n v="1"/>
  </r>
  <r>
    <x v="10"/>
    <s v="CA180"/>
    <s v="OPT562 1GIG-DVD-UPS-LAN-A6-CEN3(4HIGH)"/>
    <s v="1562R3300348"/>
    <s v="6000"/>
    <s v="Kecskemét"/>
    <s v="Kisfaludy u. 8."/>
    <s v="ok"/>
    <n v="2"/>
    <n v="2"/>
    <x v="11"/>
    <n v="1"/>
    <n v="1"/>
    <n v="1"/>
  </r>
  <r>
    <x v="10"/>
    <s v="CA181"/>
    <s v="Diebold-Opteva 522 Lobby Cash Dispenser"/>
    <s v="1522FH100282"/>
    <s v="6000"/>
    <s v="Kecskemét"/>
    <s v="Korona u. 2."/>
    <s v="ok"/>
    <n v="2"/>
    <n v="2"/>
    <x v="11"/>
    <e v="#N/A"/>
    <n v="0"/>
    <n v="2"/>
  </r>
  <r>
    <x v="10"/>
    <s v="CA182"/>
    <s v="Diebold-Opteva 520 ATM Indoor"/>
    <s v="1520FH122650"/>
    <s v="6000"/>
    <s v="Kecskemét"/>
    <s v="Daimler út 1"/>
    <s v="ok"/>
    <n v="2"/>
    <n v="2"/>
    <x v="11"/>
    <e v="#N/A"/>
    <n v="0"/>
    <n v="2"/>
  </r>
  <r>
    <x v="10"/>
    <s v="CA183_ENA"/>
    <s v="Diebold-Opteva 720 ATM Indoor"/>
    <s v="1720FH122669"/>
    <s v="1134"/>
    <s v="Budapest"/>
    <s v="Róbert Károly krt. 61-65."/>
    <s v="ok"/>
    <n v="2"/>
    <n v="2"/>
    <x v="14"/>
    <e v="#N/A"/>
    <n v="0"/>
    <n v="2"/>
  </r>
  <r>
    <x v="10"/>
    <s v="CA184"/>
    <s v="Diebold-Opteva 520 ATM Indoor"/>
    <s v="1520FH122649"/>
    <s v="1239"/>
    <s v="Budapest"/>
    <s v="Nagykőrösi út 351."/>
    <s v="ok"/>
    <n v="2"/>
    <n v="2"/>
    <x v="15"/>
    <n v="1"/>
    <n v="1"/>
    <n v="1"/>
  </r>
  <r>
    <x v="10"/>
    <s v="CA185"/>
    <s v="OPT562 1GIG-DVD-UPS-LAN-A6-CEN3(4HIGH)"/>
    <s v="1562RCF00042"/>
    <s v="1089"/>
    <s v="Budapest"/>
    <s v="Üllői út 86."/>
    <s v="ok"/>
    <n v="2"/>
    <n v="2"/>
    <x v="13"/>
    <e v="#N/A"/>
    <n v="0"/>
    <n v="2"/>
  </r>
  <r>
    <x v="10"/>
    <s v="CA186"/>
    <s v="Diebold-Opteva 520 ATM Indoor"/>
    <s v="1520FH122877"/>
    <s v="7400"/>
    <s v="Kaposvár"/>
    <s v="Berzsenyi u. 13."/>
    <s v="ok"/>
    <n v="2"/>
    <n v="2"/>
    <x v="12"/>
    <n v="1"/>
    <n v="1"/>
    <n v="1"/>
  </r>
  <r>
    <x v="10"/>
    <s v="CA187"/>
    <s v="OPT562 1GIG-DVD-UPS-LAN-A6-CEN3(4HIGH)"/>
    <s v="1562RH136304"/>
    <s v="1112"/>
    <s v="Budapest"/>
    <s v="Budaörsi út 64."/>
    <s v="ok"/>
    <n v="2"/>
    <n v="2"/>
    <x v="17"/>
    <n v="1"/>
    <n v="1"/>
    <n v="1"/>
  </r>
  <r>
    <x v="10"/>
    <s v="CA188_ENA"/>
    <s v="Diebold-Opteva 760 ATM Outdoor"/>
    <s v="1760RH132288"/>
    <s v="1149"/>
    <s v="Budapest"/>
    <s v="Fogarasi út 15."/>
    <s v="ok"/>
    <n v="2"/>
    <n v="2"/>
    <x v="14"/>
    <n v="1"/>
    <n v="1"/>
    <n v="1"/>
  </r>
  <r>
    <x v="10"/>
    <s v="CA189_ENA"/>
    <s v="Diebold-Opteva 720 ATM Indoor"/>
    <s v="1720FH122668"/>
    <s v="1137"/>
    <s v="Budapest"/>
    <s v="Szent István krt. 16."/>
    <s v="ok"/>
    <n v="2"/>
    <n v="2"/>
    <x v="14"/>
    <e v="#N/A"/>
    <n v="0"/>
    <n v="2"/>
  </r>
  <r>
    <x v="10"/>
    <s v="CA19_ENA"/>
    <s v="Diebold-Opteva 720 ATM Indoor"/>
    <s v="1720FH122104"/>
    <s v="8900"/>
    <s v="Zalaegerszeg"/>
    <s v="Kovács Károly tér 1/a"/>
    <s v="ok"/>
    <n v="2"/>
    <n v="2"/>
    <x v="9"/>
    <n v="1"/>
    <n v="1"/>
    <n v="1"/>
  </r>
  <r>
    <x v="10"/>
    <s v="CA190_ENA"/>
    <s v="Diebold-Opteva 720 ATM Indoor"/>
    <s v="1720FH122068"/>
    <s v="1191"/>
    <s v="Budapest"/>
    <s v="Vak Bottyán u. 75."/>
    <s v="ok"/>
    <n v="2"/>
    <n v="2"/>
    <x v="10"/>
    <e v="#N/A"/>
    <n v="0"/>
    <n v="2"/>
  </r>
  <r>
    <x v="10"/>
    <s v="CA192_ENA"/>
    <s v="Diebold-Opteva 720 ATM Indoor"/>
    <s v="1720FH122105"/>
    <s v="1138"/>
    <s v="Budapest"/>
    <s v="Dunavirág u. 2-6."/>
    <s v="ok"/>
    <n v="2"/>
    <n v="2"/>
    <x v="14"/>
    <n v="1"/>
    <n v="1"/>
    <n v="1"/>
  </r>
  <r>
    <x v="10"/>
    <s v="CA193"/>
    <s v="Diebold-Opteva 520 ATM Indoor"/>
    <s v="1520FH122730"/>
    <s v="1138"/>
    <s v="Budapest"/>
    <s v="Dunavirág u. 2-6."/>
    <s v="ok"/>
    <n v="2"/>
    <n v="2"/>
    <x v="14"/>
    <n v="1"/>
    <n v="1"/>
    <n v="1"/>
  </r>
  <r>
    <x v="10"/>
    <s v="CA194_ENA"/>
    <s v="Diebold-Opteva 720 ATM Indoor"/>
    <s v="1720FH121858"/>
    <s v="1117"/>
    <s v="Budapest"/>
    <s v="Neumann János u."/>
    <s v="ok"/>
    <n v="2"/>
    <n v="2"/>
    <x v="17"/>
    <n v="1"/>
    <n v="1"/>
    <n v="1"/>
  </r>
  <r>
    <x v="10"/>
    <s v="CA195"/>
    <s v="Diebold-Opteva 520 ATM Indoor"/>
    <s v="1520FH122729"/>
    <s v="1117"/>
    <s v="Budapest"/>
    <s v="Neumann János u."/>
    <s v="ok"/>
    <n v="2"/>
    <n v="2"/>
    <x v="17"/>
    <n v="1"/>
    <n v="1"/>
    <n v="1"/>
  </r>
  <r>
    <x v="10"/>
    <s v="CA20"/>
    <s v="Diebold-Opteva 520 ATM Indoor"/>
    <s v="1520FCF00930"/>
    <s v="1191"/>
    <s v="Budapest"/>
    <s v="Ülloi út 201."/>
    <s v="ok"/>
    <n v="2"/>
    <n v="2"/>
    <x v="10"/>
    <n v="1"/>
    <n v="1"/>
    <n v="1"/>
  </r>
  <r>
    <x v="10"/>
    <s v="CA200"/>
    <s v="Diebold-Opteva 522 Lobby Cash Dispenser"/>
    <s v="1522FH104893"/>
    <s v="2045"/>
    <s v="Törökbálint"/>
    <s v="Torbágy u. 1."/>
    <s v="ok"/>
    <n v="2"/>
    <n v="2"/>
    <x v="17"/>
    <e v="#N/A"/>
    <n v="0"/>
    <n v="2"/>
  </r>
  <r>
    <x v="10"/>
    <s v="CA201"/>
    <s v="Diebold-Opteva 520 ATM Indoor"/>
    <s v="1520FH124921"/>
    <s v="2040"/>
    <s v="Budaörs"/>
    <s v="Sport u. 2-4"/>
    <s v="ok"/>
    <n v="2"/>
    <n v="2"/>
    <x v="17"/>
    <n v="1"/>
    <n v="1"/>
    <n v="1"/>
  </r>
  <r>
    <x v="10"/>
    <s v="CA202"/>
    <s v="Diebold-Opteva 520 ATM Indoor"/>
    <s v="1520FH121676"/>
    <s v="2120"/>
    <s v="Dunakeszi"/>
    <s v="Nádas u. 6."/>
    <s v="ok"/>
    <n v="2"/>
    <n v="2"/>
    <x v="14"/>
    <e v="#N/A"/>
    <n v="0"/>
    <n v="2"/>
  </r>
  <r>
    <x v="10"/>
    <s v="CA203"/>
    <s v="Diebold-Opteva 520 ATM Indoor"/>
    <s v="1520FH123076"/>
    <s v="1239"/>
    <s v="Budapest"/>
    <s v="Bevásárló u. 2."/>
    <s v="ok"/>
    <n v="2"/>
    <n v="2"/>
    <x v="15"/>
    <n v="1"/>
    <n v="1"/>
    <n v="1"/>
  </r>
  <r>
    <x v="10"/>
    <s v="CA204"/>
    <s v="Diebold-Opteva 520 ATM Indoor"/>
    <s v="1520FH123075"/>
    <s v="2141"/>
    <s v="Csömör"/>
    <s v="Határ út 6."/>
    <s v="ok"/>
    <n v="2"/>
    <n v="2"/>
    <x v="10"/>
    <n v="1"/>
    <n v="1"/>
    <n v="1"/>
  </r>
  <r>
    <x v="10"/>
    <s v="CA205_ENA"/>
    <s v="Diebold-Opteva 720 ATM Indoor"/>
    <s v="1720FH122113"/>
    <s v="8000"/>
    <s v="Székesfehérvár"/>
    <s v="Holland fasor 2."/>
    <s v="ok"/>
    <n v="2"/>
    <n v="2"/>
    <x v="4"/>
    <n v="1"/>
    <n v="1"/>
    <n v="1"/>
  </r>
  <r>
    <x v="10"/>
    <s v="CA206"/>
    <s v="Diebold-Opteva 522 Lobby Cash Dispenser"/>
    <s v="1522FH100284"/>
    <s v="6000"/>
    <s v="Kecskemét"/>
    <s v="Dunaföldvári út 2."/>
    <s v="ok"/>
    <n v="2"/>
    <n v="2"/>
    <x v="11"/>
    <e v="#N/A"/>
    <n v="0"/>
    <n v="2"/>
  </r>
  <r>
    <x v="10"/>
    <s v="CA207"/>
    <s v="Diebold-Opteva 520 ATM Indoor"/>
    <s v="1520FH123073"/>
    <s v="1033"/>
    <s v="Budapest"/>
    <s v="Szentendrei út 115."/>
    <s v="ok"/>
    <n v="2"/>
    <n v="2"/>
    <x v="0"/>
    <n v="1"/>
    <n v="1"/>
    <n v="1"/>
  </r>
  <r>
    <x v="10"/>
    <s v="CA208"/>
    <s v="Diebold-Opteva 522 Lobby Cash Dispenser"/>
    <s v="1522FH102199"/>
    <s v="2234"/>
    <s v="Maglód"/>
    <s v="Eszterházy János u. 1."/>
    <s v="ok"/>
    <n v="2"/>
    <n v="2"/>
    <x v="10"/>
    <n v="1"/>
    <n v="1"/>
    <n v="1"/>
  </r>
  <r>
    <x v="10"/>
    <s v="CA209"/>
    <s v="Diebold-Opteva 520 ATM Indoor"/>
    <s v="1520FH120023"/>
    <s v="2151"/>
    <s v="Fót"/>
    <s v="Fehérkő u. 1."/>
    <s v="ok"/>
    <n v="2"/>
    <n v="2"/>
    <x v="6"/>
    <e v="#N/A"/>
    <n v="0"/>
    <n v="2"/>
  </r>
  <r>
    <x v="10"/>
    <s v="CA21"/>
    <s v="Diebold-Opteva 520 ATM Indoor"/>
    <s v="1520FCF00931"/>
    <s v="1191"/>
    <s v="Budapest"/>
    <s v="Ülloi út 201."/>
    <s v="ok"/>
    <n v="2"/>
    <n v="2"/>
    <x v="10"/>
    <e v="#N/A"/>
    <n v="0"/>
    <n v="2"/>
  </r>
  <r>
    <x v="10"/>
    <s v="CA210"/>
    <s v="Diebold-Opteva 520 ATM Indoor"/>
    <s v="1520FH120024"/>
    <s v="2083"/>
    <s v="Solymár"/>
    <s v="Szent Flórián u. 2-4."/>
    <s v="ok"/>
    <n v="2"/>
    <n v="2"/>
    <x v="0"/>
    <n v="1"/>
    <n v="1"/>
    <n v="1"/>
  </r>
  <r>
    <x v="10"/>
    <s v="CA211"/>
    <s v="Diebold-Opteva 522 Lobby Cash Dispenser"/>
    <s v="1522FH100281"/>
    <s v="2011"/>
    <s v="Budakalász"/>
    <s v="Omszk park 1."/>
    <s v="ok"/>
    <n v="2"/>
    <n v="2"/>
    <x v="14"/>
    <n v="1"/>
    <n v="1"/>
    <n v="1"/>
  </r>
  <r>
    <x v="10"/>
    <s v="CA215"/>
    <s v="Diebold-Opteva 520 ATM Indoor"/>
    <s v="1520FH120026"/>
    <s v="4031"/>
    <s v="Debrecen"/>
    <s v="Kishatár u. 1."/>
    <s v="ok"/>
    <n v="2"/>
    <n v="2"/>
    <x v="16"/>
    <n v="1"/>
    <n v="1"/>
    <n v="1"/>
  </r>
  <r>
    <x v="10"/>
    <s v="CA216"/>
    <s v="Diebold-Opteva 522 Lobby Cash Dispenser"/>
    <s v="1522FH102196"/>
    <s v="3527"/>
    <s v="Miskolc"/>
    <s v="József Attila u. 87."/>
    <s v="ok"/>
    <n v="2"/>
    <n v="2"/>
    <x v="2"/>
    <n v="1"/>
    <n v="1"/>
    <n v="1"/>
  </r>
  <r>
    <x v="10"/>
    <s v="CA217"/>
    <s v="Diebold-Opteva 520 ATM Indoor"/>
    <s v="1520FH121290"/>
    <s v="3516"/>
    <s v="Miskolc"/>
    <s v="Pest út 9."/>
    <s v="ok"/>
    <n v="2"/>
    <n v="2"/>
    <x v="2"/>
    <n v="1"/>
    <n v="1"/>
    <n v="1"/>
  </r>
  <r>
    <x v="10"/>
    <s v="CA22_ENA"/>
    <s v="Diebold-Opteva 720 ATM Indoor"/>
    <s v="1720FH121779"/>
    <s v="1191"/>
    <s v="Budapest"/>
    <s v="Üllői út 201."/>
    <s v="ok"/>
    <n v="2"/>
    <n v="2"/>
    <x v="10"/>
    <n v="1"/>
    <n v="1"/>
    <n v="1"/>
  </r>
  <r>
    <x v="10"/>
    <s v="CA23_ENA"/>
    <s v="Diebold-Opteva 760 ATM Outdoor"/>
    <s v="1760RH124786"/>
    <s v="3530"/>
    <s v="Miskolc"/>
    <s v="Hunyadi u.3."/>
    <s v="ok"/>
    <n v="2"/>
    <n v="2"/>
    <x v="2"/>
    <n v="1"/>
    <n v="1"/>
    <n v="1"/>
  </r>
  <r>
    <x v="10"/>
    <s v="CA24"/>
    <s v="OPT562 1GIG-DVD-UPS-LAN-A6-CEN3(4HIGH)"/>
    <s v="1562RCF00175"/>
    <s v="9027"/>
    <s v="Győr"/>
    <s v="Gesztenyefa út 4."/>
    <s v="ok"/>
    <n v="2"/>
    <n v="2"/>
    <x v="19"/>
    <e v="#N/A"/>
    <n v="0"/>
    <n v="2"/>
  </r>
  <r>
    <x v="10"/>
    <s v="CA25_ENA"/>
    <s v="Diebold-Opteva 760 ATM Outdoor"/>
    <s v="1760RH124785"/>
    <s v="4024"/>
    <s v="Debrecen"/>
    <s v="Kossuth Lajos u. 25-27."/>
    <s v="ok"/>
    <n v="2"/>
    <n v="2"/>
    <x v="16"/>
    <e v="#N/A"/>
    <n v="0"/>
    <n v="2"/>
  </r>
  <r>
    <x v="10"/>
    <s v="CA26_ENA"/>
    <s v="Diebold-Opteva 760 ATM Outdoor"/>
    <s v="1760RH125344"/>
    <s v="4400"/>
    <s v="Nyíregyháza"/>
    <s v="Dózsa Gy. u. 1."/>
    <s v="ok"/>
    <n v="2"/>
    <n v="2"/>
    <x v="1"/>
    <n v="1"/>
    <n v="1"/>
    <n v="1"/>
  </r>
  <r>
    <x v="10"/>
    <s v="CA27_ENA"/>
    <s v="Diebold-Opteva 720 ATM Indoor"/>
    <s v="1720FH122169"/>
    <s v="9200"/>
    <s v="Mosonmagyaróvár"/>
    <s v="Fő u. 6."/>
    <s v="ok"/>
    <n v="2"/>
    <n v="2"/>
    <x v="19"/>
    <e v="#N/A"/>
    <n v="0"/>
    <n v="2"/>
  </r>
  <r>
    <x v="10"/>
    <s v="CA28_ENA"/>
    <s v="Diebold-Opteva 720 ATM Indoor"/>
    <s v="1720FH122067"/>
    <s v="5000"/>
    <s v="Szolnok"/>
    <s v="Baross G. út 27-29"/>
    <s v="ok"/>
    <n v="2"/>
    <n v="2"/>
    <x v="11"/>
    <n v="1"/>
    <n v="1"/>
    <n v="1"/>
  </r>
  <r>
    <x v="10"/>
    <s v="CA29_ENA"/>
    <s v="Diebold-Opteva 760 ATM Outdoor"/>
    <s v="1760RH126770"/>
    <s v="2750"/>
    <s v="Nagykőrös"/>
    <s v="Szabadság tér 6."/>
    <s v="ok"/>
    <n v="2"/>
    <n v="2"/>
    <x v="11"/>
    <e v="#N/A"/>
    <n v="0"/>
    <n v="2"/>
  </r>
  <r>
    <x v="10"/>
    <s v="CA30"/>
    <s v="Diebold-Opteva 520 ATM Indoor"/>
    <s v="1520FH120012"/>
    <s v="4183"/>
    <s v="Kaba"/>
    <s v="Nádudvari útfél"/>
    <s v="ok"/>
    <n v="2"/>
    <n v="2"/>
    <x v="16"/>
    <n v="1"/>
    <n v="1"/>
    <n v="1"/>
  </r>
  <r>
    <x v="10"/>
    <s v="CA31"/>
    <s v="OPT562 1GIG-DVD-UPS-LAN-A6-CEN3(4HIGH)"/>
    <s v="1562RCF00037"/>
    <s v="2800"/>
    <s v="Tatabánya"/>
    <s v="Búzavirág u. 14"/>
    <s v="ok"/>
    <n v="2"/>
    <n v="2"/>
    <x v="19"/>
    <e v="#N/A"/>
    <n v="0"/>
    <n v="2"/>
  </r>
  <r>
    <x v="10"/>
    <s v="CA32"/>
    <s v="Diebold-Opteva 520 ATM Indoor"/>
    <s v="1520F3302402"/>
    <s v="1161"/>
    <s v="Budapest"/>
    <s v="Körvasút sor 105."/>
    <s v="ok"/>
    <n v="2"/>
    <n v="2"/>
    <x v="6"/>
    <e v="#N/A"/>
    <n v="0"/>
    <n v="2"/>
  </r>
  <r>
    <x v="10"/>
    <s v="CA33"/>
    <s v="Diebold-Opteva 520 ATM Indoor"/>
    <s v="1520FH123071"/>
    <s v="2800"/>
    <s v="Tatabánya"/>
    <s v="Fatelepi út 15."/>
    <s v="ok"/>
    <n v="2"/>
    <n v="2"/>
    <x v="19"/>
    <e v="#N/A"/>
    <n v="0"/>
    <n v="2"/>
  </r>
  <r>
    <x v="10"/>
    <s v="CA34"/>
    <s v="Diebold-Opteva 520 ATM Indoor"/>
    <s v="1520FH124913"/>
    <s v="8900"/>
    <s v="Zalaegerszeg"/>
    <s v="Posta út 63. C épület"/>
    <s v="ok"/>
    <n v="2"/>
    <n v="2"/>
    <x v="9"/>
    <e v="#N/A"/>
    <n v="0"/>
    <n v="2"/>
  </r>
  <r>
    <x v="10"/>
    <s v="CA35_ENA"/>
    <s v="Diebold-Opteva 760 ATM Outdoor"/>
    <s v="1760RH125341"/>
    <s v="7400"/>
    <s v="Kaposvár"/>
    <s v="Dózsa Gy. u. 1."/>
    <s v="ok"/>
    <n v="2"/>
    <n v="2"/>
    <x v="12"/>
    <n v="1"/>
    <n v="1"/>
    <n v="1"/>
  </r>
  <r>
    <x v="10"/>
    <s v="CA36"/>
    <s v="Diebold-Opteva 520 ATM Indoor"/>
    <s v="1520FH122731"/>
    <s v="8000"/>
    <s v="Székesfehérvár"/>
    <s v="Budai út 1. (2. ATM)"/>
    <s v="ok"/>
    <n v="2"/>
    <n v="2"/>
    <x v="4"/>
    <e v="#N/A"/>
    <n v="0"/>
    <n v="2"/>
  </r>
  <r>
    <x v="10"/>
    <s v="CA37"/>
    <s v="OPT562 1GIG-DVD-UPS-LAN-A6-CEN3(4HIGH)"/>
    <s v="1562RCF00176"/>
    <s v="3534"/>
    <s v="Miskolc"/>
    <s v="Muhi út 2/a."/>
    <s v="ok"/>
    <n v="2"/>
    <n v="2"/>
    <x v="2"/>
    <e v="#N/A"/>
    <n v="0"/>
    <n v="2"/>
  </r>
  <r>
    <x v="10"/>
    <s v="CA38_ENA"/>
    <s v="Diebold-Opteva 720 ATM Indoor"/>
    <s v="1720FH122106"/>
    <s v="8200"/>
    <s v="Veszprém"/>
    <s v="Ady Endre u. 1."/>
    <s v="ok"/>
    <n v="2"/>
    <n v="2"/>
    <x v="4"/>
    <n v="1"/>
    <n v="1"/>
    <n v="1"/>
  </r>
  <r>
    <x v="10"/>
    <s v="CA39"/>
    <s v="Diebold-Opteva 520 ATM Indoor"/>
    <s v="1520FCF00934"/>
    <s v="9027"/>
    <s v="Győr"/>
    <s v="Kardán út 1."/>
    <s v="ok"/>
    <n v="2"/>
    <n v="2"/>
    <x v="19"/>
    <e v="#N/A"/>
    <n v="0"/>
    <n v="2"/>
  </r>
  <r>
    <x v="10"/>
    <s v="CA40"/>
    <s v="OPT562 1GIG-DVD-UPS-LAN-A6-CEN3(4HIGH)"/>
    <s v="1562RCF00034"/>
    <s v="2541"/>
    <s v="Lábatlan"/>
    <s v="Rákóczi út 1."/>
    <s v="ok"/>
    <n v="2"/>
    <n v="2"/>
    <x v="0"/>
    <e v="#N/A"/>
    <n v="0"/>
    <n v="2"/>
  </r>
  <r>
    <x v="10"/>
    <s v="CA42"/>
    <s v="Diebold-Opteva 522 Lobby Cash Dispenser"/>
    <s v="1522FH102197"/>
    <s v="1023"/>
    <s v="Budapest"/>
    <s v="Bécsi út 3-5."/>
    <s v="ok"/>
    <n v="2"/>
    <n v="2"/>
    <x v="0"/>
    <n v="1"/>
    <n v="1"/>
    <n v="1"/>
  </r>
  <r>
    <x v="10"/>
    <s v="CA43_ENA"/>
    <s v="Diebold-Opteva 720 ATM Indoor"/>
    <s v="1720FH121859"/>
    <s v="1097"/>
    <s v="Budapest"/>
    <s v="Könyves Kálmán krt.12-14."/>
    <s v="ok"/>
    <n v="2"/>
    <n v="2"/>
    <x v="17"/>
    <n v="1"/>
    <n v="1"/>
    <n v="1"/>
  </r>
  <r>
    <x v="10"/>
    <s v="CA44_ENA"/>
    <s v="Diebold-Opteva 720 ATM Indoor"/>
    <s v="1720FH122107"/>
    <s v="3300"/>
    <s v="Eger"/>
    <s v="Törvényház u. 4."/>
    <s v="ok"/>
    <n v="2"/>
    <n v="2"/>
    <x v="2"/>
    <e v="#N/A"/>
    <n v="0"/>
    <n v="2"/>
  </r>
  <r>
    <x v="10"/>
    <s v="CA45_ENA"/>
    <s v="Diebold-Opteva 760 ATM Outdoor"/>
    <s v="1760RH127727"/>
    <s v="9400"/>
    <s v="Sopron"/>
    <s v="Várkerület 1-3."/>
    <s v="ok"/>
    <n v="2"/>
    <n v="2"/>
    <x v="8"/>
    <n v="1"/>
    <n v="1"/>
    <n v="1"/>
  </r>
  <r>
    <x v="10"/>
    <s v="CA46_ENA"/>
    <s v="Diebold-Opteva 760 ATM Outdoor"/>
    <s v="1760RH121017"/>
    <s v="1028"/>
    <s v="Budapest"/>
    <s v="Hidegkúti út 167."/>
    <s v="ok"/>
    <n v="2"/>
    <n v="2"/>
    <x v="0"/>
    <n v="1"/>
    <n v="1"/>
    <n v="1"/>
  </r>
  <r>
    <x v="10"/>
    <s v="CA47_ENA"/>
    <s v="Diebold-Opteva 720 ATM Indoor"/>
    <s v="1720FH121857"/>
    <s v="1123"/>
    <s v="Budapest"/>
    <s v="Alkotás út 50."/>
    <s v="ok"/>
    <n v="2"/>
    <n v="2"/>
    <x v="0"/>
    <n v="1"/>
    <n v="1"/>
    <n v="1"/>
  </r>
  <r>
    <x v="10"/>
    <s v="CA48"/>
    <s v="Diebold-Opteva 520 ATM Indoor"/>
    <s v="1520FCF00167"/>
    <s v="1113"/>
    <s v="Budapest"/>
    <s v="Bocskai út 134-146."/>
    <s v="ok"/>
    <n v="2"/>
    <n v="2"/>
    <x v="17"/>
    <e v="#N/A"/>
    <n v="0"/>
    <n v="2"/>
  </r>
  <r>
    <x v="10"/>
    <s v="CA49"/>
    <s v="Diebold-Opteva 522 Lobby Cash Dispenser"/>
    <s v="1522FH100288"/>
    <s v="2046"/>
    <s v="Törökbálint"/>
    <s v="Munkácsy Mihály u. 83."/>
    <s v="ok"/>
    <n v="2"/>
    <n v="2"/>
    <x v="17"/>
    <e v="#N/A"/>
    <n v="0"/>
    <n v="2"/>
  </r>
  <r>
    <x v="10"/>
    <s v="CA50"/>
    <s v="Diebold-Opteva 760 ATM Outdoor"/>
    <s v="1760RH125340"/>
    <s v="1097"/>
    <s v="Budapest"/>
    <s v="Könyves Kálmán krt.12-14."/>
    <s v="ok"/>
    <n v="2"/>
    <n v="2"/>
    <x v="17"/>
    <n v="1"/>
    <n v="1"/>
    <n v="1"/>
  </r>
  <r>
    <x v="10"/>
    <s v="CA51_ENA"/>
    <s v="Diebold-Opteva 720 ATM Indoor"/>
    <s v="1720FH122344"/>
    <s v="8800"/>
    <s v="Nagykanizsa"/>
    <s v="Fő u. 8."/>
    <s v="ok"/>
    <n v="2"/>
    <n v="2"/>
    <x v="9"/>
    <n v="1"/>
    <n v="1"/>
    <n v="1"/>
  </r>
  <r>
    <x v="10"/>
    <s v="CA52_ENA"/>
    <s v="Diebold-Opteva 720 ATM Indoor"/>
    <s v="1720FH123164"/>
    <s v="1022"/>
    <s v="Budapest"/>
    <s v="Bég u. 3-5."/>
    <s v="ok"/>
    <n v="2"/>
    <n v="2"/>
    <x v="0"/>
    <n v="1"/>
    <n v="1"/>
    <n v="1"/>
  </r>
  <r>
    <x v="10"/>
    <s v="CA53_ENA"/>
    <s v="Diebold-Opteva 720 ATM Indoor"/>
    <s v="1720FH121782"/>
    <s v="7621"/>
    <s v="Pécs"/>
    <s v="Rákóczi út 58."/>
    <s v="ok"/>
    <n v="2"/>
    <n v="2"/>
    <x v="12"/>
    <n v="1"/>
    <n v="1"/>
    <n v="1"/>
  </r>
  <r>
    <x v="10"/>
    <s v="CA54"/>
    <s v="Diebold-Opteva 520 ATM Indoor"/>
    <s v="1520V3300478"/>
    <s v="7621"/>
    <s v="Pécs"/>
    <s v="Rákóczi út 58."/>
    <s v="ok"/>
    <n v="2"/>
    <n v="2"/>
    <x v="12"/>
    <n v="1"/>
    <n v="1"/>
    <n v="1"/>
  </r>
  <r>
    <x v="10"/>
    <s v="CA55"/>
    <s v="Diebold-Opteva 520 ATM Indoor"/>
    <s v="1520F3302400"/>
    <s v="1053"/>
    <s v="Budapest"/>
    <s v="Ferenciek tere 2."/>
    <s v="ok"/>
    <n v="2"/>
    <n v="2"/>
    <x v="13"/>
    <e v="#N/A"/>
    <n v="0"/>
    <n v="2"/>
  </r>
  <r>
    <x v="10"/>
    <s v="CA56_ENA"/>
    <s v="Diebold-Opteva 720 ATM Indoor"/>
    <s v="1720FH122347"/>
    <s v="1053"/>
    <s v="Budapest"/>
    <s v="Ferenciek tere 2. (2. ATM)"/>
    <s v="ok"/>
    <n v="2"/>
    <n v="2"/>
    <x v="13"/>
    <e v="#N/A"/>
    <n v="0"/>
    <n v="2"/>
  </r>
  <r>
    <x v="10"/>
    <s v="CA58"/>
    <s v="Diebold-Opteva 520 ATM Indoor"/>
    <s v="1520F3303649"/>
    <s v="5600"/>
    <s v="Békéscsaba"/>
    <s v="Andrássy út 37-43"/>
    <s v="ok"/>
    <n v="2"/>
    <n v="2"/>
    <x v="3"/>
    <n v="1"/>
    <n v="1"/>
    <n v="1"/>
  </r>
  <r>
    <x v="10"/>
    <s v="CA59_ENA"/>
    <s v="Diebold-Opteva 720 ATM Indoor"/>
    <s v="1720FH122114"/>
    <s v="5600"/>
    <s v="Békéscsaba"/>
    <s v="Andrássy út 37-43"/>
    <s v="ok"/>
    <n v="2"/>
    <n v="2"/>
    <x v="3"/>
    <n v="1"/>
    <n v="1"/>
    <n v="1"/>
  </r>
  <r>
    <x v="10"/>
    <s v="CA60_ENA"/>
    <s v="Diebold-Opteva 720 ATM Indoor"/>
    <s v="1720FH122109"/>
    <s v="1222"/>
    <s v="Budapest"/>
    <s v="Nagytétényi út 37-45."/>
    <s v="ok"/>
    <n v="2"/>
    <n v="2"/>
    <x v="17"/>
    <e v="#N/A"/>
    <n v="0"/>
    <n v="2"/>
  </r>
  <r>
    <x v="10"/>
    <s v="CA61"/>
    <s v="Diebold-Opteva 520 ATM Indoor"/>
    <s v="1520FH122854"/>
    <s v="8000"/>
    <s v="Székesfehérvár"/>
    <s v="Holland fasor 14"/>
    <s v="ok"/>
    <n v="2"/>
    <n v="2"/>
    <x v="4"/>
    <e v="#N/A"/>
    <n v="0"/>
    <n v="2"/>
  </r>
  <r>
    <x v="10"/>
    <s v="CA62_ENA"/>
    <s v="Diebold-Opteva 720 ATM Indoor"/>
    <s v="1720FH122342"/>
    <s v="3100"/>
    <s v="Salgótarján"/>
    <s v="Rákóczi út 13."/>
    <s v="ok"/>
    <n v="2"/>
    <n v="2"/>
    <x v="6"/>
    <n v="1"/>
    <n v="1"/>
    <n v="1"/>
  </r>
  <r>
    <x v="10"/>
    <s v="CA63_ENA"/>
    <s v="Diebold-Opteva 760 ATM Outdoor"/>
    <s v="1760RH128482"/>
    <s v="7100"/>
    <s v="Szekszárd"/>
    <s v="Arany János u. 15-17."/>
    <s v="ok"/>
    <n v="2"/>
    <n v="2"/>
    <x v="7"/>
    <n v="1"/>
    <n v="1"/>
    <n v="1"/>
  </r>
  <r>
    <x v="10"/>
    <s v="CA64_ENA"/>
    <s v="Diebold-Opteva 760 ATM Outdoor"/>
    <s v="1760RH128483"/>
    <s v="2500"/>
    <s v="Esztergom"/>
    <s v="Kossuth Lajos u. 14."/>
    <s v="ok"/>
    <n v="2"/>
    <n v="2"/>
    <x v="14"/>
    <e v="#N/A"/>
    <n v="0"/>
    <n v="2"/>
  </r>
  <r>
    <x v="10"/>
    <s v="CA65_ENA"/>
    <s v="Diebold-Opteva 720 ATM Indoor"/>
    <s v="1720FH122343"/>
    <s v="1024"/>
    <s v="Budapest"/>
    <s v="Margit krt. 87-89."/>
    <s v="ok"/>
    <n v="2"/>
    <n v="2"/>
    <x v="0"/>
    <e v="#N/A"/>
    <n v="0"/>
    <n v="2"/>
  </r>
  <r>
    <x v="10"/>
    <s v="CA66_ENA"/>
    <s v="Diebold-Opteva 720 ATM Indoor"/>
    <s v="1720FH122166"/>
    <s v="2092"/>
    <s v="Budakeszi"/>
    <s v="Fő u. 139."/>
    <s v="ok"/>
    <n v="2"/>
    <n v="2"/>
    <x v="0"/>
    <e v="#N/A"/>
    <n v="0"/>
    <n v="2"/>
  </r>
  <r>
    <x v="10"/>
    <s v="CA67"/>
    <s v="Diebold-Opteva 520 ATM Indoor"/>
    <s v="1520FH120013"/>
    <s v="1034"/>
    <s v="Budapest"/>
    <s v="Bécsi út 136."/>
    <s v="ok"/>
    <n v="2"/>
    <n v="2"/>
    <x v="0"/>
    <n v="1"/>
    <n v="1"/>
    <n v="1"/>
  </r>
  <r>
    <x v="10"/>
    <s v="CA68_ENA"/>
    <s v="Diebold-Opteva 720 ATM Indoor"/>
    <s v="1720FH122112"/>
    <s v="2400"/>
    <s v="Dunaújváros"/>
    <s v="Dózsa Gy. út 4/d"/>
    <s v="ok"/>
    <n v="2"/>
    <n v="2"/>
    <x v="7"/>
    <n v="1"/>
    <n v="1"/>
    <n v="1"/>
  </r>
  <r>
    <x v="10"/>
    <s v="CA69_ENA"/>
    <s v="Diebold-Opteva 720 ATM Indoor"/>
    <s v="1720FH122117"/>
    <s v="2030"/>
    <s v="Érd"/>
    <s v="Budai út 13."/>
    <s v="ok"/>
    <n v="2"/>
    <n v="2"/>
    <x v="15"/>
    <n v="1"/>
    <n v="1"/>
    <n v="1"/>
  </r>
  <r>
    <x v="10"/>
    <s v="CA70"/>
    <s v="Diebold-Opteva 520 ATM Indoor"/>
    <s v="1520F3306008"/>
    <s v="1054"/>
    <s v="Budapest"/>
    <s v="Szabadság tér 5-6"/>
    <s v="ok"/>
    <n v="2"/>
    <n v="2"/>
    <x v="13"/>
    <e v="#N/A"/>
    <n v="0"/>
    <n v="2"/>
  </r>
  <r>
    <x v="10"/>
    <s v="CA71_ENA"/>
    <s v="Diebold-Opteva 720 ATM Indoor"/>
    <s v="1720FH121780"/>
    <s v="1054"/>
    <s v="Budapest"/>
    <s v="Szabadság tér 5-6."/>
    <s v="ok"/>
    <n v="2"/>
    <n v="2"/>
    <x v="13"/>
    <e v="#N/A"/>
    <n v="0"/>
    <n v="2"/>
  </r>
  <r>
    <x v="10"/>
    <s v="CA73_ENA"/>
    <s v="Diebold-Opteva 720 ATM Indoor"/>
    <s v="1720FH122163"/>
    <s v="1211"/>
    <s v="Budapest"/>
    <s v="II. Rákóczi Ferenc út 154-170."/>
    <s v="ok"/>
    <n v="2"/>
    <n v="2"/>
    <x v="15"/>
    <n v="1"/>
    <n v="1"/>
    <n v="1"/>
  </r>
  <r>
    <x v="10"/>
    <s v="CA74"/>
    <s v="Diebold-Opteva 520 ATM Indoor"/>
    <s v="1520FH124912"/>
    <s v="1212"/>
    <s v="Budapest"/>
    <s v="Görgey Artúr tér 8"/>
    <s v="ok"/>
    <n v="2"/>
    <n v="2"/>
    <x v="15"/>
    <n v="1"/>
    <n v="1"/>
    <n v="1"/>
  </r>
  <r>
    <x v="10"/>
    <s v="CA75_ENA"/>
    <s v="Diebold-Opteva 720 ATM Indoor"/>
    <s v="1720FH122160"/>
    <s v="6500"/>
    <s v="Baja"/>
    <s v="Tóth Kálmán tér 3."/>
    <s v="ok"/>
    <n v="2"/>
    <n v="2"/>
    <x v="12"/>
    <n v="1"/>
    <n v="1"/>
    <n v="1"/>
  </r>
  <r>
    <x v="10"/>
    <s v="CA77_ENA"/>
    <s v="Diebold-Opteva 720 ATM Indoor"/>
    <s v="1720FH122116"/>
    <s v="1042"/>
    <s v="Budapest"/>
    <s v="István út 10."/>
    <s v="ok"/>
    <n v="2"/>
    <n v="2"/>
    <x v="0"/>
    <e v="#N/A"/>
    <n v="0"/>
    <n v="2"/>
  </r>
  <r>
    <x v="10"/>
    <s v="CA78_ENA"/>
    <s v="Diebold-Opteva 720 ATM Indoor"/>
    <s v="1720FH122345"/>
    <s v="2700"/>
    <s v="Cegléd"/>
    <s v="Kossuth tér 4."/>
    <s v="ok"/>
    <n v="2"/>
    <n v="2"/>
    <x v="6"/>
    <n v="1"/>
    <n v="1"/>
    <n v="1"/>
  </r>
  <r>
    <x v="10"/>
    <s v="CA79_ENA"/>
    <s v="Diebold-Opteva 720 ATM Indoor"/>
    <s v="1720FH122161"/>
    <s v="2000"/>
    <s v="Szentendre"/>
    <s v="Dobogókői út 1."/>
    <s v="ok"/>
    <n v="2"/>
    <n v="2"/>
    <x v="14"/>
    <e v="#N/A"/>
    <n v="0"/>
    <n v="2"/>
  </r>
  <r>
    <x v="10"/>
    <s v="CA80_ENA"/>
    <s v="Diebold-Opteva 720 ATM Indoor"/>
    <s v="1720FH121784"/>
    <s v="1148"/>
    <s v="Budapest"/>
    <s v="Örs vezér tere 24."/>
    <s v="ok"/>
    <n v="2"/>
    <n v="2"/>
    <x v="6"/>
    <n v="1"/>
    <n v="1"/>
    <n v="1"/>
  </r>
  <r>
    <x v="10"/>
    <s v="CA81"/>
    <s v="Diebold-Opteva 520 ATM Indoor"/>
    <s v="1520FH124923"/>
    <s v="1148"/>
    <s v="Budapest"/>
    <s v="Örs vezér tere 24."/>
    <s v="ok"/>
    <n v="2"/>
    <n v="2"/>
    <x v="6"/>
    <n v="1"/>
    <n v="1"/>
    <n v="1"/>
  </r>
  <r>
    <x v="10"/>
    <s v="CA82_ENA"/>
    <s v="Diebold-Opteva 720 ATM Indoor"/>
    <s v="1720FH122159"/>
    <s v="1165"/>
    <s v="Budapest"/>
    <s v="Veres Péter út 105-107."/>
    <s v="ok"/>
    <n v="2"/>
    <n v="2"/>
    <x v="6"/>
    <e v="#N/A"/>
    <n v="0"/>
    <n v="2"/>
  </r>
  <r>
    <x v="10"/>
    <s v="CA83"/>
    <s v="Diebold-Opteva 520 ATM Indoor"/>
    <s v="1520V3300634"/>
    <s v="1052"/>
    <s v="Budapest"/>
    <s v="Szervita tér 1-2."/>
    <s v="ok"/>
    <n v="2"/>
    <n v="2"/>
    <x v="13"/>
    <e v="#N/A"/>
    <n v="0"/>
    <n v="2"/>
  </r>
  <r>
    <x v="10"/>
    <s v="CA84_ENA"/>
    <s v="Diebold-Opteva 760 ATM Outdoor"/>
    <s v="1760RH132287"/>
    <s v="1052"/>
    <s v="Budapest"/>
    <s v="Szervita tér 1-2."/>
    <s v="ok"/>
    <n v="2"/>
    <n v="2"/>
    <x v="13"/>
    <e v="#N/A"/>
    <n v="0"/>
    <n v="2"/>
  </r>
  <r>
    <x v="10"/>
    <s v="CA86_ENA"/>
    <s v="Diebold-Opteva 720 ATM Indoor"/>
    <s v="1720FH123166"/>
    <s v="5100"/>
    <s v="Jászberény"/>
    <s v="Szabadság tér 3."/>
    <s v="ok"/>
    <n v="2"/>
    <n v="2"/>
    <x v="10"/>
    <n v="1"/>
    <n v="1"/>
    <n v="1"/>
  </r>
  <r>
    <x v="10"/>
    <s v="CA87_ENA"/>
    <s v="Diebold-Opteva 720 ATM Indoor"/>
    <s v="1720FH121781"/>
    <s v="1138"/>
    <s v="Budapest"/>
    <s v="Váci út 178."/>
    <s v="ok"/>
    <n v="2"/>
    <n v="2"/>
    <x v="14"/>
    <n v="1"/>
    <n v="1"/>
    <n v="1"/>
  </r>
  <r>
    <x v="10"/>
    <s v="CA89"/>
    <s v="Diebold-Opteva 520 ATM Indoor"/>
    <s v="1520FH123084"/>
    <s v="2030"/>
    <s v="Érd"/>
    <s v="Felső u. 39-41."/>
    <s v="ok"/>
    <n v="2"/>
    <n v="2"/>
    <x v="15"/>
    <n v="1"/>
    <n v="1"/>
    <n v="1"/>
  </r>
  <r>
    <x v="10"/>
    <s v="CA90_ENA"/>
    <s v="Diebold-Opteva 720 ATM Indoor"/>
    <s v="1720FH122170"/>
    <s v="9021"/>
    <s v="Győr"/>
    <s v="Budai út 1. (Árkád)"/>
    <s v="ok"/>
    <n v="2"/>
    <n v="2"/>
    <x v="19"/>
    <e v="#N/A"/>
    <n v="0"/>
    <n v="2"/>
  </r>
  <r>
    <x v="10"/>
    <s v="CA91"/>
    <s v="OPT562 1GIG-DVD-UPS-LAN-A6-CEN3(4HIGH)"/>
    <s v="1562RCF00041"/>
    <s v="8000"/>
    <s v="Székesfehérvár"/>
    <s v="Bástya u. 10."/>
    <s v="ok"/>
    <n v="2"/>
    <n v="1"/>
    <x v="4"/>
    <e v="#N/A"/>
    <n v="0"/>
    <n v="1"/>
  </r>
  <r>
    <x v="10"/>
    <s v="CA92_ENA"/>
    <s v="Diebold-Opteva 760 ATM Outdoor"/>
    <s v="1760RH130332"/>
    <s v="3200"/>
    <s v="Gyöngyös"/>
    <s v="Páter Kiss Szaléz u. 22."/>
    <s v="ok"/>
    <n v="2"/>
    <n v="2"/>
    <x v="6"/>
    <n v="1"/>
    <n v="1"/>
    <n v="1"/>
  </r>
  <r>
    <x v="10"/>
    <s v="CA93"/>
    <s v="Diebold-Opteva 520 ATM Indoor"/>
    <s v="1520FH120021"/>
    <s v="3200"/>
    <s v="Gyöngyös"/>
    <s v="Déli-Külhatár u. 2-4."/>
    <s v="ok"/>
    <n v="2"/>
    <n v="2"/>
    <x v="6"/>
    <n v="1"/>
    <n v="1"/>
    <n v="1"/>
  </r>
  <r>
    <x v="10"/>
    <s v="CA94"/>
    <s v="Diebold-Opteva 520 ATM Indoor"/>
    <s v="1520FH122732"/>
    <s v="2132"/>
    <s v="Göd"/>
    <s v="Ipartelep hrsz. 6901."/>
    <s v="ok"/>
    <n v="2"/>
    <n v="2"/>
    <x v="6"/>
    <e v="#N/A"/>
    <n v="0"/>
    <n v="2"/>
  </r>
  <r>
    <x v="10"/>
    <s v="CA95"/>
    <s v="OPT562 1GIG-DVD-UPS-LAN-A6-CEN3(4HIGH)"/>
    <s v="1562RCF00955"/>
    <s v="1117"/>
    <s v="Budapest"/>
    <s v="Fehérvári út 23."/>
    <s v="ok"/>
    <n v="2"/>
    <n v="2"/>
    <x v="17"/>
    <n v="1"/>
    <n v="1"/>
    <n v="1"/>
  </r>
  <r>
    <x v="10"/>
    <s v="CA97_ENA"/>
    <s v="Diebold-Opteva 720 ATM Indoor"/>
    <s v="1720FH122165"/>
    <s v="1117"/>
    <s v="Budapest"/>
    <s v="Hengermalom u. 19-21."/>
    <s v="ok"/>
    <n v="2"/>
    <n v="2"/>
    <x v="17"/>
    <e v="#N/A"/>
    <n v="0"/>
    <n v="2"/>
  </r>
  <r>
    <x v="10"/>
    <s v="CA98_ENA"/>
    <s v="Diebold-Opteva 720 ATM Indoor"/>
    <s v="1720FH121783"/>
    <s v="1138"/>
    <s v="Budapest"/>
    <s v="Váci út 178."/>
    <s v="ok"/>
    <n v="2"/>
    <n v="2"/>
    <x v="14"/>
    <e v="#N/A"/>
    <n v="0"/>
    <n v="2"/>
  </r>
  <r>
    <x v="10"/>
    <s v="CA99_ENA"/>
    <s v="Diebold-Opteva 720 ATM Indoor"/>
    <s v="1720FH122108"/>
    <s v="1152"/>
    <s v="Budapest"/>
    <s v="Szentmihályi út 137."/>
    <s v="ok"/>
    <n v="2"/>
    <n v="2"/>
    <x v="14"/>
    <e v="#N/A"/>
    <n v="0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66">
  <r>
    <s v="CIB Bank Zrt"/>
    <s v="CIB - ATM003"/>
    <s v="CINEO C4060 Frontload"/>
    <s v="5310152343"/>
    <s v="1027"/>
    <s v="Budapest"/>
    <s v="Medve u. 4-14"/>
    <s v="ok"/>
    <n v="1"/>
    <n v="1"/>
    <x v="0"/>
    <n v="1"/>
    <n v="1"/>
    <n v="0"/>
  </r>
  <r>
    <s v="CIB Bank Zrt"/>
    <s v="CIB - ATM007"/>
    <s v="ProCash 2100xe Rearload"/>
    <s v="5300142617"/>
    <s v="4400"/>
    <s v="Nyíregyháza"/>
    <s v="H?sök tere 7."/>
    <s v="ok"/>
    <n v="1"/>
    <n v="1"/>
    <x v="1"/>
    <e v="#N/A"/>
    <n v="0"/>
    <n v="1"/>
  </r>
  <r>
    <s v="CIB Bank Zrt"/>
    <s v="CIB - ATM008"/>
    <s v="OPT562 1GIG-DVD-UPS-LAN-A6-CEN3(4HIGH)"/>
    <s v="1562RH132410"/>
    <s v="3501"/>
    <s v="Miskolc"/>
    <s v="Déryné u. 11."/>
    <s v="ok"/>
    <n v="1"/>
    <n v="1"/>
    <x v="2"/>
    <e v="#N/A"/>
    <n v="0"/>
    <n v="1"/>
  </r>
  <r>
    <s v="CIB Bank Zrt"/>
    <s v="CIB - ATM010"/>
    <s v="ProCash 2100xe Frontload"/>
    <s v="5300100743"/>
    <s v="5600"/>
    <s v="Békéscsaba"/>
    <s v="Andrássy út 2."/>
    <s v="ok"/>
    <n v="1"/>
    <n v="1"/>
    <x v="3"/>
    <e v="#N/A"/>
    <n v="0"/>
    <n v="1"/>
  </r>
  <r>
    <s v="CIB Bank Zrt"/>
    <s v="CIB - ATM011"/>
    <s v="ProCash 2100xe Frontload"/>
    <s v="5300274951"/>
    <s v="6800"/>
    <s v="Hódmezővásárhely"/>
    <s v="Deák F.u. 15."/>
    <s v="ok"/>
    <n v="1"/>
    <n v="1"/>
    <x v="3"/>
    <n v="1"/>
    <n v="1"/>
    <n v="0"/>
  </r>
  <r>
    <s v="CIB Bank Zrt"/>
    <s v="CIB - ATM012"/>
    <s v="Diebold-Opteva 720 ATM Indoor"/>
    <s v="1720VH120063"/>
    <s v="8200"/>
    <s v="Veszprém"/>
    <s v="Szeglethy u. 1."/>
    <s v="ok"/>
    <n v="1"/>
    <n v="1"/>
    <x v="4"/>
    <e v="#N/A"/>
    <n v="0"/>
    <n v="1"/>
  </r>
  <r>
    <s v="CIB Bank Zrt"/>
    <s v="CIB - ATM013"/>
    <s v="CINEO C4060 Rearload"/>
    <s v="5310151653"/>
    <s v="9021"/>
    <s v="Győr"/>
    <s v="Aradi vértanúk útja 10."/>
    <s v="ok"/>
    <n v="1"/>
    <n v="1"/>
    <x v="5"/>
    <e v="#N/A"/>
    <n v="0"/>
    <n v="1"/>
  </r>
  <r>
    <s v="CIB Bank Zrt"/>
    <s v="CIB - ATM014"/>
    <s v="OPT562 1GIG-DVD-UPS-LAN-A6-CEN3(4HIGH)"/>
    <s v="1562RH132408"/>
    <s v="8000"/>
    <s v="Székesfehérvár"/>
    <s v="Távirda u. 2/b"/>
    <s v="ok"/>
    <n v="1"/>
    <n v="1"/>
    <x v="4"/>
    <e v="#N/A"/>
    <n v="0"/>
    <n v="1"/>
  </r>
  <r>
    <s v="CIB Bank Zrt"/>
    <s v="CIB - ATM015"/>
    <s v="CINEO C4560"/>
    <s v="5310152697"/>
    <s v="2100"/>
    <s v="Gödöllő"/>
    <s v="Szabadság tér 16-17."/>
    <s v="ok"/>
    <n v="1"/>
    <n v="1"/>
    <x v="6"/>
    <e v="#N/A"/>
    <n v="0"/>
    <n v="1"/>
  </r>
  <r>
    <s v="CIB Bank Zrt"/>
    <s v="CIB - ATM016"/>
    <s v="ProCash 2100xe Frontload"/>
    <s v="5300275222"/>
    <s v="7100"/>
    <s v="Szekszárd"/>
    <s v="Garay tér 1."/>
    <s v="ok"/>
    <n v="1"/>
    <n v="1"/>
    <x v="7"/>
    <e v="#N/A"/>
    <n v="0"/>
    <n v="1"/>
  </r>
  <r>
    <s v="CIB Bank Zrt"/>
    <s v="CIB - ATM020"/>
    <s v="Diebold-Opteva 720 ATM Indoor"/>
    <s v="1720V3300881"/>
    <s v="9700"/>
    <s v="Szombathely"/>
    <s v="Fő tér 33."/>
    <s v="ok"/>
    <n v="1"/>
    <n v="1"/>
    <x v="8"/>
    <n v="1"/>
    <n v="1"/>
    <n v="0"/>
  </r>
  <r>
    <s v="CIB Bank Zrt"/>
    <s v="CIB - ATM021"/>
    <s v="ProCash 2150xe"/>
    <s v="5300134914"/>
    <s v="6720"/>
    <s v="Szeged"/>
    <s v="Kiss Menyhért u. 1."/>
    <s v="ok"/>
    <n v="1"/>
    <n v="1"/>
    <x v="3"/>
    <e v="#N/A"/>
    <n v="0"/>
    <n v="1"/>
  </r>
  <r>
    <s v="CIB Bank Zrt"/>
    <s v="CIB - ATM022"/>
    <s v="ProCash 2100xe Frontload"/>
    <s v="5300275162"/>
    <s v="2400"/>
    <s v="Dunaújváros"/>
    <s v="Dózsa Gy. u. 2."/>
    <s v="ok"/>
    <n v="1"/>
    <n v="1"/>
    <x v="7"/>
    <e v="#N/A"/>
    <n v="0"/>
    <n v="1"/>
  </r>
  <r>
    <s v="CIB Bank Zrt"/>
    <s v="CIB - ATM025"/>
    <s v="Diebold-Opteva 720 ATM Indoor"/>
    <s v="1720VH120145"/>
    <s v="8800"/>
    <s v="Nagykanizsa"/>
    <s v="Király u. 53."/>
    <s v="ok"/>
    <n v="1"/>
    <n v="1"/>
    <x v="9"/>
    <n v="1"/>
    <n v="1"/>
    <n v="0"/>
  </r>
  <r>
    <s v="CIB Bank Zrt"/>
    <s v="CIB - ATM027"/>
    <s v="ProCash 2250xe"/>
    <s v="5300247896"/>
    <s v="2045"/>
    <s v="Törökbálint"/>
    <s v="Bajcsy-Zs. u. 75."/>
    <s v="ok"/>
    <n v="1"/>
    <n v="1"/>
    <x v="5"/>
    <n v="1"/>
    <n v="1"/>
    <n v="0"/>
  </r>
  <r>
    <s v="CIB Bank Zrt"/>
    <s v="CIB - ATM028"/>
    <s v="ProCash 2100xe Frontload"/>
    <s v="5300195198"/>
    <s v="2045"/>
    <s v="Törökbálint"/>
    <s v="Bajcsy Zs. u. 75."/>
    <s v="ok"/>
    <n v="1"/>
    <n v="1"/>
    <x v="5"/>
    <n v="1"/>
    <n v="1"/>
    <n v="0"/>
  </r>
  <r>
    <s v="CIB Bank Zrt"/>
    <s v="CIB - ATM029"/>
    <s v="Diebold-Opteva 720 ATM Indoor"/>
    <s v="1720VCF00010"/>
    <s v="3100"/>
    <s v="Salgótarján"/>
    <s v="Rákóczi u. 1-9"/>
    <s v="ok"/>
    <n v="1"/>
    <n v="1"/>
    <x v="10"/>
    <e v="#N/A"/>
    <n v="0"/>
    <n v="1"/>
  </r>
  <r>
    <s v="CIB Bank Zrt"/>
    <s v="CIB - ATM030"/>
    <s v="OPT562 1GIG-DVD-UPS-LAN-A6-CEN3(4HIGH)"/>
    <s v="1562RH132406"/>
    <s v="3300"/>
    <s v="Eger"/>
    <s v="Érsek u.1."/>
    <s v="ok"/>
    <n v="1"/>
    <n v="1"/>
    <x v="2"/>
    <e v="#N/A"/>
    <n v="0"/>
    <n v="1"/>
  </r>
  <r>
    <s v="CIB Bank Zrt"/>
    <s v="CIB - ATM031"/>
    <s v="ProCash 2150xe"/>
    <s v="5300104822"/>
    <s v="6000"/>
    <s v="Kecskemét"/>
    <s v="Csányi u. 1-3."/>
    <s v="ok"/>
    <n v="1"/>
    <n v="1"/>
    <x v="11"/>
    <n v="1"/>
    <n v="1"/>
    <n v="0"/>
  </r>
  <r>
    <s v="CIB Bank Zrt"/>
    <s v="CIB - ATM033"/>
    <s v="ProCash 2100xe Frontload"/>
    <s v="5300275203"/>
    <s v="5900"/>
    <s v="Orosháza"/>
    <s v="Széchenyi tér 1."/>
    <s v="ok"/>
    <n v="1"/>
    <n v="1"/>
    <x v="3"/>
    <e v="#N/A"/>
    <n v="0"/>
    <n v="1"/>
  </r>
  <r>
    <s v="CIB Bank Zrt"/>
    <s v="CIB - ATM034"/>
    <s v="Diebold-Opteva 720 ATM Indoor"/>
    <s v="1720VCF00012"/>
    <s v="5000"/>
    <s v="Szolnok"/>
    <s v="Szapáry u. 22"/>
    <s v="ok"/>
    <n v="1"/>
    <n v="1"/>
    <x v="11"/>
    <e v="#N/A"/>
    <n v="0"/>
    <n v="1"/>
  </r>
  <r>
    <s v="CIB Bank Zrt"/>
    <s v="CIB - ATM035"/>
    <s v="Diebold-Opteva 760 ATM Outdoor"/>
    <s v="1760RH122173"/>
    <s v="3200"/>
    <s v="Gyöngyös"/>
    <s v="Szent Bertalan u. 1."/>
    <s v="ok"/>
    <n v="1"/>
    <n v="1"/>
    <x v="10"/>
    <n v="1"/>
    <n v="1"/>
    <n v="0"/>
  </r>
  <r>
    <s v="CIB Bank Zrt"/>
    <s v="CIB - ATM037"/>
    <s v="Diebold-Opteva 720 ATM Indoor"/>
    <s v="1720VH120146"/>
    <s v="2600"/>
    <s v="Vác"/>
    <s v="Széchenyi u. 4-6."/>
    <s v="ok"/>
    <n v="1"/>
    <n v="1"/>
    <x v="6"/>
    <n v="1"/>
    <n v="1"/>
    <n v="0"/>
  </r>
  <r>
    <s v="CIB Bank Zrt"/>
    <s v="CIB - ATM039"/>
    <s v="ProCash 2100xe Frontload"/>
    <s v="5300275250"/>
    <s v="6500"/>
    <s v="Baja"/>
    <s v="Déri Frigyes sétány 1-3."/>
    <s v="ok"/>
    <n v="1"/>
    <n v="1"/>
    <x v="12"/>
    <e v="#N/A"/>
    <n v="0"/>
    <n v="1"/>
  </r>
  <r>
    <s v="CIB Bank Zrt"/>
    <s v="CIB - ATM040"/>
    <s v="ProCash 2100xe Frontload"/>
    <s v="5300208708"/>
    <s v="1075"/>
    <s v="Budapest"/>
    <s v="Károly krt. 3/b."/>
    <s v="ok"/>
    <n v="1"/>
    <n v="1"/>
    <x v="5"/>
    <e v="#N/A"/>
    <n v="0"/>
    <n v="1"/>
  </r>
  <r>
    <s v="CIB Bank Zrt"/>
    <s v="CIB - ATM041"/>
    <s v="Diebold-Opteva 720 ATM Indoor"/>
    <s v="1720VH120053"/>
    <s v="1055"/>
    <s v="Budapest"/>
    <s v="Szent István krt. 15."/>
    <s v="ok"/>
    <n v="1"/>
    <n v="1"/>
    <x v="13"/>
    <e v="#N/A"/>
    <n v="0"/>
    <n v="1"/>
  </r>
  <r>
    <s v="CIB Bank Zrt"/>
    <s v="CIB - ATM043"/>
    <s v="Diebold-Opteva 720 ATM Indoor"/>
    <s v="1720VH120062"/>
    <s v="2500"/>
    <s v="Esztergom"/>
    <s v="Széchenyi tér 24."/>
    <s v="ok"/>
    <n v="1"/>
    <n v="1"/>
    <x v="14"/>
    <n v="1"/>
    <n v="1"/>
    <n v="0"/>
  </r>
  <r>
    <s v="CIB Bank Zrt"/>
    <s v="CIB - ATM044"/>
    <s v="ProCash 2100xe Frontload"/>
    <s v="5300275236"/>
    <s v="8900"/>
    <s v="Zalaegerszeg"/>
    <s v="Kossuth L. u. 8-10."/>
    <s v="ok"/>
    <n v="1"/>
    <n v="1"/>
    <x v="9"/>
    <e v="#N/A"/>
    <n v="0"/>
    <n v="1"/>
  </r>
  <r>
    <s v="CIB Bank Zrt"/>
    <s v="CIB - ATM046"/>
    <s v="OPT562 1GIG-DVD-UPS-LAN-A6-CEN3(4HIGH)"/>
    <s v="1562RH132409"/>
    <s v="4700"/>
    <s v="Mátészalka"/>
    <s v="Kazinczy u. 2."/>
    <s v="ok"/>
    <n v="1"/>
    <n v="1"/>
    <x v="1"/>
    <n v="1"/>
    <n v="1"/>
    <n v="0"/>
  </r>
  <r>
    <s v="CIB Bank Zrt"/>
    <s v="CIB - ATM047"/>
    <s v="CINEO C4560"/>
    <s v="5310152889"/>
    <s v="1122"/>
    <s v="Budapest"/>
    <s v="Kékgolyó u. 1."/>
    <s v="ok"/>
    <n v="1"/>
    <n v="1"/>
    <x v="0"/>
    <e v="#N/A"/>
    <n v="0"/>
    <n v="1"/>
  </r>
  <r>
    <s v="CIB Bank Zrt"/>
    <s v="CIB - ATM049"/>
    <s v="Diebold-Opteva 760 ATM Outdoor"/>
    <s v="1760RH120840"/>
    <s v="9400"/>
    <s v="Sopron"/>
    <s v="Várkerület u.73."/>
    <s v="ok"/>
    <n v="1"/>
    <n v="1"/>
    <x v="8"/>
    <n v="1"/>
    <n v="1"/>
    <n v="0"/>
  </r>
  <r>
    <s v="CIB Bank Zrt"/>
    <s v="CIB - ATM054"/>
    <s v="ProCash 2100xe Frontload"/>
    <s v="5300208706"/>
    <s v="1043"/>
    <s v="Budapest"/>
    <s v="István u. 8."/>
    <s v="ok"/>
    <n v="1"/>
    <n v="1"/>
    <x v="5"/>
    <n v="1"/>
    <n v="1"/>
    <n v="0"/>
  </r>
  <r>
    <s v="CIB Bank Zrt"/>
    <s v="CIB - ATM058"/>
    <s v="ProCash 2100xe Frontload"/>
    <s v="5300006240"/>
    <s v="1138"/>
    <s v="Budapest"/>
    <s v="Váci út 141."/>
    <s v="ok"/>
    <n v="1"/>
    <n v="1"/>
    <x v="5"/>
    <n v="1"/>
    <n v="1"/>
    <n v="0"/>
  </r>
  <r>
    <s v="CIB Bank Zrt"/>
    <s v="CIB - ATM059"/>
    <s v="Diebold-Opteva 720 ATM Indoor"/>
    <s v="1720VH120058"/>
    <s v="1203"/>
    <s v="Budapest"/>
    <s v="Kossuth Lajos u. 21-29."/>
    <s v="ok"/>
    <n v="1"/>
    <n v="1"/>
    <x v="15"/>
    <n v="1"/>
    <n v="1"/>
    <n v="0"/>
  </r>
  <r>
    <s v="CIB Bank Zrt"/>
    <s v="CIB - ATM061"/>
    <s v="Diebold-Opteva 520 ATM Indoor"/>
    <s v="1520VH120005"/>
    <s v="1039"/>
    <s v="Budapest"/>
    <s v="Mátyás kir. u. 24."/>
    <s v="ok"/>
    <n v="1"/>
    <n v="0"/>
    <x v="0"/>
    <e v="#N/A"/>
    <n v="0"/>
    <n v="0"/>
  </r>
  <r>
    <s v="CIB Bank Zrt"/>
    <s v="CIB - ATM062"/>
    <s v="ProCash 2100xe Frontload"/>
    <s v="5300195196"/>
    <s v="2310"/>
    <s v="Szigetszentmiklós"/>
    <s v="Bajcsy Zs. u. 1/A."/>
    <s v="ok"/>
    <n v="1"/>
    <n v="1"/>
    <x v="5"/>
    <e v="#N/A"/>
    <n v="0"/>
    <n v="1"/>
  </r>
  <r>
    <s v="CIB Bank Zrt"/>
    <s v="CIB - ATM065"/>
    <s v="ProCash 2100xe Frontload"/>
    <s v="5300274970"/>
    <s v="2000"/>
    <s v="Szentendre"/>
    <s v="Fő tér 14."/>
    <s v="ok"/>
    <n v="1"/>
    <n v="1"/>
    <x v="5"/>
    <n v="1"/>
    <n v="1"/>
    <n v="0"/>
  </r>
  <r>
    <s v="CIB Bank Zrt"/>
    <s v="CIB - ATM068"/>
    <s v="ProCash 2100xe Frontload"/>
    <s v="5300154033"/>
    <s v="1148"/>
    <s v="Budapest"/>
    <s v="Örs vezér tér 24."/>
    <s v="ok"/>
    <n v="1"/>
    <n v="1"/>
    <x v="5"/>
    <e v="#N/A"/>
    <n v="0"/>
    <n v="1"/>
  </r>
  <r>
    <s v="CIB Bank Zrt"/>
    <s v="CIB - ATM069"/>
    <s v="Diebold-Opteva 720 ATM Indoor"/>
    <s v="1720VH120056"/>
    <s v="1211"/>
    <s v="Budapest"/>
    <s v="Kossuth L. u. 82."/>
    <s v="ok"/>
    <n v="1"/>
    <n v="1"/>
    <x v="15"/>
    <n v="1"/>
    <n v="1"/>
    <n v="0"/>
  </r>
  <r>
    <s v="CIB Bank Zrt"/>
    <s v="CIB - ATM071"/>
    <s v="ProCash 2150xe"/>
    <s v="5300092492"/>
    <s v="1173"/>
    <s v="Budapest"/>
    <s v="Pesti út 170."/>
    <s v="ok"/>
    <n v="1"/>
    <n v="1"/>
    <x v="5"/>
    <e v="#N/A"/>
    <n v="0"/>
    <n v="1"/>
  </r>
  <r>
    <s v="CIB Bank Zrt"/>
    <s v="CIB - ATM072"/>
    <s v="ProCash 2100xe Frontload"/>
    <s v="5300057641"/>
    <s v="2120"/>
    <s v="Dunakeszi"/>
    <s v="Casalgrande tér 4."/>
    <s v="ok"/>
    <n v="1"/>
    <n v="1"/>
    <x v="6"/>
    <e v="#N/A"/>
    <n v="0"/>
    <n v="1"/>
  </r>
  <r>
    <s v="CIB Bank Zrt"/>
    <s v="CIB - ATM073"/>
    <s v="ProCash 2100xe Frontload"/>
    <s v="5300057642"/>
    <s v="1117"/>
    <s v="Budapest"/>
    <s v="Tétényi út 63."/>
    <s v="ok"/>
    <n v="1"/>
    <n v="1"/>
    <x v="5"/>
    <e v="#N/A"/>
    <n v="0"/>
    <n v="1"/>
  </r>
  <r>
    <s v="CIB Bank Zrt"/>
    <s v="CIB - ATM076"/>
    <s v="ProCash 2100xe Frontload"/>
    <s v="5300057640"/>
    <s v="1156"/>
    <s v="Budapest"/>
    <s v="Páskomliget u. 6."/>
    <s v="ok"/>
    <n v="1"/>
    <n v="1"/>
    <x v="6"/>
    <e v="#N/A"/>
    <n v="0"/>
    <n v="1"/>
  </r>
  <r>
    <s v="CIB Bank Zrt"/>
    <s v="CIB - ATM078"/>
    <s v="ProCash 2100xe Frontload"/>
    <s v="5300100745"/>
    <s v="8600"/>
    <s v="Siófok"/>
    <s v="Siófok, Szabadság tér 15."/>
    <s v="ok"/>
    <n v="1"/>
    <n v="1"/>
    <x v="4"/>
    <e v="#N/A"/>
    <n v="0"/>
    <n v="1"/>
  </r>
  <r>
    <s v="CIB Bank Zrt"/>
    <s v="CIB - ATM080"/>
    <s v="Diebold-Opteva 720 ATM Indoor"/>
    <s v="1720VH120051"/>
    <s v="1064"/>
    <s v="Budapest"/>
    <s v="Teréz krt. 21."/>
    <s v="ok"/>
    <n v="1"/>
    <n v="0"/>
    <x v="13"/>
    <e v="#N/A"/>
    <n v="0"/>
    <n v="0"/>
  </r>
  <r>
    <s v="CIB Bank Zrt"/>
    <s v="CIB - ATM083"/>
    <s v="ProCash 2100xe Frontload"/>
    <s v="5300121104"/>
    <s v="1221"/>
    <s v="Budapest"/>
    <s v="Nagytétényi út 37-43."/>
    <s v="ok"/>
    <n v="1"/>
    <n v="1"/>
    <x v="5"/>
    <e v="#N/A"/>
    <n v="0"/>
    <n v="1"/>
  </r>
  <r>
    <s v="CIB Bank Zrt"/>
    <s v="CIB - ATM084"/>
    <s v="ProCash 2100xe Frontload"/>
    <s v="5300121125"/>
    <s v="2030"/>
    <s v="Érd"/>
    <s v="Budai út 22."/>
    <s v="ok"/>
    <n v="1"/>
    <n v="1"/>
    <x v="5"/>
    <n v="1"/>
    <n v="1"/>
    <n v="0"/>
  </r>
  <r>
    <s v="CIB Bank Zrt"/>
    <s v="CIB - ATM088"/>
    <s v="ProCash 2100xe Frontload"/>
    <s v="5300142615"/>
    <s v="2700"/>
    <s v="Cegléd"/>
    <s v="Szabadság tér 8."/>
    <s v="ok"/>
    <n v="1"/>
    <n v="1"/>
    <x v="6"/>
    <e v="#N/A"/>
    <n v="0"/>
    <n v="1"/>
  </r>
  <r>
    <s v="CIB Bank Zrt"/>
    <s v="CIB - ATM094"/>
    <s v="ProCash 2100xe Frontload"/>
    <s v="5300142618"/>
    <s v="1024"/>
    <s v="Budapest"/>
    <s v="Petrezselyem u. 2-8."/>
    <s v="ok"/>
    <n v="1"/>
    <n v="1"/>
    <x v="5"/>
    <e v="#N/A"/>
    <n v="0"/>
    <n v="1"/>
  </r>
  <r>
    <s v="CIB Bank Zrt"/>
    <s v="CIB - ATM109"/>
    <s v="ProCash 2150xe"/>
    <s v="5300151253"/>
    <s v="7621"/>
    <s v="Pécs"/>
    <s v="Irgalmasok u. 3/1."/>
    <s v="ok"/>
    <n v="1"/>
    <n v="1"/>
    <x v="12"/>
    <e v="#N/A"/>
    <n v="0"/>
    <n v="1"/>
  </r>
  <r>
    <s v="CIB Bank Zrt"/>
    <s v="CIB - ATM111"/>
    <s v="ProCash 2100xe Frontload"/>
    <s v="5300153989"/>
    <s v="3700"/>
    <s v="Kazincbarcika"/>
    <s v="Egressy Béni út 1/c"/>
    <s v="ok"/>
    <n v="1"/>
    <n v="1"/>
    <x v="2"/>
    <n v="1"/>
    <n v="1"/>
    <n v="0"/>
  </r>
  <r>
    <s v="CIB Bank Zrt"/>
    <s v="CIB - ATM114"/>
    <s v="ProCash 2100xe Frontload"/>
    <s v="5300195199"/>
    <s v="2220"/>
    <s v="Vecsés"/>
    <s v="Telepi út 58."/>
    <s v="ok"/>
    <n v="1"/>
    <n v="1"/>
    <x v="6"/>
    <e v="#N/A"/>
    <n v="0"/>
    <n v="1"/>
  </r>
  <r>
    <s v="CIB Bank Zrt"/>
    <s v="CIB - ATM123"/>
    <s v="Diebold-Opteva 720 ATM Indoor"/>
    <s v="1720VH120055"/>
    <s v="1149"/>
    <s v="Budapest"/>
    <s v="Bosnyák tér 9."/>
    <s v="ok"/>
    <n v="1"/>
    <n v="1"/>
    <x v="14"/>
    <n v="1"/>
    <n v="1"/>
    <n v="0"/>
  </r>
  <r>
    <s v="CIB Bank Zrt"/>
    <s v="CIB - ATM135"/>
    <s v="CINEO C4040 Rearload"/>
    <s v="5310011429"/>
    <s v="4025"/>
    <s v="Debrecen"/>
    <s v="Piac u 1-3"/>
    <s v="ok"/>
    <n v="1"/>
    <n v="1"/>
    <x v="16"/>
    <e v="#N/A"/>
    <n v="0"/>
    <n v="1"/>
  </r>
  <r>
    <s v="CIB Bank Zrt"/>
    <s v="CIB - ATM138"/>
    <s v="CINEO C4040 Rearload"/>
    <s v="5310011368"/>
    <s v="1073"/>
    <s v="Budapest"/>
    <s v="Erzsébet krt. 2."/>
    <s v="ok"/>
    <n v="1"/>
    <n v="1"/>
    <x v="13"/>
    <e v="#N/A"/>
    <n v="0"/>
    <n v="1"/>
  </r>
  <r>
    <s v="CIB Bank Zrt"/>
    <s v="CIB - ATM139"/>
    <s v="Diebold-Opteva 760 ATM Outdoor"/>
    <s v="1760RH120842"/>
    <s v="1065"/>
    <s v="Budapest"/>
    <s v="Bajcsy-Zsilinszky út 5-7."/>
    <s v="ok"/>
    <n v="1"/>
    <n v="1"/>
    <x v="13"/>
    <n v="1"/>
    <n v="1"/>
    <n v="0"/>
  </r>
  <r>
    <s v="CIB Bank Zrt"/>
    <s v="CIB - ATM143"/>
    <s v="Diebold-Opteva 720 ATM Indoor"/>
    <s v="1720VH120107"/>
    <s v="1117"/>
    <s v="Budapest"/>
    <s v="Október 23-a utca 6-8."/>
    <s v="ok"/>
    <n v="1"/>
    <n v="1"/>
    <x v="17"/>
    <n v="1"/>
    <n v="1"/>
    <n v="0"/>
  </r>
  <r>
    <s v="CIB Bank Zrt"/>
    <s v="CIB - ATM156"/>
    <s v="Diebold-Opteva 720 ATM Indoor"/>
    <s v="1720VH120091"/>
    <s v="1184"/>
    <s v="Budapest"/>
    <s v="Üllői út 366."/>
    <s v="ok"/>
    <n v="1"/>
    <n v="1"/>
    <x v="15"/>
    <n v="1"/>
    <n v="1"/>
    <n v="0"/>
  </r>
  <r>
    <s v="CIB Bank Zrt"/>
    <s v="CIB - ATM158"/>
    <s v="CINEO C4560"/>
    <s v="5310152694"/>
    <s v="2800"/>
    <s v="Tatabánya"/>
    <s v="Fő tér 10."/>
    <s v="ok"/>
    <n v="1"/>
    <n v="1"/>
    <x v="5"/>
    <e v="#N/A"/>
    <n v="0"/>
    <n v="1"/>
  </r>
  <r>
    <s v="CIB Bank Zrt"/>
    <s v="CIB - ATM159"/>
    <s v="Diebold-Opteva 560 ATM Outdoor"/>
    <s v="1560R3300737"/>
    <s v="1165"/>
    <s v="Budapest"/>
    <s v="Veres Péter u. 105."/>
    <s v="ok"/>
    <n v="1"/>
    <n v="1"/>
    <x v="6"/>
    <n v="1"/>
    <n v="1"/>
    <n v="0"/>
  </r>
  <r>
    <s v="CIB Bank Zrt"/>
    <s v="CIB - ATM160"/>
    <s v="Diebold-Opteva 560 ATM Outdoor"/>
    <s v="1560R3301866"/>
    <s v="2040"/>
    <s v="Budaörs"/>
    <s v="Szabadság út 93."/>
    <s v="ok"/>
    <n v="1"/>
    <n v="1"/>
    <x v="17"/>
    <n v="1"/>
    <n v="1"/>
    <n v="0"/>
  </r>
  <r>
    <s v="CIB Bank Zrt"/>
    <s v="CIB - ATM163"/>
    <s v="Diebold-Opteva 520 ATM Indoor"/>
    <s v="1520V3300691"/>
    <s v="1094"/>
    <s v="Budapest"/>
    <s v="Ferenc krt.15."/>
    <s v="ok"/>
    <n v="1"/>
    <n v="1"/>
    <x v="17"/>
    <n v="1"/>
    <n v="1"/>
    <n v="0"/>
  </r>
  <r>
    <s v="CIB Bank Zrt"/>
    <s v="CIB - ATM164"/>
    <s v="Diebold-Opteva 520 ATM Indoor"/>
    <s v="1520FH120030"/>
    <s v="7400"/>
    <s v="Kaposvár"/>
    <s v="Fő u. 13."/>
    <s v="ok"/>
    <n v="1"/>
    <n v="1"/>
    <x v="12"/>
    <e v="#N/A"/>
    <n v="0"/>
    <n v="1"/>
  </r>
  <r>
    <s v="CIB Bank Zrt"/>
    <s v="CIB - ATM169"/>
    <s v="Diebold-Opteva 760 ATM Outdoor"/>
    <s v="1760RH121470"/>
    <s v="1191"/>
    <s v="Budapest"/>
    <s v="Vak Bottyán u. 75. A-C"/>
    <s v="ok"/>
    <n v="1"/>
    <n v="1"/>
    <x v="10"/>
    <n v="1"/>
    <n v="1"/>
    <n v="0"/>
  </r>
  <r>
    <s v="CIB Bank Zrt"/>
    <s v="CIB - ATM601"/>
    <s v="ProCash 2050xe"/>
    <s v="5300076627"/>
    <s v="9090"/>
    <s v="Pannonhalma"/>
    <s v="Vár 1.#Pannonhalmi#Főapátság#turistafogadó"/>
    <s v="ok"/>
    <n v="1"/>
    <n v="1"/>
    <x v="5"/>
    <n v="1"/>
    <n v="1"/>
    <n v="0"/>
  </r>
  <r>
    <s v="CIB Bank Zrt"/>
    <s v="CIB - ATM604"/>
    <s v="Diebold-Opteva 750 ATM Outdoor"/>
    <s v="1750F3320060"/>
    <s v="3000"/>
    <s v="Hatvan"/>
    <s v="Robert Bosch u. 3."/>
    <s v="ok"/>
    <n v="1"/>
    <n v="1"/>
    <x v="10"/>
    <n v="1"/>
    <n v="1"/>
    <n v="0"/>
  </r>
  <r>
    <s v="CIB Bank Zrt"/>
    <s v="CIB - ATM605"/>
    <s v="ProCash 2150xe"/>
    <s v="5300151252"/>
    <s v="8000"/>
    <s v="Székesfehérvár"/>
    <s v="Berényi út 72-100."/>
    <s v="ok"/>
    <n v="1"/>
    <n v="1"/>
    <x v="4"/>
    <e v="#N/A"/>
    <n v="0"/>
    <n v="1"/>
  </r>
  <r>
    <s v="CIB Bank Zrt"/>
    <s v="CIB - ATM606"/>
    <s v="ProCash 2100xe Frontload"/>
    <s v="5300199608"/>
    <s v="1123"/>
    <s v="Budapest"/>
    <s v="Alkotás u. 53..MOM park"/>
    <s v="ok"/>
    <n v="1"/>
    <n v="1"/>
    <x v="5"/>
    <e v="#N/A"/>
    <n v="0"/>
    <n v="1"/>
  </r>
  <r>
    <s v="CIB Bank Zrt"/>
    <s v="CIB - ATM607"/>
    <s v="ProCash 2100xe Frontload"/>
    <s v="5300142690"/>
    <s v="8000"/>
    <s v="Székesfehérvár"/>
    <s v="Palotai út 6..Fehérpalota üzletház"/>
    <s v="ok"/>
    <n v="1"/>
    <n v="1"/>
    <x v="4"/>
    <e v="#N/A"/>
    <n v="0"/>
    <n v="1"/>
  </r>
  <r>
    <s v="CIB Bank Zrt"/>
    <s v="CIB - ATM608"/>
    <s v="ProCash 2350xe"/>
    <s v="5300215425"/>
    <s v="1106"/>
    <s v="Budapest"/>
    <s v="Fehér út 1."/>
    <s v="ok"/>
    <n v="1"/>
    <n v="1"/>
    <x v="5"/>
    <e v="#N/A"/>
    <n v="0"/>
    <n v="1"/>
  </r>
  <r>
    <s v="CIB Bank Zrt"/>
    <s v="CIB - ATM609"/>
    <s v="OPT562 1GIG-DVD-UPS-LAN-A6-CEN3(4HIGH)"/>
    <s v="1562RH132407"/>
    <s v="1011"/>
    <s v="Budapest"/>
    <s v="Batthyányi tér"/>
    <s v="ok"/>
    <n v="1"/>
    <n v="1"/>
    <x v="13"/>
    <n v="1"/>
    <n v="1"/>
    <n v="0"/>
  </r>
  <r>
    <s v="CIB Bank Zrt"/>
    <s v="CIB - ATM610"/>
    <s v="ProCash 2350xe"/>
    <s v="5300225669"/>
    <s v="1038"/>
    <s v="Budapest"/>
    <s v="Ország út 3."/>
    <s v="ok"/>
    <n v="1"/>
    <n v="1"/>
    <x v="5"/>
    <n v="1"/>
    <n v="1"/>
    <n v="0"/>
  </r>
  <r>
    <s v="CIB Bank Zrt"/>
    <s v="CIB - ATM611"/>
    <s v="ProCash 2350xe"/>
    <s v="5300225667"/>
    <s v="1214"/>
    <s v="Budapest"/>
    <s v="II. Rákóczi F. út 174."/>
    <s v="ok"/>
    <n v="1"/>
    <n v="1"/>
    <x v="5"/>
    <n v="1"/>
    <n v="1"/>
    <n v="0"/>
  </r>
  <r>
    <s v="CIB Bank Zrt"/>
    <s v="CIB - ATM612"/>
    <s v="ProCash 2100xe Frontload"/>
    <s v="5300199609"/>
    <s v="1097"/>
    <s v="Budapest"/>
    <s v="Koppány u. 2-4. (Tesco áruház)"/>
    <s v="ok"/>
    <n v="1"/>
    <n v="1"/>
    <x v="5"/>
    <e v="#N/A"/>
    <n v="0"/>
    <n v="1"/>
  </r>
  <r>
    <s v="CIB Bank Zrt"/>
    <s v="CIB - ATM613"/>
    <s v="OPT562 1GIG-DVD-UPS-LAN-A6-CEN3(4HIGH)"/>
    <s v="1562RH128143"/>
    <s v="1066"/>
    <s v="Budapest"/>
    <s v="Teréz krt. 42-44."/>
    <s v="ok"/>
    <n v="1"/>
    <n v="1"/>
    <x v="13"/>
    <n v="1"/>
    <n v="1"/>
    <n v="0"/>
  </r>
  <r>
    <s v="CIB Bank Zrt"/>
    <s v="CIB - ATM614"/>
    <s v="ProCash 2150xe"/>
    <s v="5300204503"/>
    <s v="1132"/>
    <s v="Budapest"/>
    <s v="Váci út 36-38."/>
    <s v="ok"/>
    <n v="1"/>
    <n v="1"/>
    <x v="5"/>
    <e v="#N/A"/>
    <n v="0"/>
    <n v="1"/>
  </r>
  <r>
    <s v="CIB Bank Zrt"/>
    <s v="CIB - ATM616"/>
    <s v="ProCash 2100xe Frontload"/>
    <s v="5300199632"/>
    <s v="1204"/>
    <s v="Budapest"/>
    <s v="Mártírok útja 281."/>
    <s v="ok"/>
    <n v="1"/>
    <n v="1"/>
    <x v="5"/>
    <e v="#N/A"/>
    <n v="0"/>
    <n v="1"/>
  </r>
  <r>
    <s v="CIB Bank Zrt"/>
    <s v="CIB - ATM617"/>
    <s v="ProCash 2100xe Frontload"/>
    <s v="5300199631"/>
    <s v="2040"/>
    <s v="Budaörs"/>
    <s v="Kinizsi út 1-3."/>
    <s v="ok"/>
    <n v="1"/>
    <n v="1"/>
    <x v="5"/>
    <e v="#N/A"/>
    <n v="0"/>
    <n v="1"/>
  </r>
  <r>
    <s v="CIB Bank Zrt"/>
    <s v="CIB - ATM618"/>
    <s v="ProCash 2150xe"/>
    <s v="5300204505"/>
    <s v="2120"/>
    <s v="Dunakeszi"/>
    <s v="Toldi M. u. 2."/>
    <s v="ok"/>
    <n v="1"/>
    <n v="1"/>
    <x v="6"/>
    <e v="#N/A"/>
    <n v="0"/>
    <n v="1"/>
  </r>
  <r>
    <s v="CIB Bank Zrt"/>
    <s v="CIB - ATM619"/>
    <s v="ProCash 2100xe Frontload"/>
    <s v="5300208703"/>
    <s v="2600"/>
    <s v="Vác"/>
    <s v="Kőhídpark dülő 2."/>
    <s v="ok"/>
    <n v="1"/>
    <n v="1"/>
    <x v="6"/>
    <e v="#N/A"/>
    <n v="0"/>
    <n v="1"/>
  </r>
  <r>
    <s v="CIB Bank Zrt"/>
    <s v="CIB - ATM620"/>
    <s v="ProCash 2350xe"/>
    <s v="5300259832"/>
    <s v="1123"/>
    <s v="Budapest"/>
    <s v="Alkotás u. 53."/>
    <s v="ok"/>
    <n v="1"/>
    <n v="1"/>
    <x v="5"/>
    <e v="#N/A"/>
    <n v="0"/>
    <n v="1"/>
  </r>
  <r>
    <s v="CIB Bank Zrt"/>
    <s v="CIB - ATM626"/>
    <s v="ProCash 2100xe Frontload"/>
    <s v="5300208705"/>
    <s v="1093"/>
    <s v="Budapest"/>
    <s v="Fővám tér 9."/>
    <s v="ok"/>
    <n v="1"/>
    <n v="1"/>
    <x v="5"/>
    <e v="#N/A"/>
    <n v="0"/>
    <n v="1"/>
  </r>
  <r>
    <s v="CIB Bank Zrt"/>
    <s v="CIB - ATM628"/>
    <s v="Diebold-Opteva 760 ATM Outdoor"/>
    <s v="1760RH120708"/>
    <s v="5000"/>
    <s v="Szolnok"/>
    <s v="Délibáb u. 4-6."/>
    <s v="ok"/>
    <n v="1"/>
    <n v="1"/>
    <x v="11"/>
    <n v="1"/>
    <n v="1"/>
    <n v="0"/>
  </r>
  <r>
    <s v="CIB Bank Zrt"/>
    <s v="CIB - ATM629"/>
    <s v="Diebold-Opteva 760 ATM Outdoor"/>
    <s v="1760RH120719"/>
    <s v="2330"/>
    <s v="Dunaharaszti"/>
    <s v="Némedi út 102/A."/>
    <s v="ok"/>
    <n v="1"/>
    <n v="1"/>
    <x v="15"/>
    <n v="1"/>
    <n v="1"/>
    <n v="0"/>
  </r>
  <r>
    <s v="CIB Bank Zrt"/>
    <s v="CIB - ATM630"/>
    <s v="Diebold-Opteva 760 ATM Outdoor"/>
    <s v="1760RH120720"/>
    <s v="6000"/>
    <s v="Kecskemét"/>
    <s v="Szolnoki út 18."/>
    <s v="ok"/>
    <n v="1"/>
    <n v="1"/>
    <x v="11"/>
    <n v="1"/>
    <n v="1"/>
    <n v="0"/>
  </r>
  <r>
    <s v="CIB Bank Zrt"/>
    <s v="CIB - ATM631"/>
    <s v="Diebold-Opteva 760 ATM Outdoor"/>
    <s v="1760RH120710"/>
    <s v="9600"/>
    <s v="Sárvár"/>
    <s v="Rákóczi út 12."/>
    <s v="ok"/>
    <n v="1"/>
    <n v="1"/>
    <x v="8"/>
    <e v="#N/A"/>
    <n v="0"/>
    <n v="1"/>
  </r>
  <r>
    <s v="CIB Bank Zrt"/>
    <s v="CIB - ATM632"/>
    <s v="Diebold-Opteva 760 ATM Outdoor"/>
    <s v="1760RH120721"/>
    <s v="5700"/>
    <s v="Gyula"/>
    <s v="Szent István u. 67-69."/>
    <s v="ok"/>
    <n v="1"/>
    <n v="1"/>
    <x v="3"/>
    <e v="#N/A"/>
    <n v="0"/>
    <n v="1"/>
  </r>
  <r>
    <s v="CIB Bank Zrt"/>
    <s v="CIB - ATM633"/>
    <s v="Diebold-Opteva 760 ATM Outdoor"/>
    <s v="1760RH120701"/>
    <s v="2700"/>
    <s v="Cegléd"/>
    <s v="Törteli út 2."/>
    <s v="ok"/>
    <n v="1"/>
    <n v="1"/>
    <x v="6"/>
    <e v="#N/A"/>
    <n v="0"/>
    <n v="1"/>
  </r>
  <r>
    <s v="CIB Bank Zrt"/>
    <s v="CIB - ATM634"/>
    <s v="Diebold-Opteva 760 ATM Outdoor"/>
    <s v="1760RH120711"/>
    <s v="2000"/>
    <s v="Szentendre"/>
    <s v="Dózsa György út 20/a"/>
    <s v="ok"/>
    <n v="1"/>
    <n v="1"/>
    <x v="14"/>
    <e v="#N/A"/>
    <n v="0"/>
    <n v="1"/>
  </r>
  <r>
    <s v="CIB Bank Zrt"/>
    <s v="CIB - ATM635"/>
    <s v="Diebold-Opteva 760 ATM Outdoor"/>
    <s v="1760RH120726"/>
    <s v="7200"/>
    <s v="Dombóvár"/>
    <s v="Kórház u.55"/>
    <s v="ok"/>
    <n v="1"/>
    <n v="0"/>
    <x v="12"/>
    <e v="#N/A"/>
    <n v="0"/>
    <n v="0"/>
  </r>
  <r>
    <s v="CIB Bank Zrt"/>
    <s v="CIB - ATM636"/>
    <s v="Diebold-Opteva 760 ATM Outdoor"/>
    <s v="1760RH120723"/>
    <s v="5600"/>
    <s v="Békéscsaba"/>
    <s v="Corvin u. 29-33."/>
    <s v="ok"/>
    <n v="1"/>
    <n v="1"/>
    <x v="3"/>
    <e v="#N/A"/>
    <n v="0"/>
    <n v="1"/>
  </r>
  <r>
    <s v="CIB Bank Zrt"/>
    <s v="CIB - ATM637"/>
    <s v="Diebold-Opteva 760 ATM Outdoor"/>
    <s v="1760RH120700"/>
    <s v="1180"/>
    <s v="Budapest"/>
    <s v="Margó Tivadar u. 83."/>
    <s v="ok"/>
    <n v="1"/>
    <n v="1"/>
    <x v="15"/>
    <n v="1"/>
    <n v="1"/>
    <n v="0"/>
  </r>
  <r>
    <s v="CIB Bank Zrt"/>
    <s v="CIB - ATM638"/>
    <s v="Diebold-Opteva 760 ATM Outdoor"/>
    <s v="1760RH120722"/>
    <s v="8000"/>
    <s v="Székesfehérvár"/>
    <s v="Balatoni u. 21."/>
    <s v="ok"/>
    <n v="1"/>
    <n v="1"/>
    <x v="4"/>
    <e v="#N/A"/>
    <n v="0"/>
    <n v="1"/>
  </r>
  <r>
    <s v="CIB Bank Zrt"/>
    <s v="CIB - ATM639"/>
    <s v="Diebold-Opteva 760 ATM Outdoor"/>
    <s v="1760RH120725"/>
    <s v="4600"/>
    <s v="Kisvárda"/>
    <s v="Attila u. 2/A."/>
    <s v="ok"/>
    <n v="1"/>
    <n v="0"/>
    <x v="1"/>
    <e v="#N/A"/>
    <n v="0"/>
    <n v="0"/>
  </r>
  <r>
    <s v="CIB Bank Zrt"/>
    <s v="CIB - ATM640"/>
    <s v="Diebold-Opteva 750 ATM Outdoor"/>
    <s v="1750F3320058"/>
    <s v="6723"/>
    <s v="Szeged"/>
    <s v="Makkosházi krt. 51"/>
    <s v="ok"/>
    <n v="1"/>
    <n v="1"/>
    <x v="3"/>
    <e v="#N/A"/>
    <n v="0"/>
    <n v="1"/>
  </r>
  <r>
    <s v="CIB Bank Zrt"/>
    <s v="CIB - ATM641"/>
    <s v="Diebold-Opteva 760 ATM Outdoor"/>
    <s v="1760RH120724"/>
    <s v="7400"/>
    <s v="Kaposvár"/>
    <s v="Bereck S. u. 2."/>
    <s v="ok"/>
    <n v="1"/>
    <n v="1"/>
    <x v="12"/>
    <e v="#N/A"/>
    <n v="0"/>
    <n v="1"/>
  </r>
  <r>
    <s v="CIB Bank Zrt"/>
    <s v="CIB - ATM642"/>
    <s v="Diebold-Opteva 760 ATM Outdoor"/>
    <s v="1760RH120709"/>
    <s v="8500"/>
    <s v="Pápa"/>
    <s v="Jókai Mór u. 57."/>
    <s v="ok"/>
    <n v="1"/>
    <n v="1"/>
    <x v="8"/>
    <e v="#N/A"/>
    <n v="0"/>
    <n v="1"/>
  </r>
  <r>
    <s v="CIB Bank Zrt"/>
    <s v="CIB - ATM643"/>
    <s v="ProCash 2150xe"/>
    <s v="5300236327"/>
    <s v="8900"/>
    <s v="Zalaegerszeg"/>
    <s v="Landorhegyi u. 25."/>
    <s v="ok"/>
    <n v="1"/>
    <n v="1"/>
    <x v="9"/>
    <n v="1"/>
    <n v="1"/>
    <n v="0"/>
  </r>
  <r>
    <s v="CIB Bank Zrt"/>
    <s v="CIB - ATM648"/>
    <s v="ProCash 2150xe"/>
    <s v="5300236372"/>
    <s v="8800"/>
    <s v="Nagykanizsa"/>
    <s v="Báthory u. 2."/>
    <s v="ok"/>
    <n v="1"/>
    <n v="0"/>
    <x v="9"/>
    <e v="#N/A"/>
    <n v="0"/>
    <n v="0"/>
  </r>
  <r>
    <s v="CIB Bank Zrt"/>
    <s v="CIB - ATM649"/>
    <s v="Diebold-Opteva 750 ATM Outdoor"/>
    <s v="1750F3320057"/>
    <s v="6000"/>
    <s v="Kecskemét"/>
    <s v="Noszlopy park 1."/>
    <s v="ok"/>
    <n v="1"/>
    <n v="1"/>
    <x v="11"/>
    <n v="1"/>
    <n v="1"/>
    <n v="0"/>
  </r>
  <r>
    <s v="CIB Bank Zrt"/>
    <s v="CIB - ATM652"/>
    <s v="OPT562 1GIG-DVD-UPS-LAN-A6-CEN3(4HIGH)"/>
    <s v="1562RH129812"/>
    <s v="6100"/>
    <s v="Kiskunfélegyháza"/>
    <s v="Petőfi Sándor u. 2/a"/>
    <s v="ok"/>
    <n v="1"/>
    <n v="1"/>
    <x v="11"/>
    <e v="#N/A"/>
    <n v="0"/>
    <n v="1"/>
  </r>
  <r>
    <s v="CIB Bank Zrt"/>
    <s v="CIB - ATM657"/>
    <s v="Diebold-Opteva 750 ATM Outdoor"/>
    <s v="1750F3320056"/>
    <s v="2660"/>
    <s v="Balassagyarmat"/>
    <s v="Ipolypart út HRSZ 709/10"/>
    <s v="ok"/>
    <n v="1"/>
    <n v="0"/>
    <x v="6"/>
    <e v="#N/A"/>
    <n v="0"/>
    <n v="0"/>
  </r>
  <r>
    <s v="CIB Bank Zrt"/>
    <s v="CIB - ATM661"/>
    <s v="ProCash 2150xe"/>
    <s v="5300236424"/>
    <s v="8600"/>
    <s v="Siófok"/>
    <s v="Fő utca 71-78."/>
    <s v="ok"/>
    <n v="1"/>
    <n v="0"/>
    <x v="4"/>
    <e v="#N/A"/>
    <n v="0"/>
    <n v="0"/>
  </r>
  <r>
    <s v="CIB Bank Zrt"/>
    <s v="CIB - ATM663"/>
    <s v="OPT562 1GIG-DVD-UPS-LAN-A6-CEN3(4HIGH)"/>
    <s v="1562RH129810"/>
    <s v="4400"/>
    <s v="Nyíregyháza"/>
    <s v="Petőfi tér"/>
    <s v="ok"/>
    <n v="1"/>
    <n v="1"/>
    <x v="1"/>
    <n v="1"/>
    <n v="1"/>
    <n v="0"/>
  </r>
  <r>
    <s v="CIB Bank Zrt"/>
    <s v="CIB - ATM664"/>
    <s v="CINEO C4060 Frontload"/>
    <s v="5310152318"/>
    <s v="1043"/>
    <s v="Budapest"/>
    <s v="István u. 8."/>
    <s v="ok"/>
    <e v="#N/A"/>
    <e v="#N/A"/>
    <x v="18"/>
    <e v="#N/A"/>
    <n v="0"/>
    <e v="#N/A"/>
  </r>
  <r>
    <s v="CIB Bank Zrt"/>
    <s v="CIB - ATM665"/>
    <s v="CINEO C4060 Frontload"/>
    <s v="5310184790"/>
    <s v="1043"/>
    <s v="Budapest"/>
    <s v="István u. 8."/>
    <s v="ok"/>
    <e v="#N/A"/>
    <e v="#N/A"/>
    <x v="18"/>
    <e v="#N/A"/>
    <n v="0"/>
    <e v="#N/A"/>
  </r>
  <r>
    <s v="CIB Bank Zrt"/>
    <s v="CIB - ATM666"/>
    <s v="OPT562 1GIG-DVD-UPS-LAN-A6-CEN3(4HIGH)"/>
    <s v="1562RH130106"/>
    <s v="1026"/>
    <s v="Budapest"/>
    <s v="Gábor Á. u 74-78."/>
    <s v="ok"/>
    <n v="1"/>
    <n v="1"/>
    <x v="0"/>
    <n v="1"/>
    <n v="1"/>
    <n v="0"/>
  </r>
  <r>
    <s v="CIB Bank Zrt"/>
    <s v="CIB - ATM667"/>
    <s v="ProCash 2100xe Frontload"/>
    <s v="5300162749"/>
    <s v="1027"/>
    <s v="Budapest"/>
    <s v="Gábor Áron u. 74-78..Rózsakert Üzletház"/>
    <s v="ok"/>
    <n v="1"/>
    <n v="1"/>
    <x v="5"/>
    <e v="#N/A"/>
    <n v="0"/>
    <n v="1"/>
  </r>
  <r>
    <s v="CIB Bank Zrt"/>
    <s v="CIB - ATM668"/>
    <s v="ProCash 2100xe Frontload"/>
    <s v="5300208709"/>
    <s v="2481"/>
    <s v="Velence"/>
    <s v="Béke út"/>
    <s v="ok"/>
    <n v="1"/>
    <n v="1"/>
    <x v="5"/>
    <n v="1"/>
    <n v="1"/>
    <n v="0"/>
  </r>
  <r>
    <s v="CIB Bank Zrt"/>
    <s v="CIB - ATM669"/>
    <s v="ProCash 2100xe Frontload"/>
    <s v="5300236575"/>
    <s v="6729"/>
    <s v="Szeged"/>
    <s v="Szabadkai út 7."/>
    <s v="ok"/>
    <n v="1"/>
    <n v="1"/>
    <x v="3"/>
    <e v="#N/A"/>
    <n v="0"/>
    <n v="1"/>
  </r>
  <r>
    <s v="CIB Bank Zrt"/>
    <s v="CIB - ATM670"/>
    <s v="Diebold-Opteva 720 ATM Indoor"/>
    <s v="1520FH121954"/>
    <s v="1032"/>
    <s v="Budapest"/>
    <s v="Bécsi út 258."/>
    <s v="ok"/>
    <n v="1"/>
    <n v="1"/>
    <x v="0"/>
    <n v="1"/>
    <n v="1"/>
    <n v="0"/>
  </r>
  <r>
    <s v="CIB Bank Zrt"/>
    <s v="CIB - ATM671"/>
    <s v="ProCash 2100xe Frontload"/>
    <s v="5300236582"/>
    <s v="3527"/>
    <s v="Miskolc"/>
    <s v="Szentpéteri kapu 103"/>
    <s v="ok"/>
    <n v="1"/>
    <n v="1"/>
    <x v="2"/>
    <e v="#N/A"/>
    <n v="0"/>
    <n v="1"/>
  </r>
  <r>
    <s v="CIB Bank Zrt"/>
    <s v="CIB - ATM672"/>
    <s v="ProCash 2100xe Frontload"/>
    <s v="5300236589"/>
    <s v="3000"/>
    <s v="Hatvan"/>
    <s v="Bibó István út 1."/>
    <s v="ok"/>
    <n v="1"/>
    <n v="1"/>
    <x v="10"/>
    <n v="1"/>
    <n v="1"/>
    <n v="0"/>
  </r>
  <r>
    <s v="CIB Bank Zrt"/>
    <s v="CIB - ATM673"/>
    <s v="ProCash 2100xe Frontload"/>
    <s v="5300236561"/>
    <s v="1044"/>
    <s v="Budapest"/>
    <s v="Íves út 16."/>
    <s v="ok"/>
    <n v="1"/>
    <n v="1"/>
    <x v="5"/>
    <e v="#N/A"/>
    <n v="0"/>
    <n v="1"/>
  </r>
  <r>
    <s v="CIB Bank Zrt"/>
    <s v="CIB - ATM674"/>
    <s v="ProCash 2100xe Frontload"/>
    <s v="5300236605"/>
    <s v="1044"/>
    <s v="Budapest"/>
    <s v="Íves út 16."/>
    <s v="ok"/>
    <n v="1"/>
    <n v="1"/>
    <x v="5"/>
    <e v="#N/A"/>
    <n v="0"/>
    <n v="1"/>
  </r>
  <r>
    <s v="CIB Bank Zrt"/>
    <s v="CIB - ATM675"/>
    <s v="ProCash 2100xe Frontload"/>
    <s v="5300236628"/>
    <s v="2500"/>
    <s v="Esztergom"/>
    <s v="Mátyás király utca 30."/>
    <s v="ok"/>
    <n v="1"/>
    <n v="1"/>
    <x v="5"/>
    <e v="#N/A"/>
    <n v="0"/>
    <n v="1"/>
  </r>
  <r>
    <s v="CIB Bank Zrt"/>
    <s v="CIB - ATM676"/>
    <s v="ProCash 2100xe Frontload"/>
    <s v="5300162750"/>
    <s v="1126"/>
    <s v="Budapest"/>
    <s v="Nagy Jenő u. 12."/>
    <s v="ok"/>
    <n v="1"/>
    <n v="1"/>
    <x v="5"/>
    <e v="#N/A"/>
    <n v="0"/>
    <n v="1"/>
  </r>
  <r>
    <s v="CIB Bank Zrt"/>
    <s v="CIB - ATM678"/>
    <s v="CINEO C4060 Rearload"/>
    <s v="5310151629"/>
    <s v="1033"/>
    <s v="Budapest"/>
    <s v="Flórián tér 6-9..Flórián Üzletközpont"/>
    <s v="ok"/>
    <n v="1"/>
    <n v="1"/>
    <x v="0"/>
    <e v="#N/A"/>
    <n v="0"/>
    <n v="1"/>
  </r>
  <r>
    <s v="CIB Bank Zrt"/>
    <s v="CIB - ATM683"/>
    <s v="ProCash 2100xe Frontload"/>
    <s v="5300153810"/>
    <s v="4025"/>
    <s v="Debrecen"/>
    <s v="Mikepércsi út 73/A."/>
    <s v="ok"/>
    <n v="1"/>
    <n v="1"/>
    <x v="16"/>
    <e v="#N/A"/>
    <n v="0"/>
    <n v="1"/>
  </r>
  <r>
    <s v="CIB Bank Zrt"/>
    <s v="CIB - ATM684"/>
    <s v="ProCash 2100xe Frontload"/>
    <s v="5300208704"/>
    <s v="4025"/>
    <s v="Debrecen"/>
    <s v="Piac u. 1-3."/>
    <s v="ok"/>
    <n v="1"/>
    <n v="1"/>
    <x v="16"/>
    <e v="#N/A"/>
    <n v="0"/>
    <n v="1"/>
  </r>
  <r>
    <s v="CIB Bank Zrt"/>
    <s v="CIB - ATM685"/>
    <s v="CINEO C4040 Rearload"/>
    <s v="5310011303"/>
    <s v="1062"/>
    <s v="Budapest"/>
    <s v="Váci út 1-3. Pollack Mihály sétány 19."/>
    <s v="ok"/>
    <n v="1"/>
    <n v="1"/>
    <x v="13"/>
    <e v="#N/A"/>
    <n v="0"/>
    <n v="1"/>
  </r>
  <r>
    <s v="CIB Bank Zrt"/>
    <s v="CIB - ATM686"/>
    <s v="CINEO C4040 Rearload"/>
    <s v="5310011330"/>
    <s v="1062"/>
    <s v="Budapest"/>
    <s v="Váci út 1-3. Pollack Mihály sétány 19."/>
    <s v="ok"/>
    <n v="1"/>
    <n v="1"/>
    <x v="13"/>
    <e v="#N/A"/>
    <n v="0"/>
    <n v="1"/>
  </r>
  <r>
    <s v="CIB Bank Zrt"/>
    <s v="CIB - ATM688"/>
    <s v="OPT562 1GIG-DVD-UPS-LAN-A6-CEN3(4HIGH)"/>
    <s v="1562R3301400"/>
    <s v="2081"/>
    <s v="Piliscsaba"/>
    <s v="Kinizsi Pál u. 1-3."/>
    <s v="ok"/>
    <n v="1"/>
    <n v="1"/>
    <x v="0"/>
    <n v="1"/>
    <n v="1"/>
    <n v="0"/>
  </r>
  <r>
    <s v="CIB Bank Zrt"/>
    <s v="CIB - ATM689"/>
    <s v="CINEO C4560"/>
    <s v="5310152700"/>
    <s v="1024"/>
    <s v="Budapest"/>
    <s v="Lövőház u. 7-9."/>
    <s v="ok"/>
    <n v="1"/>
    <n v="1"/>
    <x v="0"/>
    <e v="#N/A"/>
    <n v="0"/>
    <n v="1"/>
  </r>
  <r>
    <s v="CIB Bank Zrt"/>
    <s v="CIB - ATM690"/>
    <s v="OPT562 1GIG-DVD-UPS-LAN-A6-CEN3(4HIGH)"/>
    <s v="1562R3301398"/>
    <s v="6720"/>
    <s v="Szeged"/>
    <s v="Széchenyi tér 2."/>
    <s v="ok"/>
    <n v="1"/>
    <n v="1"/>
    <x v="3"/>
    <e v="#N/A"/>
    <n v="0"/>
    <n v="1"/>
  </r>
  <r>
    <s v="CIB Bank Zrt"/>
    <s v="CIB - ATM691"/>
    <s v="Diebold-Opteva 520 ATM Indoor"/>
    <s v="1520F3300009"/>
    <s v="1051"/>
    <s v="Budapest"/>
    <s v="Nádor u. 9."/>
    <s v="ok"/>
    <n v="1"/>
    <n v="1"/>
    <x v="13"/>
    <n v="1"/>
    <n v="1"/>
    <n v="0"/>
  </r>
  <r>
    <s v="CIB Bank Zrt"/>
    <s v="CIB - ATM692"/>
    <s v="Diebold-Opteva 520 ATM Indoor"/>
    <s v="1520FH120029"/>
    <s v="1106"/>
    <s v="Budapest"/>
    <s v="Kerepesi út 87."/>
    <s v="ok"/>
    <n v="1"/>
    <n v="1"/>
    <x v="17"/>
    <e v="#N/A"/>
    <n v="0"/>
    <n v="1"/>
  </r>
  <r>
    <s v="CIB Bank Zrt"/>
    <s v="CIB - ATM693"/>
    <s v="Diebold-Opteva 520 ATM Indoor"/>
    <s v="1520FCF00894"/>
    <s v="1117"/>
    <s v="Budapest"/>
    <s v="Budafoki út 56."/>
    <s v="ok"/>
    <n v="1"/>
    <n v="1"/>
    <x v="17"/>
    <e v="#N/A"/>
    <n v="0"/>
    <n v="1"/>
  </r>
  <r>
    <s v="CIB Bank Zrt"/>
    <s v="CIB - ATM694"/>
    <s v="OPT562 1GIG-DVD-UPS-LAN-A6-CEN3(4HIGH)"/>
    <s v="1562RH120095"/>
    <s v="8200"/>
    <s v="Veszprém"/>
    <s v="Bajcsy-Zsilinszky E.u.11"/>
    <s v="ok"/>
    <n v="1"/>
    <n v="1"/>
    <x v="4"/>
    <e v="#N/A"/>
    <n v="0"/>
    <n v="1"/>
  </r>
  <r>
    <s v="CIB Bank Zrt"/>
    <s v="CIB - ATM696"/>
    <s v="Diebold-Opteva 520 ATM Indoor"/>
    <s v="1520FCF00929"/>
    <s v="2081"/>
    <s v="Piliscsaba"/>
    <s v="Egyetem u. 1."/>
    <s v="ok"/>
    <n v="1"/>
    <n v="1"/>
    <x v="0"/>
    <n v="1"/>
    <n v="1"/>
    <n v="0"/>
  </r>
  <r>
    <s v="CIB Bank Zrt"/>
    <s v="CIB - ATM697"/>
    <s v="OPT562 1GIG-DVD-UPS-LAN-A6-CEN3(4HIGH)"/>
    <s v="1562R3301391"/>
    <s v="1033"/>
    <s v="Budapest"/>
    <s v="Flórián tér 6-9"/>
    <s v="ok"/>
    <n v="1"/>
    <n v="1"/>
    <x v="0"/>
    <n v="1"/>
    <n v="1"/>
    <n v="0"/>
  </r>
  <r>
    <s v="Duna Takarék Bank Zrt."/>
    <s v="S6T58601"/>
    <s v="Diebold-Opteva 522 Lobby Cash Dispenser"/>
    <s v="1522FH118925"/>
    <s v="9022"/>
    <s v="Győr"/>
    <s v="Aradi Vértanuk u. 15."/>
    <s v="ok"/>
    <n v="1"/>
    <n v="1"/>
    <x v="19"/>
    <e v="#N/A"/>
    <n v="0"/>
    <n v="1"/>
  </r>
  <r>
    <s v="Duna Takarék Bank Zrt."/>
    <s v="S6T58602"/>
    <s v="OPT562 1GIG-DVD-UPS-LAN-A6-CEN3(4HIGH)"/>
    <s v="1562RH138600"/>
    <s v="9241"/>
    <s v="Jánossomorja"/>
    <s v="Szabadság út 20."/>
    <s v="ok"/>
    <n v="1"/>
    <n v="1"/>
    <x v="19"/>
    <e v="#N/A"/>
    <n v="0"/>
    <n v="1"/>
  </r>
  <r>
    <s v="Duna Takarék Bank Zrt."/>
    <s v="S6T58603"/>
    <s v="Diebold-Opteva 522 Lobby Cash Dispenser"/>
    <s v="1522FH100303"/>
    <s v="9200"/>
    <s v="Mosonmagyaróvár"/>
    <s v="Magyar u. 17-21."/>
    <s v="ok"/>
    <n v="1"/>
    <n v="1"/>
    <x v="19"/>
    <e v="#N/A"/>
    <n v="0"/>
    <n v="1"/>
  </r>
  <r>
    <s v="Duna Takarék Bank Zrt."/>
    <s v="S6T58604"/>
    <s v="OPT562 1GIG-DVD-UPS-LAN-A6-CEN3(4HIGH)"/>
    <s v="1562RH137083"/>
    <s v="9228"/>
    <s v="Halászi"/>
    <s v="Kossuth L. út 98."/>
    <s v="ok"/>
    <n v="1"/>
    <n v="1"/>
    <x v="19"/>
    <n v="1"/>
    <n v="1"/>
    <n v="0"/>
  </r>
  <r>
    <s v="Duna Takarék Bank Zrt."/>
    <s v="S6T58605"/>
    <s v="OPT562 1GIG-DVD-UPS-LAN-A6-CEN3(4HIGH)"/>
    <s v="1562RH131874"/>
    <s v="9200"/>
    <s v="Mosonmagyaróvár"/>
    <s v="Szent István király út 121."/>
    <s v="ok"/>
    <n v="1"/>
    <n v="1"/>
    <x v="19"/>
    <e v="#N/A"/>
    <n v="0"/>
    <n v="1"/>
  </r>
  <r>
    <s v="Duna Takarék Bank Zrt."/>
    <s v="S6T58606"/>
    <s v="OPT562 1GIG-DVD-UPS-LAN-A6-CEN3(4HIGH)"/>
    <s v="1562RH125314"/>
    <s v="9444"/>
    <s v="Fertőszentmiklós"/>
    <s v="Petőfi Sándor út 2."/>
    <s v="ok"/>
    <n v="1"/>
    <n v="1"/>
    <x v="8"/>
    <n v="1"/>
    <n v="1"/>
    <n v="0"/>
  </r>
  <r>
    <s v="Duna Takarék Bank Zrt."/>
    <s v="S6T58607"/>
    <s v="OPT562 1GIG-DVD-UPS-LAN-A6-CEN3(4HIGH)"/>
    <s v="1562RH125286"/>
    <s v="9022"/>
    <s v="Győr"/>
    <s v="Árpád út 93."/>
    <s v="ok"/>
    <n v="1"/>
    <n v="1"/>
    <x v="19"/>
    <n v="1"/>
    <n v="1"/>
    <n v="0"/>
  </r>
  <r>
    <s v="Duna Takarék Bank Zrt."/>
    <s v="S6T58608"/>
    <s v="OPT562 1GIG-DVD-UPS-LAN-A6-CEN3(4HIGH)"/>
    <s v="1562RH133131"/>
    <s v="9178"/>
    <s v="Hédervár"/>
    <s v="Fő u. 42."/>
    <s v="ok"/>
    <n v="1"/>
    <n v="1"/>
    <x v="19"/>
    <e v="#N/A"/>
    <n v="0"/>
    <n v="1"/>
  </r>
  <r>
    <s v="Duna Takarék Bank Zrt."/>
    <s v="S6T58609"/>
    <s v="Diebold-Opteva 522 Lobby Cash Dispenser"/>
    <s v="1522FH104487"/>
    <s v="2500"/>
    <s v="Esztergom"/>
    <s v="Bajcsy- Zs. u. 11."/>
    <s v="ok"/>
    <n v="1"/>
    <n v="1"/>
    <x v="14"/>
    <e v="#N/A"/>
    <n v="0"/>
    <n v="1"/>
  </r>
  <r>
    <s v="Duna Takarék Bank Zrt."/>
    <s v="S6T58610"/>
    <s v="OPT562 1GIG-DVD-UPS-LAN-A6-CEN3(4HIGH)"/>
    <s v="1562RH132404"/>
    <s v="2821"/>
    <s v="Gyermely"/>
    <s v="Petőfi tér 5."/>
    <s v="ok"/>
    <n v="1"/>
    <n v="1"/>
    <x v="19"/>
    <n v="1"/>
    <n v="1"/>
    <n v="0"/>
  </r>
  <r>
    <s v="Duna Takarék Bank Zrt."/>
    <s v="S6T58611"/>
    <s v="Diebold-Opteva 760 ATM Outdoor"/>
    <s v="1760RH121978"/>
    <s v="2536"/>
    <s v="Nyergesújfalu"/>
    <s v="Tó u. 1."/>
    <s v="ok"/>
    <n v="1"/>
    <n v="1"/>
    <x v="0"/>
    <e v="#N/A"/>
    <n v="0"/>
    <n v="1"/>
  </r>
  <r>
    <s v="Duna Takarék Bank Zrt."/>
    <s v="S6T58613"/>
    <s v="OPT562 1GIG-DVD-UPS-LAN-A6-CEN3(4HIGH)"/>
    <s v="1562RH125156"/>
    <s v="2525"/>
    <s v="Bajna"/>
    <s v="Kossuth u. 16."/>
    <s v="ok"/>
    <n v="1"/>
    <n v="1"/>
    <x v="19"/>
    <n v="1"/>
    <n v="1"/>
    <n v="0"/>
  </r>
  <r>
    <s v="Duna Takarék Bank Zrt."/>
    <s v="S6T58614"/>
    <s v="OPT562 1GIG-DVD-UPS-LAN-A6-CEN3(4HIGH)"/>
    <s v="1562RH133129"/>
    <s v="2523"/>
    <s v="Sárisáp"/>
    <s v="Malom u. 12."/>
    <s v="ok"/>
    <n v="1"/>
    <n v="1"/>
    <x v="0"/>
    <e v="#N/A"/>
    <n v="0"/>
    <n v="1"/>
  </r>
  <r>
    <s v="Duna Takarék Bank Zrt."/>
    <s v="S6T58615"/>
    <s v="Diebold-Opteva 720 ATM Indoor"/>
    <s v="1720V3301056"/>
    <s v="2510"/>
    <s v="Dorog"/>
    <s v="Bécsi út 64."/>
    <s v="ok"/>
    <n v="1"/>
    <n v="1"/>
    <x v="14"/>
    <n v="1"/>
    <n v="1"/>
    <n v="0"/>
  </r>
  <r>
    <s v="Duna Takarék Bank Zrt."/>
    <s v="S6T58617"/>
    <s v="OPT562 1GIG-DVD-UPS-LAN-A6-CEN3(4HIGH)"/>
    <s v="1562RH125281"/>
    <s v="2524"/>
    <s v="Nagysáp"/>
    <s v="Köztársaság tér 1/a"/>
    <s v="ok"/>
    <n v="1"/>
    <n v="1"/>
    <x v="0"/>
    <e v="#N/A"/>
    <n v="0"/>
    <n v="1"/>
  </r>
  <r>
    <s v="Duna Takarék Bank Zrt."/>
    <s v="S6T58618"/>
    <s v="OPT562 1GIG-DVD-UPS-LAN-A6-CEN3(4HIGH)"/>
    <s v="1562RH139005"/>
    <s v="2534"/>
    <s v="Tát"/>
    <s v="Fő út 120/a."/>
    <s v="ok"/>
    <n v="1"/>
    <n v="1"/>
    <x v="0"/>
    <e v="#N/A"/>
    <n v="0"/>
    <n v="1"/>
  </r>
  <r>
    <s v="Duna Takarék Bank Zrt."/>
    <s v="S6T58619"/>
    <s v="OPT562 1GIG-DVD-UPS-LAN-A6-CEN3(4HIGH)"/>
    <s v="1562RH125336"/>
    <s v="2519"/>
    <s v="Piliscsév"/>
    <s v="Urbanics u. 1"/>
    <s v="ok"/>
    <n v="1"/>
    <n v="1"/>
    <x v="0"/>
    <n v="1"/>
    <n v="1"/>
    <n v="0"/>
  </r>
  <r>
    <s v="Duna Takarék Bank Zrt."/>
    <s v="S6T58621"/>
    <s v="OPT562 1GIG-DVD-UPS-LAN-A6-CEN3(4HIGH)"/>
    <s v="1562RH129338"/>
    <s v="2521"/>
    <s v="Csolnok"/>
    <s v="Kossuth L. u. 2"/>
    <s v="ok"/>
    <n v="1"/>
    <n v="1"/>
    <x v="0"/>
    <e v="#N/A"/>
    <n v="0"/>
    <n v="1"/>
  </r>
  <r>
    <s v="Duna Takarék Bank Zrt."/>
    <s v="S6T58622"/>
    <s v="OPT562 1GIG-DVD-UPS-LAN-A6-CEN3(4HIGH)"/>
    <s v="1562RH128671"/>
    <s v="9233"/>
    <s v="Lipót"/>
    <s v="Fő út 86."/>
    <s v="ok"/>
    <n v="1"/>
    <n v="1"/>
    <x v="19"/>
    <e v="#N/A"/>
    <n v="0"/>
    <n v="1"/>
  </r>
  <r>
    <s v="Duna Takarék Bank Zrt."/>
    <s v="S6T58623"/>
    <s v="OPT562 1GIG-DVD-UPS-LAN-A6-CEN3(4HIGH)"/>
    <s v="1562RH131912"/>
    <s v="9231"/>
    <s v="Máriakálnok"/>
    <s v="Rákóczi út 42."/>
    <s v="ok"/>
    <n v="1"/>
    <n v="1"/>
    <x v="19"/>
    <e v="#N/A"/>
    <n v="0"/>
    <n v="1"/>
  </r>
  <r>
    <s v="Duna Takarék Bank Zrt."/>
    <s v="S6T58625"/>
    <s v="Diebold-Opteva 522 Lobby Cash Dispenser"/>
    <s v="1522FH102739"/>
    <s v="8000"/>
    <s v="Székesfehérvár"/>
    <s v="Piac tér 4."/>
    <s v="ok"/>
    <n v="1"/>
    <n v="1"/>
    <x v="4"/>
    <e v="#N/A"/>
    <n v="0"/>
    <n v="1"/>
  </r>
  <r>
    <s v="Duna Takarék Bank Zrt."/>
    <s v="S6T58626"/>
    <s v="OPT562 1GIG-DVD-UPS-LAN-A6-CEN3(4HIGH)"/>
    <s v="1562RH141318"/>
    <s v="2531"/>
    <s v="Tokod"/>
    <s v="Köztársaság u. 1."/>
    <s v="ok"/>
    <n v="1"/>
    <n v="1"/>
    <x v="0"/>
    <n v="1"/>
    <n v="1"/>
    <n v="0"/>
  </r>
  <r>
    <s v="Duna Takarék Bank Zrt."/>
    <s v="S6T58629"/>
    <s v="OPT562 1GIG-DVD-UPS-LAN-A6-CEN3(4HIGH)"/>
    <s v="1562RCF00036"/>
    <s v="8086"/>
    <s v="Felcsút"/>
    <s v="Fő utca 137."/>
    <s v="ok"/>
    <n v="1"/>
    <n v="1"/>
    <x v="19"/>
    <n v="1"/>
    <n v="1"/>
    <n v="0"/>
  </r>
  <r>
    <s v="Duna Takarék Bank Zrt."/>
    <s v="S6T58630"/>
    <s v="OPT562 1GIG-DVD-UPS-LAN-A6-CEN3(4HIGH)"/>
    <s v="1562RH125307"/>
    <s v="2532"/>
    <s v="Tokodaltáró"/>
    <s v="József Attila utca 1432/4HRSZ."/>
    <s v="ok"/>
    <n v="1"/>
    <n v="1"/>
    <x v="0"/>
    <e v="#N/A"/>
    <n v="0"/>
    <n v="1"/>
  </r>
  <r>
    <s v="Duna Takarék Bank Zrt."/>
    <s v="S6T58631"/>
    <s v="OPT562 1GIG-DVD-UPS-LAN-A6-CEN3(4HIGH)"/>
    <s v="1562RH124654"/>
    <s v="2518"/>
    <s v="Leányvár"/>
    <s v="Bécsi út 182."/>
    <s v="ok"/>
    <n v="1"/>
    <n v="1"/>
    <x v="0"/>
    <e v="#N/A"/>
    <n v="0"/>
    <n v="1"/>
  </r>
  <r>
    <s v="ERSTE BANK HUNGARY Zrt"/>
    <s v="S01004"/>
    <s v="Diebold-Opteva 760 ATM Outdoor"/>
    <s v="1760R3320591"/>
    <s v="1047"/>
    <s v="Budapest"/>
    <s v="Külső Váci út 15-19."/>
    <s v="ok"/>
    <n v="2"/>
    <n v="2"/>
    <x v="14"/>
    <n v="1"/>
    <n v="1"/>
    <n v="1"/>
  </r>
  <r>
    <s v="ERSTE BANK HUNGARY Zrt"/>
    <s v="S01012"/>
    <s v="Diebold-Opteva 760 ATM Outdoor"/>
    <s v="1760R3320569"/>
    <s v="1015"/>
    <s v="Budapest"/>
    <s v="Csalogány u. 30-32."/>
    <s v="ok"/>
    <n v="2"/>
    <n v="2"/>
    <x v="13"/>
    <e v="#N/A"/>
    <n v="0"/>
    <n v="2"/>
  </r>
  <r>
    <s v="ERSTE BANK HUNGARY Zrt"/>
    <s v="S01015_IDMBD"/>
    <s v="Diebold-Opteva 720 ATM Indoor"/>
    <s v="1720FH120189"/>
    <s v="1062"/>
    <s v="Budapest"/>
    <s v="Teréz krt. 51-53."/>
    <s v="ok"/>
    <n v="2"/>
    <n v="2"/>
    <x v="13"/>
    <e v="#N/A"/>
    <n v="0"/>
    <n v="2"/>
  </r>
  <r>
    <s v="ERSTE BANK HUNGARY Zrt"/>
    <s v="S01017"/>
    <s v="OPT562 1GIG-DVD-UPS-LAN-A6-CEN3(4HIGH)"/>
    <s v="1562RH127304"/>
    <s v="1112"/>
    <s v="Budapest"/>
    <s v="Fehérvári u. 9."/>
    <s v="ok"/>
    <n v="2"/>
    <n v="2"/>
    <x v="17"/>
    <e v="#N/A"/>
    <n v="0"/>
    <n v="2"/>
  </r>
  <r>
    <s v="ERSTE BANK HUNGARY Zrt"/>
    <s v="S01021"/>
    <s v="Diebold-Opteva 760 ATM Outdoor"/>
    <s v="1760RH120554"/>
    <s v="1053"/>
    <s v="Budapest"/>
    <s v="Kossuth L. u. 2."/>
    <s v="ok"/>
    <n v="2"/>
    <n v="2"/>
    <x v="13"/>
    <e v="#N/A"/>
    <n v="0"/>
    <n v="2"/>
  </r>
  <r>
    <s v="ERSTE BANK HUNGARY Zrt"/>
    <s v="S01023_ENA"/>
    <s v="Diebold-Opteva 760 ATM Outdoor"/>
    <s v="1760R3320540"/>
    <s v="1033"/>
    <s v="Budapest"/>
    <s v="Flórián tér 6-9."/>
    <s v="ok"/>
    <n v="2"/>
    <n v="2"/>
    <x v="0"/>
    <n v="1"/>
    <n v="1"/>
    <n v="1"/>
  </r>
  <r>
    <s v="ERSTE BANK HUNGARY Zrt"/>
    <s v="S01029"/>
    <s v="Diebold-Opteva 520 ATM Indoor"/>
    <s v="1520F3305876"/>
    <s v="1087"/>
    <s v="Budapest"/>
    <s v="Fiumei út 17."/>
    <s v="ok"/>
    <n v="2"/>
    <n v="2"/>
    <x v="13"/>
    <n v="1"/>
    <n v="1"/>
    <n v="1"/>
  </r>
  <r>
    <s v="ERSTE BANK HUNGARY Zrt"/>
    <s v="S01032"/>
    <s v="Diebold-Opteva 760 ATM Outdoor"/>
    <s v="1760RH120567"/>
    <s v="1053"/>
    <s v="Budapest"/>
    <s v="Múzeum krt. 31-33."/>
    <s v="ok"/>
    <n v="2"/>
    <n v="2"/>
    <x v="13"/>
    <e v="#N/A"/>
    <n v="0"/>
    <n v="2"/>
  </r>
  <r>
    <s v="ERSTE BANK HUNGARY Zrt"/>
    <s v="S01034_IDMBD"/>
    <s v="Diebold-Opteva 760 ATM Outdoor"/>
    <s v="1760RH120571"/>
    <s v="1137"/>
    <s v="Budapest"/>
    <s v="Szent István krt. 10."/>
    <s v="ok"/>
    <n v="2"/>
    <n v="2"/>
    <x v="14"/>
    <e v="#N/A"/>
    <n v="0"/>
    <n v="2"/>
  </r>
  <r>
    <s v="ERSTE BANK HUNGARY Zrt"/>
    <s v="S01037_ENA"/>
    <s v="Diebold-Opteva 760 ATM Outdoor"/>
    <s v="1760RH120563"/>
    <s v="2400"/>
    <s v="Dunaújváros"/>
    <s v="Dózsa György út 2/a"/>
    <s v="ok"/>
    <n v="2"/>
    <n v="2"/>
    <x v="7"/>
    <n v="2"/>
    <n v="2"/>
    <n v="0"/>
  </r>
  <r>
    <s v="ERSTE BANK HUNGARY Zrt"/>
    <s v="S01040"/>
    <s v="Diebold-Opteva 760 ATM Outdoor"/>
    <s v="1760RH120974"/>
    <s v="1139"/>
    <s v="Budapest"/>
    <s v="Teve u. 2-4."/>
    <s v="ok"/>
    <n v="2"/>
    <n v="2"/>
    <x v="14"/>
    <n v="1"/>
    <n v="1"/>
    <n v="1"/>
  </r>
  <r>
    <s v="ERSTE BANK HUNGARY Zrt"/>
    <s v="S01043"/>
    <s v="Diebold-Opteva 760 ATM Outdoor"/>
    <s v="1760RH120965"/>
    <s v="2112"/>
    <s v="Veresegyház"/>
    <s v="Fő út 32."/>
    <s v="ok"/>
    <n v="2"/>
    <n v="2"/>
    <x v="6"/>
    <n v="1"/>
    <n v="1"/>
    <n v="1"/>
  </r>
  <r>
    <s v="ERSTE BANK HUNGARY Zrt"/>
    <s v="S01047_ENA"/>
    <s v="Diebold-Opteva 760 ATM Outdoor"/>
    <s v="1760RH120544"/>
    <s v="1191"/>
    <s v="Budapest"/>
    <s v="Kossuth tér 23-24."/>
    <s v="ok"/>
    <n v="2"/>
    <n v="2"/>
    <x v="10"/>
    <n v="1"/>
    <n v="1"/>
    <n v="1"/>
  </r>
  <r>
    <s v="ERSTE BANK HUNGARY Zrt"/>
    <s v="S01050"/>
    <s v="Diebold-Opteva 522 Lobby Cash Dispenser"/>
    <s v="1522FH105476"/>
    <s v="1134"/>
    <s v="Budapest"/>
    <s v="Váci út 9-15."/>
    <s v="ok"/>
    <n v="2"/>
    <n v="2"/>
    <x v="14"/>
    <n v="1"/>
    <n v="1"/>
    <n v="1"/>
  </r>
  <r>
    <s v="ERSTE BANK HUNGARY Zrt"/>
    <s v="S01057"/>
    <s v="Diebold-Opteva 760 ATM Outdoor"/>
    <s v="1760R3320536"/>
    <s v="1118"/>
    <s v="Budapest"/>
    <s v="Gazdagréti tér 6."/>
    <s v="ok"/>
    <n v="2"/>
    <n v="2"/>
    <x v="17"/>
    <e v="#N/A"/>
    <n v="0"/>
    <n v="2"/>
  </r>
  <r>
    <s v="ERSTE BANK HUNGARY Zrt"/>
    <s v="S01062"/>
    <s v="Diebold-Opteva 760 ATM Outdoor"/>
    <s v="1760RH120569"/>
    <s v="1101"/>
    <s v="Budapest"/>
    <s v="Üllői út 114-116."/>
    <s v="ok"/>
    <n v="2"/>
    <n v="2"/>
    <x v="17"/>
    <n v="1"/>
    <n v="1"/>
    <n v="1"/>
  </r>
  <r>
    <s v="ERSTE BANK HUNGARY Zrt"/>
    <s v="S01063"/>
    <s v="Diebold-Opteva 562r 3 High-Standard ATM"/>
    <s v="562RRH100422"/>
    <s v="2013"/>
    <s v="Pomáz"/>
    <s v="Huszár u. 5."/>
    <s v="ok"/>
    <n v="2"/>
    <n v="2"/>
    <x v="14"/>
    <n v="1"/>
    <n v="1"/>
    <n v="1"/>
  </r>
  <r>
    <s v="ERSTE BANK HUNGARY Zrt"/>
    <s v="S01065"/>
    <s v="OPT562 1GIG-DVD-UPS-LAN-A6-CEN3(4HIGH)"/>
    <s v="1562RH127307"/>
    <s v="1045"/>
    <s v="Budapest"/>
    <s v="Újpest István út 18."/>
    <s v="ok"/>
    <n v="2"/>
    <n v="2"/>
    <x v="0"/>
    <e v="#N/A"/>
    <n v="0"/>
    <n v="2"/>
  </r>
  <r>
    <s v="ERSTE BANK HUNGARY Zrt"/>
    <s v="S01068"/>
    <s v="Diebold-Opteva 760 ATM Outdoor"/>
    <s v="1760RH120581"/>
    <s v="1149"/>
    <s v="Budapest"/>
    <s v="Nagy Lajos Kir. útja 173."/>
    <s v="ok"/>
    <n v="2"/>
    <n v="2"/>
    <x v="6"/>
    <e v="#N/A"/>
    <n v="0"/>
    <n v="2"/>
  </r>
  <r>
    <s v="ERSTE BANK HUNGARY Zrt"/>
    <s v="S01075_ENA"/>
    <s v="Diebold-Opteva 760 ATM Outdoor"/>
    <s v="1760R3320552"/>
    <s v="1062"/>
    <s v="Budapest"/>
    <s v="Váci út 1-3."/>
    <s v="ok"/>
    <n v="2"/>
    <n v="2"/>
    <x v="13"/>
    <n v="1"/>
    <n v="1"/>
    <n v="1"/>
  </r>
  <r>
    <s v="ERSTE BANK HUNGARY Zrt"/>
    <s v="S01076_ENA"/>
    <s v="Diebold-Opteva 720 ATM Indoor"/>
    <s v="1720F3320044"/>
    <s v="1085"/>
    <s v="Budapest"/>
    <s v="József krt. 86."/>
    <s v="ok"/>
    <n v="2"/>
    <n v="2"/>
    <x v="13"/>
    <n v="1"/>
    <n v="1"/>
    <n v="1"/>
  </r>
  <r>
    <s v="ERSTE BANK HUNGARY Zrt"/>
    <s v="S01079_ENA"/>
    <s v="Diebold-Opteva 760 ATM Outdoor"/>
    <s v="1760RH120529"/>
    <s v="2030"/>
    <s v="Érd"/>
    <s v="Budai út 13."/>
    <s v="ok"/>
    <n v="2"/>
    <n v="2"/>
    <x v="15"/>
    <n v="1"/>
    <n v="1"/>
    <n v="1"/>
  </r>
  <r>
    <s v="ERSTE BANK HUNGARY Zrt"/>
    <s v="S01082_ENA"/>
    <s v="Diebold-Opteva 720 ATM Indoor"/>
    <s v="1720F3320052"/>
    <s v="1021"/>
    <s v="Budapest"/>
    <s v="Hüvösvölgyi út 138."/>
    <s v="ok"/>
    <n v="2"/>
    <n v="2"/>
    <x v="0"/>
    <n v="1"/>
    <n v="1"/>
    <n v="1"/>
  </r>
  <r>
    <s v="ERSTE BANK HUNGARY Zrt"/>
    <s v="S01083"/>
    <s v="Diebold-Opteva 720 ATM Indoor"/>
    <s v="1720FH121725"/>
    <s v="1173"/>
    <s v="Budapest"/>
    <s v="Pesti út 5-7."/>
    <s v="ok"/>
    <n v="2"/>
    <n v="2"/>
    <x v="10"/>
    <n v="1"/>
    <n v="1"/>
    <n v="1"/>
  </r>
  <r>
    <s v="ERSTE BANK HUNGARY Zrt"/>
    <s v="S01084_ENA"/>
    <s v="Diebold-Opteva 720 ATM Indoor"/>
    <s v="1720FH120187"/>
    <s v="1066"/>
    <s v="Budapest"/>
    <s v="Teréz krt. 24."/>
    <s v="ok"/>
    <n v="2"/>
    <n v="2"/>
    <x v="13"/>
    <n v="1"/>
    <n v="1"/>
    <n v="1"/>
  </r>
  <r>
    <s v="ERSTE BANK HUNGARY Zrt"/>
    <s v="S01090_ENA"/>
    <s v="Diebold-Opteva 760 ATM Outdoor"/>
    <s v="1760R3320417"/>
    <s v="1106"/>
    <s v="Budapest"/>
    <s v="Örs vezér tere 25."/>
    <s v="ok"/>
    <n v="2"/>
    <n v="2"/>
    <x v="17"/>
    <n v="2"/>
    <n v="2"/>
    <n v="0"/>
  </r>
  <r>
    <s v="ERSTE BANK HUNGARY Zrt"/>
    <s v="S01091"/>
    <s v="Diebold-Opteva 760 ATM Outdoor"/>
    <s v="1760RH120945"/>
    <s v="2120"/>
    <s v="Dunakeszi"/>
    <s v="Verseny u. 4."/>
    <s v="ok"/>
    <n v="2"/>
    <n v="2"/>
    <x v="14"/>
    <n v="1"/>
    <n v="1"/>
    <n v="1"/>
  </r>
  <r>
    <s v="ERSTE BANK HUNGARY Zrt"/>
    <s v="S01095_ENA"/>
    <s v="Diebold-Opteva 720 ATM Indoor"/>
    <s v="1720F3320046"/>
    <s v="2600"/>
    <s v="Vác"/>
    <s v="Széchenyi u. 14."/>
    <s v="ok"/>
    <n v="2"/>
    <n v="2"/>
    <x v="6"/>
    <n v="2"/>
    <n v="2"/>
    <n v="0"/>
  </r>
  <r>
    <s v="ERSTE BANK HUNGARY Zrt"/>
    <s v="S01098"/>
    <s v="Diebold-Opteva 760 ATM Outdoor"/>
    <s v="1760RH120552"/>
    <s v="2740"/>
    <s v="Abony"/>
    <s v="Kossuth Lajos tér 18."/>
    <s v="ok"/>
    <n v="2"/>
    <n v="2"/>
    <x v="11"/>
    <n v="1"/>
    <n v="1"/>
    <n v="1"/>
  </r>
  <r>
    <s v="ERSTE BANK HUNGARY Zrt"/>
    <s v="S01099_ENA"/>
    <s v="Diebold-Opteva 760 ATM Outdoor"/>
    <s v="1760RH120547"/>
    <s v="1032"/>
    <s v="Budapest"/>
    <s v="Bécsi út 154."/>
    <s v="ok"/>
    <n v="2"/>
    <n v="2"/>
    <x v="0"/>
    <e v="#N/A"/>
    <n v="0"/>
    <n v="2"/>
  </r>
  <r>
    <s v="ERSTE BANK HUNGARY Zrt"/>
    <s v="S01100"/>
    <s v="OPT562 1GIG-DVD-UPS-LAN-A6-CEN3(4HIGH)"/>
    <s v="1562RH126040"/>
    <s v="1055"/>
    <s v="Budapest"/>
    <s v="Kossuth Lajos tér 13-15"/>
    <s v="ok"/>
    <n v="2"/>
    <n v="2"/>
    <x v="13"/>
    <e v="#N/A"/>
    <n v="0"/>
    <n v="2"/>
  </r>
  <r>
    <s v="ERSTE BANK HUNGARY Zrt"/>
    <s v="S01102"/>
    <s v="Diebold-Opteva 720 ATM Indoor"/>
    <s v="1720FH120197"/>
    <s v="2040"/>
    <s v="Budaörs"/>
    <s v="Gervay Mihály u. 9-11."/>
    <s v="ok"/>
    <n v="2"/>
    <n v="2"/>
    <x v="17"/>
    <e v="#N/A"/>
    <n v="0"/>
    <n v="2"/>
  </r>
  <r>
    <s v="ERSTE BANK HUNGARY Zrt"/>
    <s v="S01104_ENA"/>
    <s v="Diebold-Opteva 760 ATM Outdoor"/>
    <s v="1760RH120617"/>
    <s v="1116"/>
    <s v="Budapest"/>
    <s v="Fehérvári út 130."/>
    <s v="ok"/>
    <n v="2"/>
    <n v="2"/>
    <x v="17"/>
    <n v="1"/>
    <n v="1"/>
    <n v="1"/>
  </r>
  <r>
    <s v="ERSTE BANK HUNGARY Zrt"/>
    <s v="S01106"/>
    <s v="OPT562 1GIG-DVD-UPS-LAN-A6-CEN3(4HIGH)"/>
    <s v="1562RH143036"/>
    <s v="1091"/>
    <s v="Budapest"/>
    <s v="Üllői út 121."/>
    <s v="ok"/>
    <n v="2"/>
    <n v="2"/>
    <x v="17"/>
    <e v="#N/A"/>
    <n v="0"/>
    <n v="2"/>
  </r>
  <r>
    <s v="ERSTE BANK HUNGARY Zrt"/>
    <s v="S01107_ENA"/>
    <s v="Diebold-Opteva 760 ATM Outdoor"/>
    <s v="1760R3320530"/>
    <s v="1138"/>
    <s v="Budapest"/>
    <s v="Népfürdő u. 24-26."/>
    <s v="ok"/>
    <n v="2"/>
    <n v="2"/>
    <x v="14"/>
    <n v="1"/>
    <n v="1"/>
    <n v="1"/>
  </r>
  <r>
    <s v="ERSTE BANK HUNGARY Zrt"/>
    <s v="S01111"/>
    <s v="Diebold-Opteva 520 ATM Indoor"/>
    <s v="1520FCF00225"/>
    <s v="1212"/>
    <s v="Budapest"/>
    <s v="II. Rákóczi Ferenc út 154-170."/>
    <s v="ok"/>
    <n v="2"/>
    <n v="2"/>
    <x v="15"/>
    <n v="1"/>
    <n v="1"/>
    <n v="1"/>
  </r>
  <r>
    <s v="ERSTE BANK HUNGARY Zrt"/>
    <s v="S01113_ENA"/>
    <s v="Diebold-Opteva 720 ATM Indoor"/>
    <s v="1720F3320042"/>
    <s v="2440"/>
    <s v="Százhalombatta"/>
    <s v="Szent István tér 9."/>
    <s v="ok"/>
    <n v="2"/>
    <n v="2"/>
    <x v="7"/>
    <n v="1"/>
    <n v="1"/>
    <n v="1"/>
  </r>
  <r>
    <s v="ERSTE BANK HUNGARY Zrt"/>
    <s v="S01114"/>
    <s v="OPT562 1GIG-DVD-UPS-LAN-A6-CEN3(4HIGH)"/>
    <s v="1562RH143032"/>
    <s v="1094"/>
    <s v="Budapest"/>
    <s v="Ferenc körút 25."/>
    <s v="ok"/>
    <n v="2"/>
    <n v="2"/>
    <x v="17"/>
    <n v="1"/>
    <n v="1"/>
    <n v="1"/>
  </r>
  <r>
    <s v="ERSTE BANK HUNGARY Zrt"/>
    <s v="S01116_ENA"/>
    <s v="Diebold-Opteva 720 ATM Indoor"/>
    <s v="1720F3320060"/>
    <s v="2040"/>
    <s v="Budaörs"/>
    <s v="Szabadság u. 27."/>
    <s v="ok"/>
    <n v="2"/>
    <n v="2"/>
    <x v="17"/>
    <n v="1"/>
    <n v="1"/>
    <n v="1"/>
  </r>
  <r>
    <s v="ERSTE BANK HUNGARY Zrt"/>
    <s v="S01117"/>
    <s v="Diebold-Opteva 720 ATM Indoor"/>
    <s v="1720FH121912"/>
    <s v="1097"/>
    <s v="Budapest"/>
    <s v="Koppány u. 2-4."/>
    <s v="ok"/>
    <n v="2"/>
    <n v="2"/>
    <x v="17"/>
    <n v="1"/>
    <n v="1"/>
    <n v="1"/>
  </r>
  <r>
    <s v="ERSTE BANK HUNGARY Zrt"/>
    <s v="S01118_ENA"/>
    <s v="Diebold-Opteva 720 ATM Indoor"/>
    <s v="1720FH120244"/>
    <s v="2120"/>
    <s v="Dunakeszi"/>
    <s v="Fő út 24."/>
    <s v="ok"/>
    <n v="2"/>
    <n v="2"/>
    <x v="14"/>
    <n v="1"/>
    <n v="1"/>
    <n v="1"/>
  </r>
  <r>
    <s v="ERSTE BANK HUNGARY Zrt"/>
    <s v="S01125_ENA"/>
    <s v="Diebold-Opteva 760 ATM Outdoor"/>
    <s v="1760RH120610"/>
    <s v="1042"/>
    <s v="Budapest"/>
    <s v="Árpád út 68."/>
    <s v="ok"/>
    <n v="2"/>
    <n v="2"/>
    <x v="0"/>
    <n v="1"/>
    <n v="1"/>
    <n v="1"/>
  </r>
  <r>
    <s v="ERSTE BANK HUNGARY Zrt"/>
    <s v="S01129"/>
    <s v="Diebold-Opteva 522 Lobby Cash Dispenser"/>
    <s v="1522FH106944"/>
    <s v="1087"/>
    <s v="Budapest"/>
    <s v="Kerepesi út 9."/>
    <s v="ok"/>
    <n v="2"/>
    <n v="2"/>
    <x v="13"/>
    <n v="1"/>
    <n v="1"/>
    <n v="1"/>
  </r>
  <r>
    <s v="ERSTE BANK HUNGARY Zrt"/>
    <s v="S01136"/>
    <s v="Diebold-Opteva 520 ATM Indoor"/>
    <s v="1520FH121651"/>
    <s v="1239"/>
    <s v="Budapest"/>
    <s v="Bevásárló u. 2."/>
    <s v="ok"/>
    <n v="2"/>
    <n v="2"/>
    <x v="15"/>
    <n v="1"/>
    <n v="1"/>
    <n v="1"/>
  </r>
  <r>
    <s v="ERSTE BANK HUNGARY Zrt"/>
    <s v="S01137_ENA"/>
    <s v="Diebold-Opteva 720 ATM Indoor"/>
    <s v="1720FH120185"/>
    <s v="1039"/>
    <s v="Budapest"/>
    <s v="Heltai Jenő tér 15."/>
    <s v="ok"/>
    <n v="2"/>
    <n v="2"/>
    <x v="0"/>
    <n v="1"/>
    <n v="1"/>
    <n v="1"/>
  </r>
  <r>
    <s v="ERSTE BANK HUNGARY Zrt"/>
    <s v="S01139_ENA"/>
    <s v="Diebold-Opteva 760 ATM Outdoor"/>
    <s v="1760R3320535"/>
    <s v="1134"/>
    <s v="Budapest"/>
    <s v="Váci út 33."/>
    <s v="ok"/>
    <n v="2"/>
    <n v="2"/>
    <x v="14"/>
    <n v="2"/>
    <n v="2"/>
    <n v="0"/>
  </r>
  <r>
    <s v="ERSTE BANK HUNGARY Zrt"/>
    <s v="S01141"/>
    <s v="Diebold-Opteva 760 ATM Outdoor"/>
    <s v="1760RH120946"/>
    <s v="2346"/>
    <s v="Ócsa"/>
    <s v="Szabadság tér 1."/>
    <s v="ok"/>
    <n v="2"/>
    <n v="2"/>
    <x v="15"/>
    <n v="1"/>
    <n v="1"/>
    <n v="1"/>
  </r>
  <r>
    <s v="ERSTE BANK HUNGARY Zrt"/>
    <s v="S01142_ENA"/>
    <s v="Diebold-Opteva 720 ATM Indoor"/>
    <s v="1720FH121350"/>
    <s v="2330"/>
    <s v="Dunaharaszti"/>
    <s v="Dózsa György út 27."/>
    <s v="ok"/>
    <n v="2"/>
    <n v="2"/>
    <x v="15"/>
    <n v="1"/>
    <n v="1"/>
    <n v="1"/>
  </r>
  <r>
    <s v="ERSTE BANK HUNGARY Zrt"/>
    <s v="S01145"/>
    <s v="Diebold-Opteva 720 ATM Indoor"/>
    <s v="1720FH121346"/>
    <s v="2120"/>
    <s v="Dunakeszi"/>
    <s v="Nádas u. 6."/>
    <s v="ok"/>
    <n v="2"/>
    <n v="2"/>
    <x v="14"/>
    <n v="1"/>
    <n v="1"/>
    <n v="1"/>
  </r>
  <r>
    <s v="ERSTE BANK HUNGARY Zrt"/>
    <s v="S01146"/>
    <s v="Diebold-Opteva 520 ATM Indoor"/>
    <s v="1520FCF00099"/>
    <s v="2234"/>
    <s v="Maglód"/>
    <s v="Esterházy János u. 1."/>
    <s v="ok"/>
    <n v="2"/>
    <n v="2"/>
    <x v="10"/>
    <e v="#N/A"/>
    <n v="0"/>
    <n v="2"/>
  </r>
  <r>
    <s v="ERSTE BANK HUNGARY Zrt"/>
    <s v="S01148"/>
    <s v="Diebold-Opteva 760 ATM Outdoor"/>
    <s v="1760RH120556"/>
    <s v="2700"/>
    <s v="Cegléd"/>
    <s v="Kossuth tér 5."/>
    <s v="ok"/>
    <n v="2"/>
    <n v="2"/>
    <x v="6"/>
    <n v="1"/>
    <n v="1"/>
    <n v="1"/>
  </r>
  <r>
    <s v="ERSTE BANK HUNGARY Zrt"/>
    <s v="S01151"/>
    <s v="Diebold-Opteva 522 Lobby Cash Dispenser"/>
    <s v="1522FH106943"/>
    <s v="1138"/>
    <s v="Budapest"/>
    <s v="Népfürdő u. 24-26."/>
    <s v="ok"/>
    <n v="2"/>
    <n v="2"/>
    <x v="14"/>
    <n v="1"/>
    <n v="1"/>
    <n v="1"/>
  </r>
  <r>
    <s v="ERSTE BANK HUNGARY Zrt"/>
    <s v="S01152"/>
    <s v="Diebold-Opteva 760 ATM Outdoor"/>
    <s v="1760RH120971"/>
    <s v="1125"/>
    <s v="Budapest"/>
    <s v="Nógrádi u. 39. (CBA áruház)"/>
    <s v="ok"/>
    <n v="2"/>
    <n v="2"/>
    <x v="0"/>
    <n v="1"/>
    <n v="1"/>
    <n v="1"/>
  </r>
  <r>
    <s v="ERSTE BANK HUNGARY Zrt"/>
    <s v="S01153"/>
    <s v="Diebold-Opteva 520 ATM Indoor"/>
    <s v="1520FCF00089"/>
    <s v="1037"/>
    <s v="Budapest"/>
    <s v="Kunigunda u. 62-64."/>
    <s v="ok"/>
    <n v="2"/>
    <n v="2"/>
    <x v="0"/>
    <n v="1"/>
    <n v="1"/>
    <n v="1"/>
  </r>
  <r>
    <s v="ERSTE BANK HUNGARY Zrt"/>
    <s v="S01155"/>
    <s v="Diebold-Opteva 720 ATM Indoor"/>
    <s v="1720FH121360"/>
    <s v="2700"/>
    <s v="Cegléd"/>
    <s v="Malomtószél utca 20. (Tesco)"/>
    <s v="ok"/>
    <n v="2"/>
    <n v="2"/>
    <x v="6"/>
    <n v="1"/>
    <n v="1"/>
    <n v="1"/>
  </r>
  <r>
    <s v="ERSTE BANK HUNGARY Zrt"/>
    <s v="S01157"/>
    <s v="Diebold-Opteva 720 ATM Indoor"/>
    <s v="1720FH121362"/>
    <s v="1117"/>
    <s v="Budapest"/>
    <s v="Október 23. u. 8-10."/>
    <s v="ok"/>
    <n v="2"/>
    <n v="2"/>
    <x v="17"/>
    <n v="1"/>
    <n v="1"/>
    <n v="1"/>
  </r>
  <r>
    <s v="ERSTE BANK HUNGARY Zrt"/>
    <s v="S01158"/>
    <s v="Diebold-Opteva 760 ATM Outdoor"/>
    <s v="1760RH120976"/>
    <s v="1095"/>
    <s v="Budapest"/>
    <s v="Komor Marcell u. 1."/>
    <s v="ok"/>
    <n v="2"/>
    <n v="2"/>
    <x v="17"/>
    <n v="1"/>
    <n v="1"/>
    <n v="1"/>
  </r>
  <r>
    <s v="ERSTE BANK HUNGARY Zrt"/>
    <s v="S01159"/>
    <s v="Diebold-Opteva 520 ATM Indoor"/>
    <s v="1520FH122419"/>
    <s v="1054"/>
    <s v="Budapest"/>
    <s v="Szabadság tér"/>
    <s v="ok"/>
    <n v="2"/>
    <n v="2"/>
    <x v="13"/>
    <n v="1"/>
    <n v="1"/>
    <n v="1"/>
  </r>
  <r>
    <s v="ERSTE BANK HUNGARY Zrt"/>
    <s v="S01160"/>
    <s v="Diebold-Opteva 720 ATM Indoor"/>
    <s v="1720FH121727"/>
    <s v="2220"/>
    <s v="Vecsés"/>
    <s v="Fő út 246-248"/>
    <s v="ok"/>
    <n v="2"/>
    <n v="2"/>
    <x v="15"/>
    <e v="#N/A"/>
    <n v="0"/>
    <n v="2"/>
  </r>
  <r>
    <s v="ERSTE BANK HUNGARY Zrt"/>
    <s v="S01161"/>
    <s v="Diebold-Opteva 522 Lobby Cash Dispenser"/>
    <s v="1522FH100277"/>
    <s v="1196"/>
    <s v="Budapest"/>
    <s v="Ady Endre út 42-44."/>
    <s v="ok"/>
    <n v="2"/>
    <n v="2"/>
    <x v="10"/>
    <n v="1"/>
    <n v="1"/>
    <n v="1"/>
  </r>
  <r>
    <s v="ERSTE BANK HUNGARY Zrt"/>
    <s v="S01162"/>
    <s v="Diebold-Opteva 522 Lobby Cash Dispenser"/>
    <s v="1522FH100275"/>
    <s v="1163"/>
    <s v="Budapest"/>
    <s v="Rákosi út 142-146."/>
    <s v="ok"/>
    <n v="2"/>
    <n v="2"/>
    <x v="6"/>
    <n v="1"/>
    <n v="1"/>
    <n v="1"/>
  </r>
  <r>
    <s v="ERSTE BANK HUNGARY Zrt"/>
    <s v="S01163"/>
    <s v="Diebold-Opteva 522 Lobby Cash Dispenser"/>
    <s v="1522FH100278"/>
    <s v="1039"/>
    <s v="Budapest"/>
    <s v="Pablo Neruda 1-2."/>
    <s v="ok"/>
    <n v="2"/>
    <n v="2"/>
    <x v="0"/>
    <n v="1"/>
    <n v="1"/>
    <n v="1"/>
  </r>
  <r>
    <s v="ERSTE BANK HUNGARY Zrt"/>
    <s v="S01164"/>
    <s v="Diebold-Opteva 522 Lobby Cash Dispenser"/>
    <s v="1522FH100280"/>
    <s v="1074"/>
    <s v="Budapest"/>
    <s v="Rákóczi út 20."/>
    <s v="ok"/>
    <n v="2"/>
    <n v="2"/>
    <x v="13"/>
    <n v="1"/>
    <n v="1"/>
    <n v="1"/>
  </r>
  <r>
    <s v="ERSTE BANK HUNGARY Zrt"/>
    <s v="S01165"/>
    <s v="Diebold-Opteva 720 ATM Indoor"/>
    <s v="1720FH121721"/>
    <s v="1204"/>
    <s v="Budapest"/>
    <s v="Mártírok útja 281."/>
    <s v="ok"/>
    <n v="2"/>
    <n v="2"/>
    <x v="15"/>
    <n v="1"/>
    <n v="1"/>
    <n v="1"/>
  </r>
  <r>
    <s v="ERSTE BANK HUNGARY Zrt"/>
    <s v="S01166"/>
    <s v="Diebold-Opteva 520 ATM Indoor"/>
    <s v="1520FH120090"/>
    <s v="1138"/>
    <s v="Budapest"/>
    <s v="Gács utca 3."/>
    <s v="ok"/>
    <n v="2"/>
    <n v="2"/>
    <x v="14"/>
    <n v="2"/>
    <n v="2"/>
    <n v="0"/>
  </r>
  <r>
    <s v="ERSTE BANK HUNGARY Zrt"/>
    <s v="S01167"/>
    <s v="Diebold-Opteva 720 ATM Indoor"/>
    <s v="1720FH121722"/>
    <s v="1214"/>
    <s v="Budapest"/>
    <s v="Rákóczi Ferenc út 191"/>
    <s v="ok"/>
    <n v="2"/>
    <n v="2"/>
    <x v="15"/>
    <n v="1"/>
    <n v="1"/>
    <n v="1"/>
  </r>
  <r>
    <s v="ERSTE BANK HUNGARY Zrt"/>
    <s v="S01168_ENA"/>
    <s v="Diebold-Opteva 720 ATM Indoor"/>
    <s v="1720FH121719"/>
    <s v="1087"/>
    <s v="Budapest"/>
    <s v="Kerepesi út 9-11."/>
    <s v="ok"/>
    <n v="2"/>
    <n v="2"/>
    <x v="13"/>
    <n v="1"/>
    <n v="1"/>
    <n v="1"/>
  </r>
  <r>
    <s v="ERSTE BANK HUNGARY Zrt"/>
    <s v="S01169"/>
    <s v="Diebold-Opteva 522 Lobby Cash Dispenser"/>
    <s v="1522FH105474"/>
    <s v="1083"/>
    <s v="Budapest"/>
    <s v="Futó u. 37-43."/>
    <s v="ok"/>
    <n v="2"/>
    <n v="2"/>
    <x v="13"/>
    <n v="1"/>
    <n v="1"/>
    <n v="1"/>
  </r>
  <r>
    <s v="ERSTE BANK HUNGARY Zrt"/>
    <s v="S01170"/>
    <s v="Diebold-Opteva 520 ATM Indoor"/>
    <s v="1520FCF00235"/>
    <s v="1076"/>
    <s v="Budapest"/>
    <s v="Garay tér 20"/>
    <s v="ok"/>
    <n v="2"/>
    <n v="2"/>
    <x v="13"/>
    <e v="#N/A"/>
    <n v="0"/>
    <n v="2"/>
  </r>
  <r>
    <s v="ERSTE BANK HUNGARY Zrt"/>
    <s v="S01173"/>
    <s v="Diebold-Opteva 522 Lobby Cash Dispenser"/>
    <s v="1522FH105478"/>
    <s v="1062"/>
    <s v="Budapest"/>
    <s v="Teréz krt 55-57."/>
    <s v="ok"/>
    <n v="2"/>
    <n v="2"/>
    <x v="13"/>
    <n v="1"/>
    <n v="1"/>
    <n v="1"/>
  </r>
  <r>
    <s v="ERSTE BANK HUNGARY Zrt"/>
    <s v="S01174"/>
    <s v="Diebold-Opteva 522 Lobby Cash Dispenser"/>
    <s v="1522FH105479"/>
    <s v="1143"/>
    <s v="Budapest"/>
    <s v="Erzsébet királyné útja 125."/>
    <s v="ok"/>
    <n v="2"/>
    <n v="2"/>
    <x v="14"/>
    <n v="1"/>
    <n v="1"/>
    <n v="1"/>
  </r>
  <r>
    <s v="ERSTE BANK HUNGARY Zrt"/>
    <s v="S01175"/>
    <s v="Diebold-Opteva 522 Lobby Cash Dispenser"/>
    <s v="1522FH105485"/>
    <s v="2750"/>
    <s v="Nagykőrös"/>
    <s v="Ceglédi u. 28."/>
    <s v="ok"/>
    <n v="2"/>
    <n v="2"/>
    <x v="11"/>
    <n v="1"/>
    <n v="1"/>
    <n v="1"/>
  </r>
  <r>
    <s v="ERSTE BANK HUNGARY Zrt"/>
    <s v="S01176"/>
    <s v="Diebold-Opteva 522 Lobby Cash Dispenser"/>
    <s v="1522FH105486"/>
    <s v="1131"/>
    <s v="Budapest"/>
    <s v="Reitter Ferenc u. 132."/>
    <s v="ok"/>
    <n v="2"/>
    <n v="2"/>
    <x v="14"/>
    <n v="1"/>
    <n v="1"/>
    <n v="1"/>
  </r>
  <r>
    <s v="ERSTE BANK HUNGARY Zrt"/>
    <s v="S01177"/>
    <s v="Diebold-Opteva 522 Lobby Cash Dispenser"/>
    <s v="1522FH105487"/>
    <s v="2600"/>
    <s v="Vác"/>
    <s v="Deres u.2."/>
    <s v="ok"/>
    <n v="2"/>
    <n v="2"/>
    <x v="6"/>
    <n v="1"/>
    <n v="1"/>
    <n v="1"/>
  </r>
  <r>
    <s v="ERSTE BANK HUNGARY Zrt"/>
    <s v="S01178"/>
    <s v="Diebold-Opteva 522 Lobby Cash Dispenser"/>
    <s v="1522FH105488"/>
    <s v="2230"/>
    <s v="Gyömrő"/>
    <s v="Mendei u. 2."/>
    <s v="ok"/>
    <n v="2"/>
    <n v="2"/>
    <x v="10"/>
    <n v="1"/>
    <n v="1"/>
    <n v="1"/>
  </r>
  <r>
    <s v="ERSTE BANK HUNGARY Zrt"/>
    <s v="S01179"/>
    <s v="OPT562 1GIG-DVD-UPS-LAN-A6-CEN3(4HIGH)"/>
    <s v="1562RH140526"/>
    <s v="2330"/>
    <s v="Dunaharaszti"/>
    <s v="Fő u 56."/>
    <s v="ok"/>
    <n v="2"/>
    <n v="2"/>
    <x v="15"/>
    <e v="#N/A"/>
    <n v="0"/>
    <n v="2"/>
  </r>
  <r>
    <s v="ERSTE BANK HUNGARY Zrt"/>
    <s v="S01180"/>
    <s v="OPT562 1GIG-DVD-UPS-LAN-A6-CEN3(4HIGH)"/>
    <s v="1562RH140524"/>
    <s v="1045"/>
    <s v="Budapest"/>
    <s v="Árpád u. 183-185."/>
    <s v="ok"/>
    <n v="2"/>
    <n v="2"/>
    <x v="14"/>
    <n v="1"/>
    <n v="1"/>
    <n v="1"/>
  </r>
  <r>
    <s v="ERSTE BANK HUNGARY Zrt"/>
    <s v="S01181"/>
    <s v="Diebold-Opteva 760 ATM Outdoor"/>
    <s v="1760R3320543"/>
    <s v="1181"/>
    <s v="Budapest"/>
    <s v="Darus u. 5."/>
    <s v="ok"/>
    <n v="2"/>
    <n v="2"/>
    <x v="15"/>
    <e v="#N/A"/>
    <n v="0"/>
    <n v="2"/>
  </r>
  <r>
    <s v="ERSTE BANK HUNGARY Zrt"/>
    <s v="S01182"/>
    <s v="OPT562 1GIG-DVD-UPS-LAN-A6-CEN3(4HIGH)"/>
    <s v="1562RH143038"/>
    <s v="1033"/>
    <s v="Budapest"/>
    <s v="Köles utca 1."/>
    <s v="ok"/>
    <n v="2"/>
    <n v="2"/>
    <x v="0"/>
    <n v="1"/>
    <n v="1"/>
    <n v="1"/>
  </r>
  <r>
    <s v="ERSTE BANK HUNGARY Zrt"/>
    <s v="S01183"/>
    <s v="OPT562 1GIG-DVD-UPS-LAN-A6-CEN3(4HIGH)"/>
    <s v="1562RH140525"/>
    <s v="1156"/>
    <s v="Budapest"/>
    <s v="Nyírpalota u. 2."/>
    <s v="ok"/>
    <n v="2"/>
    <n v="2"/>
    <x v="14"/>
    <n v="1"/>
    <n v="1"/>
    <n v="1"/>
  </r>
  <r>
    <s v="ERSTE BANK HUNGARY Zrt"/>
    <s v="S01184"/>
    <s v="Diebold-Opteva 760 ATM Outdoor"/>
    <s v="1760R3320534"/>
    <s v="1173"/>
    <s v="Budapest"/>
    <s v="Pesti út 169."/>
    <s v="ok"/>
    <n v="2"/>
    <n v="2"/>
    <x v="10"/>
    <n v="1"/>
    <n v="1"/>
    <n v="1"/>
  </r>
  <r>
    <s v="ERSTE BANK HUNGARY Zrt"/>
    <s v="S01186"/>
    <s v="OPT562 1GIG-DVD-UPS-LAN-A6-CEN3(4HIGH)"/>
    <s v="1562RH126085"/>
    <s v="1182"/>
    <s v="Budapest"/>
    <s v="Üllői út 525."/>
    <s v="ok"/>
    <n v="2"/>
    <n v="2"/>
    <x v="15"/>
    <e v="#N/A"/>
    <n v="0"/>
    <n v="2"/>
  </r>
  <r>
    <s v="ERSTE BANK HUNGARY Zrt"/>
    <s v="S01187"/>
    <s v="OPT562 1GIG-DVD-UPS-LAN-A6-CEN3(4HIGH)"/>
    <s v="1562RH140497"/>
    <s v="2030"/>
    <s v="Érd"/>
    <s v="Diósdi u. 46."/>
    <s v="ok"/>
    <n v="2"/>
    <n v="2"/>
    <x v="15"/>
    <e v="#N/A"/>
    <n v="0"/>
    <n v="2"/>
  </r>
  <r>
    <s v="ERSTE BANK HUNGARY Zrt"/>
    <s v="S01188"/>
    <s v="OPT562 1GIG-DVD-UPS-LAN-A6-CEN3(4HIGH)"/>
    <s v="1562RH127143"/>
    <s v="2340"/>
    <s v="Kiskunlacháza"/>
    <s v="Dózsa György u. 168."/>
    <s v="ok"/>
    <n v="2"/>
    <n v="2"/>
    <x v="15"/>
    <n v="1"/>
    <n v="1"/>
    <n v="1"/>
  </r>
  <r>
    <s v="ERSTE BANK HUNGARY Zrt"/>
    <s v="S01190"/>
    <s v="Diebold-Opteva 760 ATM Outdoor"/>
    <s v="1760RH120941"/>
    <s v="2144"/>
    <s v="Kerepes"/>
    <s v="Szabadság u. 248."/>
    <s v="ok"/>
    <n v="2"/>
    <n v="2"/>
    <x v="10"/>
    <e v="#N/A"/>
    <n v="0"/>
    <n v="2"/>
  </r>
  <r>
    <s v="ERSTE BANK HUNGARY Zrt"/>
    <s v="S01191"/>
    <s v="OPT562 1GIG-DVD-UPS-LAN-A6-CEN3(4HIGH)"/>
    <s v="1562RCF01073"/>
    <s v="2370"/>
    <s v="Dabas"/>
    <s v="Szent István tér 1/c"/>
    <s v="ok"/>
    <n v="2"/>
    <n v="2"/>
    <x v="15"/>
    <e v="#N/A"/>
    <n v="0"/>
    <n v="2"/>
  </r>
  <r>
    <s v="ERSTE BANK HUNGARY Zrt"/>
    <s v="S01192_ENA"/>
    <s v="Diebold-Opteva 720 ATM Indoor"/>
    <s v="1720FH121914"/>
    <s v="1191"/>
    <s v="Budapest"/>
    <s v="Vak Bottyán u. 75."/>
    <s v="ok"/>
    <n v="2"/>
    <n v="2"/>
    <x v="10"/>
    <n v="1"/>
    <n v="1"/>
    <n v="1"/>
  </r>
  <r>
    <s v="ERSTE BANK HUNGARY Zrt"/>
    <s v="S01193"/>
    <s v="Diebold-Opteva 520 ATM Indoor"/>
    <s v="1520FH121652"/>
    <s v="2030"/>
    <s v="Érd"/>
    <s v="Budafoki út 2-4."/>
    <s v="ok"/>
    <n v="2"/>
    <n v="2"/>
    <x v="15"/>
    <e v="#N/A"/>
    <n v="0"/>
    <n v="2"/>
  </r>
  <r>
    <s v="ERSTE BANK HUNGARY Zrt"/>
    <s v="S01194"/>
    <s v="Diebold-Opteva 522 Lobby Cash Dispenser"/>
    <s v="1522FH106938"/>
    <s v="2100"/>
    <s v="Gödöllő"/>
    <s v="Thegze Lajos utca 2."/>
    <s v="ok"/>
    <n v="2"/>
    <n v="2"/>
    <x v="10"/>
    <n v="1"/>
    <n v="1"/>
    <n v="1"/>
  </r>
  <r>
    <s v="ERSTE BANK HUNGARY Zrt"/>
    <s v="S01195_ENA"/>
    <s v="Diebold-Opteva 760 ATM Outdoor"/>
    <s v="1760RH125414"/>
    <s v="1211"/>
    <s v="Budapest"/>
    <s v="Kossuth Lajos utca 70-86."/>
    <s v="ok"/>
    <n v="2"/>
    <n v="2"/>
    <x v="15"/>
    <n v="1"/>
    <n v="1"/>
    <n v="1"/>
  </r>
  <r>
    <s v="ERSTE BANK HUNGARY Zrt"/>
    <s v="S01197"/>
    <s v="Diebold-Opteva 522 Lobby Cash Dispenser"/>
    <s v="1522FH106940"/>
    <s v="2040"/>
    <s v="Budaörs"/>
    <s v="Kinizsi út 1-3."/>
    <s v="ok"/>
    <n v="2"/>
    <n v="2"/>
    <x v="17"/>
    <e v="#N/A"/>
    <n v="0"/>
    <n v="2"/>
  </r>
  <r>
    <s v="ERSTE BANK HUNGARY Zrt"/>
    <s v="S01198"/>
    <s v="OPT562 1GIG-DVD-UPS-LAN-A6-CEN3(4HIGH)"/>
    <s v="1562RH126039"/>
    <s v="2200"/>
    <s v="Monor"/>
    <s v="Ady Endre u. 57-59."/>
    <s v="ok"/>
    <n v="2"/>
    <n v="2"/>
    <x v="15"/>
    <n v="1"/>
    <n v="1"/>
    <n v="1"/>
  </r>
  <r>
    <s v="ERSTE BANK HUNGARY Zrt"/>
    <s v="S01199"/>
    <s v="Diebold-Opteva 760 ATM Outdoor"/>
    <s v="1760RH121545"/>
    <s v="1631"/>
    <s v="Budapest"/>
    <s v="Jókai Mór utca 2/B."/>
    <s v="ok"/>
    <n v="2"/>
    <n v="2"/>
    <x v="10"/>
    <e v="#N/A"/>
    <n v="0"/>
    <n v="2"/>
  </r>
  <r>
    <s v="ERSTE BANK HUNGARY Zrt"/>
    <s v="S01200"/>
    <s v="OPT562 1GIG-DVD-UPS-LAN-A6-CEN3(4HIGH)"/>
    <s v="1562RH143043"/>
    <s v="2440"/>
    <s v="Százhalombatta"/>
    <s v="Szent László út 17."/>
    <s v="ok"/>
    <n v="2"/>
    <n v="2"/>
    <x v="7"/>
    <n v="1"/>
    <n v="1"/>
    <n v="1"/>
  </r>
  <r>
    <s v="ERSTE BANK HUNGARY Zrt"/>
    <s v="S01201_ENA"/>
    <s v="Diebold-Opteva 720 ATM Indoor"/>
    <s v="1720F3320039"/>
    <s v="1173"/>
    <s v="Budapest"/>
    <s v="Kaszáló u. 45."/>
    <s v="ok"/>
    <n v="2"/>
    <n v="2"/>
    <x v="10"/>
    <n v="1"/>
    <n v="1"/>
    <n v="1"/>
  </r>
  <r>
    <s v="ERSTE BANK HUNGARY Zrt"/>
    <s v="S01203"/>
    <s v="Diebold-Opteva 520 ATM Indoor"/>
    <s v="1520FCF00236"/>
    <s v="1191"/>
    <s v="Budapest"/>
    <s v="Üllői út 201."/>
    <s v="ok"/>
    <n v="2"/>
    <n v="2"/>
    <x v="10"/>
    <n v="1"/>
    <n v="1"/>
    <n v="1"/>
  </r>
  <r>
    <s v="ERSTE BANK HUNGARY Zrt"/>
    <s v="S01206_ENA"/>
    <s v="Diebold-Opteva 760 ATM Outdoor"/>
    <s v="1760RH120949"/>
    <s v="2310"/>
    <s v="Szigetszentmiklós"/>
    <s v="Háros u. 120."/>
    <s v="ok"/>
    <n v="2"/>
    <n v="2"/>
    <x v="15"/>
    <n v="1"/>
    <n v="1"/>
    <n v="1"/>
  </r>
  <r>
    <s v="ERSTE BANK HUNGARY Zrt"/>
    <s v="S01207"/>
    <s v="Diebold-Opteva 760 ATM Outdoor"/>
    <s v="1760R3320554"/>
    <s v="1054"/>
    <s v="Budapest"/>
    <s v="Károly körút 24."/>
    <s v="ok"/>
    <n v="2"/>
    <n v="2"/>
    <x v="13"/>
    <n v="1"/>
    <n v="1"/>
    <n v="1"/>
  </r>
  <r>
    <s v="ERSTE BANK HUNGARY Zrt"/>
    <s v="S01208"/>
    <s v="Diebold-Opteva 760 ATM Outdoor"/>
    <s v="1760RH120932"/>
    <s v="1048"/>
    <s v="Budapest"/>
    <s v="Óceánárok utca 3-5."/>
    <s v="ok"/>
    <n v="2"/>
    <n v="2"/>
    <x v="14"/>
    <n v="1"/>
    <n v="1"/>
    <n v="1"/>
  </r>
  <r>
    <s v="ERSTE BANK HUNGARY Zrt"/>
    <s v="S01209_ENA"/>
    <s v="Diebold-Opteva 720 ATM Indoor"/>
    <s v="1720FH123705"/>
    <s v="1054"/>
    <s v="Budapest"/>
    <s v="Szabadság tér 14."/>
    <s v="ok"/>
    <n v="2"/>
    <n v="2"/>
    <x v="13"/>
    <n v="1"/>
    <n v="1"/>
    <n v="1"/>
  </r>
  <r>
    <s v="ERSTE BANK HUNGARY Zrt"/>
    <s v="S01210_ENA"/>
    <s v="Diebold-Opteva 720 ATM Indoor"/>
    <s v="1720FH120199"/>
    <s v="1152"/>
    <s v="Budapest"/>
    <s v="Szentmihályi út 137."/>
    <s v="ok"/>
    <n v="2"/>
    <n v="2"/>
    <x v="14"/>
    <n v="1"/>
    <n v="1"/>
    <n v="1"/>
  </r>
  <r>
    <s v="ERSTE BANK HUNGARY Zrt"/>
    <s v="S01211"/>
    <s v="OPT562 1GIG-DVD-UPS-LAN-A6-CEN3(4HIGH)"/>
    <s v="1562RCF01068"/>
    <s v="2000"/>
    <s v="Szentendre"/>
    <s v="Dunakanyar krt. 46."/>
    <s v="ok"/>
    <n v="2"/>
    <n v="2"/>
    <x v="14"/>
    <n v="1"/>
    <n v="1"/>
    <n v="1"/>
  </r>
  <r>
    <s v="ERSTE BANK HUNGARY Zrt"/>
    <s v="S01212"/>
    <s v="Diebold-Opteva 520 ATM Indoor"/>
    <s v="1520FCF00224"/>
    <s v="1222"/>
    <s v="Budapest"/>
    <s v="Nagytétényi út 35."/>
    <s v="ok"/>
    <n v="2"/>
    <n v="2"/>
    <x v="17"/>
    <n v="1"/>
    <n v="1"/>
    <n v="1"/>
  </r>
  <r>
    <s v="ERSTE BANK HUNGARY Zrt"/>
    <s v="S01213_ENA"/>
    <s v="Diebold-Opteva 760 ATM Outdoor"/>
    <s v="1760R3320524"/>
    <s v="1051"/>
    <s v="Budapest"/>
    <s v="Vörösmarty tér 4."/>
    <s v="ok"/>
    <n v="2"/>
    <n v="2"/>
    <x v="13"/>
    <e v="#N/A"/>
    <n v="0"/>
    <n v="2"/>
  </r>
  <r>
    <s v="ERSTE BANK HUNGARY Zrt"/>
    <s v="S01214"/>
    <s v="Diebold-Opteva 760 ATM Outdoor"/>
    <s v="1760R3320572"/>
    <s v="1051"/>
    <s v="Budapest"/>
    <s v="Vörösmarty tér 4."/>
    <s v="ok"/>
    <n v="2"/>
    <n v="2"/>
    <x v="13"/>
    <n v="1"/>
    <n v="1"/>
    <n v="1"/>
  </r>
  <r>
    <s v="ERSTE BANK HUNGARY Zrt"/>
    <s v="S01215_ENA"/>
    <s v="Diebold-Opteva 720 ATM Indoor"/>
    <s v="1720F3320067"/>
    <s v="1123"/>
    <s v="Budapest"/>
    <s v="Alkotás u. 53."/>
    <s v="ok"/>
    <n v="2"/>
    <n v="2"/>
    <x v="0"/>
    <n v="1"/>
    <n v="1"/>
    <n v="1"/>
  </r>
  <r>
    <s v="ERSTE BANK HUNGARY Zrt"/>
    <s v="S01216_ENA"/>
    <s v="Diebold-Opteva 760 ATM Outdoor"/>
    <s v="1760RH120939"/>
    <s v="1024"/>
    <s v="Budapest"/>
    <s v="Lövőház u. 2-6."/>
    <s v="ok"/>
    <n v="2"/>
    <n v="2"/>
    <x v="0"/>
    <n v="1"/>
    <n v="1"/>
    <n v="1"/>
  </r>
  <r>
    <s v="ERSTE BANK HUNGARY Zrt"/>
    <s v="S01217"/>
    <s v="Diebold-Opteva 520 ATM Indoor"/>
    <s v="1520F3305919"/>
    <s v="1114"/>
    <s v="Budapest"/>
    <s v="Bartók Béla út 43-47."/>
    <s v="ok"/>
    <n v="2"/>
    <n v="2"/>
    <x v="17"/>
    <n v="1"/>
    <n v="1"/>
    <n v="1"/>
  </r>
  <r>
    <s v="ERSTE BANK HUNGARY Zrt"/>
    <s v="S01218_ENA"/>
    <s v="Diebold-Opteva 720 ATM Indoor"/>
    <s v="1720FH123699"/>
    <s v="1114"/>
    <s v="Budapest"/>
    <s v="Bartók Béla út 43-47."/>
    <s v="ok"/>
    <n v="2"/>
    <n v="2"/>
    <x v="17"/>
    <n v="1"/>
    <n v="1"/>
    <n v="1"/>
  </r>
  <r>
    <s v="ERSTE BANK HUNGARY Zrt"/>
    <s v="S01219"/>
    <s v="OPT562 1GIG-DVD-UPS-LAN-A6-CEN3(4HIGH)"/>
    <s v="1562RH143031"/>
    <s v="1103"/>
    <s v="Budapest"/>
    <s v="Kőér utca 2/a"/>
    <s v="ok"/>
    <n v="2"/>
    <n v="2"/>
    <x v="17"/>
    <n v="1"/>
    <n v="1"/>
    <n v="1"/>
  </r>
  <r>
    <s v="ERSTE BANK HUNGARY Zrt"/>
    <s v="S01220"/>
    <s v="OPT562 1GIG-DVD-UPS-LAN-A6-CEN3(4HIGH)"/>
    <s v="1562RH143034"/>
    <s v="1135"/>
    <s v="Budapest"/>
    <s v="Lehel u. 64."/>
    <s v="ok"/>
    <n v="2"/>
    <n v="2"/>
    <x v="14"/>
    <n v="1"/>
    <n v="1"/>
    <n v="1"/>
  </r>
  <r>
    <s v="ERSTE BANK HUNGARY Zrt"/>
    <s v="S01221"/>
    <s v="Diebold-Opteva 520 ATM Indoor"/>
    <s v="1520FCF00921"/>
    <s v="1066"/>
    <s v="Budapest"/>
    <s v="Teréz krt. 24."/>
    <s v="ok"/>
    <n v="2"/>
    <n v="2"/>
    <x v="13"/>
    <n v="1"/>
    <n v="1"/>
    <n v="1"/>
  </r>
  <r>
    <s v="ERSTE BANK HUNGARY Zrt"/>
    <s v="S01222_ENA"/>
    <s v="Diebold-Opteva 720 ATM Indoor"/>
    <s v="1720FH121348"/>
    <s v="1066"/>
    <s v="Budapest"/>
    <s v="Teréz krt. 24."/>
    <s v="ok"/>
    <n v="2"/>
    <n v="2"/>
    <x v="13"/>
    <n v="1"/>
    <n v="1"/>
    <n v="1"/>
  </r>
  <r>
    <s v="ERSTE BANK HUNGARY Zrt"/>
    <s v="S01223_ENA"/>
    <s v="Diebold-Opteva 720 ATM Indoor"/>
    <s v="1720FH121359"/>
    <s v="1066"/>
    <s v="Budapest"/>
    <s v="Teréz krt. 24."/>
    <s v="ok"/>
    <n v="2"/>
    <n v="2"/>
    <x v="13"/>
    <n v="1"/>
    <n v="1"/>
    <n v="1"/>
  </r>
  <r>
    <s v="ERSTE BANK HUNGARY Zrt"/>
    <s v="S01224"/>
    <s v="OPT562 1GIG-DVD-UPS-LAN-A6-CEN3(4HIGH)"/>
    <s v="1562RH143045"/>
    <s v="1085"/>
    <s v="Budapest"/>
    <s v="József krt. 27."/>
    <s v="ok"/>
    <n v="2"/>
    <n v="2"/>
    <x v="13"/>
    <n v="1"/>
    <n v="1"/>
    <n v="1"/>
  </r>
  <r>
    <s v="ERSTE BANK HUNGARY Zrt"/>
    <s v="S01225"/>
    <s v="OPT562 1GIG-DVD-UPS-LAN-A6-CEN3(4HIGH)"/>
    <s v="1562RH143037"/>
    <s v="1145"/>
    <s v="Budapest"/>
    <s v="Erzsébet királyné útja 30/b"/>
    <s v="ok"/>
    <n v="2"/>
    <n v="2"/>
    <x v="14"/>
    <e v="#N/A"/>
    <n v="0"/>
    <n v="2"/>
  </r>
  <r>
    <s v="ERSTE BANK HUNGARY Zrt"/>
    <s v="S01226"/>
    <s v="Diebold-Opteva 520 ATM Indoor"/>
    <s v="1520FCF00922"/>
    <s v="1097"/>
    <s v="Budapest"/>
    <s v="Könyves Kálmán krt. 36."/>
    <s v="ok"/>
    <n v="2"/>
    <n v="2"/>
    <x v="17"/>
    <e v="#N/A"/>
    <n v="0"/>
    <n v="2"/>
  </r>
  <r>
    <s v="ERSTE BANK HUNGARY Zrt"/>
    <s v="S01227"/>
    <s v="Diebold-Opteva 520 ATM Indoor"/>
    <s v="1520F3305873"/>
    <s v="1123"/>
    <s v="Budapest"/>
    <s v="Alkotás u. 55-61."/>
    <s v="ok"/>
    <n v="2"/>
    <n v="2"/>
    <x v="0"/>
    <n v="1"/>
    <n v="1"/>
    <n v="1"/>
  </r>
  <r>
    <s v="ERSTE BANK HUNGARY Zrt"/>
    <s v="S01228"/>
    <s v="OPT562 1GIG-DVD-UPS-LAN-A6-CEN3(4HIGH)"/>
    <s v="1562RH127310"/>
    <s v="1087"/>
    <s v="Budapest"/>
    <s v="Hungária krt. 40-44."/>
    <s v="ok"/>
    <n v="2"/>
    <n v="2"/>
    <x v="13"/>
    <n v="1"/>
    <n v="1"/>
    <n v="1"/>
  </r>
  <r>
    <s v="ERSTE BANK HUNGARY Zrt"/>
    <s v="S01229"/>
    <s v="OPT562 1GIG-DVD-UPS-LAN-A6-CEN3(4HIGH)"/>
    <s v="1562RH127302"/>
    <s v="1088"/>
    <s v="Budapest"/>
    <s v="Rákóczi út 1-3."/>
    <s v="ok"/>
    <n v="2"/>
    <n v="2"/>
    <x v="13"/>
    <n v="1"/>
    <n v="1"/>
    <n v="1"/>
  </r>
  <r>
    <s v="ERSTE BANK HUNGARY Zrt"/>
    <s v="S01230_ENA"/>
    <s v="Diebold-Opteva 760 ATM Outdoor"/>
    <s v="1760R3320586"/>
    <s v="1134"/>
    <s v="Budapest"/>
    <s v="Váci út 33."/>
    <s v="ok"/>
    <n v="2"/>
    <n v="2"/>
    <x v="14"/>
    <n v="1"/>
    <n v="1"/>
    <n v="1"/>
  </r>
  <r>
    <s v="ERSTE BANK HUNGARY Zrt"/>
    <s v="S01231"/>
    <s v="Diebold-Opteva 760 ATM Outdoor"/>
    <s v="1760RH120565"/>
    <s v="1111"/>
    <s v="Budapest"/>
    <s v="Stoczek utca 4."/>
    <s v="ok"/>
    <n v="2"/>
    <n v="1"/>
    <x v="17"/>
    <e v="#N/A"/>
    <n v="0"/>
    <n v="1"/>
  </r>
  <r>
    <s v="ERSTE BANK HUNGARY Zrt"/>
    <s v="S01232_ENA"/>
    <s v="Diebold-Opteva 760 ATM Outdoor"/>
    <s v="1760RH125412"/>
    <s v="1011"/>
    <s v="Budapest"/>
    <s v="Krisztina tér 2."/>
    <s v="ok"/>
    <e v="#N/A"/>
    <e v="#N/A"/>
    <x v="18"/>
    <e v="#N/A"/>
    <n v="0"/>
    <e v="#N/A"/>
  </r>
  <r>
    <s v="ERSTE BANK HUNGARY Zrt"/>
    <s v="S01233"/>
    <s v="Diebold-Opteva 520 ATM Indoor"/>
    <s v="1520FCF00231"/>
    <s v="1052"/>
    <s v="Budapest"/>
    <s v="Bécsi utca 5."/>
    <s v="ok"/>
    <e v="#N/A"/>
    <e v="#N/A"/>
    <x v="18"/>
    <e v="#N/A"/>
    <n v="0"/>
    <e v="#N/A"/>
  </r>
  <r>
    <s v="ERSTE BANK HUNGARY Zrt"/>
    <s v="S01234"/>
    <s v="Diebold-Opteva 520 ATM Indoor"/>
    <s v="1520FCF00095"/>
    <s v="1052"/>
    <s v="Budapest"/>
    <s v="Bécsi utca 5."/>
    <s v="ok"/>
    <e v="#N/A"/>
    <e v="#N/A"/>
    <x v="18"/>
    <e v="#N/A"/>
    <n v="0"/>
    <e v="#N/A"/>
  </r>
  <r>
    <s v="ERSTE BANK HUNGARY Zrt"/>
    <s v="S01235_ENA"/>
    <s v="Diebold-Opteva 720 ATM Indoor"/>
    <s v="1720FH123708"/>
    <s v="1052"/>
    <s v="Budapest"/>
    <s v="Bécsi utca 5."/>
    <s v="ok"/>
    <e v="#N/A"/>
    <e v="#N/A"/>
    <x v="18"/>
    <e v="#N/A"/>
    <n v="0"/>
    <e v="#N/A"/>
  </r>
  <r>
    <s v="ERSTE BANK HUNGARY Zrt"/>
    <s v="S01236_ENA"/>
    <s v="Diebold-Opteva 720 ATM Indoor"/>
    <s v="1720FH123700"/>
    <s v="1052"/>
    <s v="Budapest"/>
    <s v="Bécsi utca 5."/>
    <s v="ok"/>
    <e v="#N/A"/>
    <e v="#N/A"/>
    <x v="18"/>
    <n v="1"/>
    <n v="1"/>
    <e v="#N/A"/>
  </r>
  <r>
    <s v="ERSTE BANK HUNGARY Zrt"/>
    <s v="S02001"/>
    <s v="Diebold-Opteva 760 ATM Outdoor"/>
    <s v="1760R3320546"/>
    <s v="7601"/>
    <s v="Pécs"/>
    <s v="Rákóczi u. 19."/>
    <s v="ok"/>
    <n v="2"/>
    <n v="2"/>
    <x v="12"/>
    <n v="1"/>
    <n v="1"/>
    <n v="1"/>
  </r>
  <r>
    <s v="ERSTE BANK HUNGARY Zrt"/>
    <s v="S02002_ENA"/>
    <s v="Diebold-Opteva 720 ATM Indoor"/>
    <s v="1720F3320047"/>
    <s v="8900"/>
    <s v="Zalaegerszeg"/>
    <s v="Ispotály köz 2."/>
    <s v="ok"/>
    <n v="2"/>
    <n v="2"/>
    <x v="9"/>
    <n v="1"/>
    <n v="1"/>
    <n v="1"/>
  </r>
  <r>
    <s v="ERSTE BANK HUNGARY Zrt"/>
    <s v="S02003"/>
    <s v="Diebold-Opteva 760 ATM Outdoor"/>
    <s v="1760RH120937"/>
    <s v="7400"/>
    <s v="Kaposvár"/>
    <s v="Csokonai Vitéz M. u. 8."/>
    <s v="ok"/>
    <n v="2"/>
    <n v="2"/>
    <x v="12"/>
    <n v="1"/>
    <n v="1"/>
    <n v="1"/>
  </r>
  <r>
    <s v="ERSTE BANK HUNGARY Zrt"/>
    <s v="S02006"/>
    <s v="Diebold-Opteva 720 ATM Indoor"/>
    <s v="1720FH120182"/>
    <s v="7030"/>
    <s v="Paks"/>
    <s v="1. Porta"/>
    <s v="ok"/>
    <n v="2"/>
    <n v="2"/>
    <x v="7"/>
    <n v="1"/>
    <n v="1"/>
    <n v="1"/>
  </r>
  <r>
    <s v="ERSTE BANK HUNGARY Zrt"/>
    <s v="S02007"/>
    <s v="Diebold-Opteva 760 ATM Outdoor"/>
    <s v="1760RH120579"/>
    <s v="7030"/>
    <s v="Paks"/>
    <s v="Barátság u.2."/>
    <s v="ok"/>
    <n v="2"/>
    <n v="2"/>
    <x v="7"/>
    <n v="1"/>
    <n v="1"/>
    <n v="1"/>
  </r>
  <r>
    <s v="ERSTE BANK HUNGARY Zrt"/>
    <s v="S02008"/>
    <s v="Diebold-Opteva 760 ATM Outdoor"/>
    <s v="1760RH120608"/>
    <s v="8900"/>
    <s v="Zalaegerszeg"/>
    <s v="Köztársaság u. 65-67."/>
    <s v="ok"/>
    <n v="2"/>
    <n v="2"/>
    <x v="9"/>
    <n v="1"/>
    <n v="1"/>
    <n v="1"/>
  </r>
  <r>
    <s v="ERSTE BANK HUNGARY Zrt"/>
    <s v="S02011"/>
    <s v="Diebold-Opteva 760 ATM Outdoor"/>
    <s v="1760RH120944"/>
    <s v="7100"/>
    <s v="Szekszárd"/>
    <s v="Pollack M. u. 2-6."/>
    <s v="ok"/>
    <n v="2"/>
    <n v="2"/>
    <x v="7"/>
    <n v="1"/>
    <n v="1"/>
    <n v="1"/>
  </r>
  <r>
    <s v="ERSTE BANK HUNGARY Zrt"/>
    <s v="S02019"/>
    <s v="OPT562 1GIG-DVD-UPS-LAN-A6-CEN3(4HIGH)"/>
    <s v="1562RCF01067"/>
    <s v="8600"/>
    <s v="Siófok"/>
    <s v="Mártírok útja 11."/>
    <s v="ok"/>
    <n v="2"/>
    <n v="2"/>
    <x v="4"/>
    <n v="2"/>
    <n v="2"/>
    <n v="0"/>
  </r>
  <r>
    <s v="ERSTE BANK HUNGARY Zrt"/>
    <s v="S02020"/>
    <s v="Diebold-Opteva 760 ATM Outdoor"/>
    <s v="1760RH120577"/>
    <s v="7633"/>
    <s v="Pécs"/>
    <s v="Ybl Miklós u. 8."/>
    <s v="ok"/>
    <n v="2"/>
    <n v="2"/>
    <x v="12"/>
    <n v="1"/>
    <n v="1"/>
    <n v="1"/>
  </r>
  <r>
    <s v="ERSTE BANK HUNGARY Zrt"/>
    <s v="S02026"/>
    <s v="Diebold-Opteva 720 ATM Indoor"/>
    <s v="1720F3320065"/>
    <s v="7631"/>
    <s v="Pécs"/>
    <s v="Megyeri u. 76."/>
    <s v="ok"/>
    <n v="2"/>
    <n v="2"/>
    <x v="12"/>
    <n v="1"/>
    <n v="1"/>
    <n v="1"/>
  </r>
  <r>
    <s v="ERSTE BANK HUNGARY Zrt"/>
    <s v="S02031"/>
    <s v="Diebold-Opteva 760 ATM Outdoor"/>
    <s v="1760R3320584"/>
    <s v="8640"/>
    <s v="Fonyód"/>
    <s v="Ady u. 1."/>
    <s v="ok"/>
    <n v="2"/>
    <n v="2"/>
    <x v="9"/>
    <n v="1"/>
    <n v="1"/>
    <n v="1"/>
  </r>
  <r>
    <s v="ERSTE BANK HUNGARY Zrt"/>
    <s v="S02032"/>
    <s v="Diebold-Opteva 760 ATM Outdoor"/>
    <s v="1760R3320557"/>
    <s v="8638"/>
    <s v="Balatonlelle"/>
    <s v="Ady Endre u. 3."/>
    <s v="ok"/>
    <n v="2"/>
    <n v="2"/>
    <x v="9"/>
    <n v="1"/>
    <n v="1"/>
    <n v="1"/>
  </r>
  <r>
    <s v="ERSTE BANK HUNGARY Zrt"/>
    <s v="S02035"/>
    <s v="Diebold-Opteva 760 ATM Outdoor"/>
    <s v="1760RH120537"/>
    <s v="8749"/>
    <s v="Zalakaros"/>
    <s v="Gyógyfürdő tér 3."/>
    <s v="ok"/>
    <n v="2"/>
    <n v="2"/>
    <x v="9"/>
    <n v="1"/>
    <n v="1"/>
    <n v="1"/>
  </r>
  <r>
    <s v="ERSTE BANK HUNGARY Zrt"/>
    <s v="S02037"/>
    <s v="Diebold-Opteva 720 ATM Indoor"/>
    <s v="1720F3320063"/>
    <s v="8800"/>
    <s v="Nagykanizsa"/>
    <s v="Európa Tanács u. 2."/>
    <s v="ok"/>
    <n v="2"/>
    <n v="2"/>
    <x v="9"/>
    <n v="1"/>
    <n v="1"/>
    <n v="1"/>
  </r>
  <r>
    <s v="ERSTE BANK HUNGARY Zrt"/>
    <s v="S02041"/>
    <s v="Diebold-Opteva 760 ATM Outdoor"/>
    <s v="1760RH120578"/>
    <s v="7900"/>
    <s v="Szigetvár"/>
    <s v="József A. u. 27-31."/>
    <s v="ok"/>
    <n v="2"/>
    <n v="2"/>
    <x v="12"/>
    <e v="#N/A"/>
    <n v="0"/>
    <n v="2"/>
  </r>
  <r>
    <s v="ERSTE BANK HUNGARY Zrt"/>
    <s v="S02044"/>
    <s v="Diebold-Opteva 760 ATM Outdoor"/>
    <s v="1760RH120607"/>
    <s v="8600"/>
    <s v="Siófok"/>
    <s v="Fő út 186-188."/>
    <s v="ok"/>
    <n v="2"/>
    <n v="2"/>
    <x v="4"/>
    <e v="#N/A"/>
    <n v="0"/>
    <n v="2"/>
  </r>
  <r>
    <s v="ERSTE BANK HUNGARY Zrt"/>
    <s v="S02047"/>
    <s v="Diebold-Opteva 760 ATM Outdoor"/>
    <s v="1760R3320559"/>
    <s v="7100"/>
    <s v="Szekszárd"/>
    <s v="Arany J. u. 17-21."/>
    <s v="ok"/>
    <n v="2"/>
    <n v="2"/>
    <x v="7"/>
    <n v="1"/>
    <n v="1"/>
    <n v="1"/>
  </r>
  <r>
    <s v="ERSTE BANK HUNGARY Zrt"/>
    <s v="S02048_ENA"/>
    <s v="Diebold-Opteva 720 ATM Indoor"/>
    <s v="1720FH121723"/>
    <s v="8400"/>
    <s v="Ajka"/>
    <s v="Szabadság tér 4/a"/>
    <s v="ok"/>
    <n v="2"/>
    <n v="2"/>
    <x v="4"/>
    <n v="1"/>
    <n v="1"/>
    <n v="1"/>
  </r>
  <r>
    <s v="ERSTE BANK HUNGARY Zrt"/>
    <s v="S02052_ENA"/>
    <s v="Diebold-Opteva 720 ATM Indoor"/>
    <s v="1720FH123703"/>
    <s v="7700"/>
    <s v="Mohács"/>
    <s v="Szabadság út 16."/>
    <s v="ok"/>
    <n v="2"/>
    <n v="2"/>
    <x v="12"/>
    <n v="1"/>
    <n v="1"/>
    <n v="1"/>
  </r>
  <r>
    <s v="ERSTE BANK HUNGARY Zrt"/>
    <s v="S02053"/>
    <s v="Diebold-Opteva 760 ATM Outdoor"/>
    <s v="1760R3320539"/>
    <s v="7400"/>
    <s v="Kaposvár"/>
    <s v="Teleki u.15"/>
    <s v="ok"/>
    <n v="2"/>
    <n v="2"/>
    <x v="12"/>
    <n v="1"/>
    <n v="1"/>
    <n v="1"/>
  </r>
  <r>
    <s v="ERSTE BANK HUNGARY Zrt"/>
    <s v="S02058"/>
    <s v="Diebold-Opteva 720 ATM Indoor"/>
    <s v="1720FH121344"/>
    <s v="8800"/>
    <s v="Nagykanizsa"/>
    <s v="Kalmár u 6."/>
    <s v="ok"/>
    <n v="2"/>
    <n v="2"/>
    <x v="9"/>
    <n v="1"/>
    <n v="1"/>
    <n v="1"/>
  </r>
  <r>
    <s v="ERSTE BANK HUNGARY Zrt"/>
    <s v="S02059"/>
    <s v="Diebold-Opteva 760 ATM Outdoor"/>
    <s v="1760RH120967"/>
    <s v="8600"/>
    <s v="Siófok"/>
    <s v="Szent László u. 183"/>
    <s v="ok"/>
    <n v="2"/>
    <n v="2"/>
    <x v="4"/>
    <n v="1"/>
    <n v="1"/>
    <n v="1"/>
  </r>
  <r>
    <s v="ERSTE BANK HUNGARY Zrt"/>
    <s v="S02060"/>
    <s v="Diebold-Opteva 760 ATM Outdoor"/>
    <s v="1760RH120969"/>
    <s v="7570"/>
    <s v="Barcs"/>
    <s v="Erkel Ferenc u. 1. Spar Áruház"/>
    <s v="ok"/>
    <n v="2"/>
    <n v="2"/>
    <x v="12"/>
    <e v="#N/A"/>
    <n v="0"/>
    <n v="2"/>
  </r>
  <r>
    <s v="ERSTE BANK HUNGARY Zrt"/>
    <s v="S02061"/>
    <s v="Diebold-Opteva 720 ATM Indoor"/>
    <s v="1720FH121354"/>
    <s v="7400"/>
    <s v="Kaposvár"/>
    <s v="Guba Sándor u. 40."/>
    <s v="ok"/>
    <n v="2"/>
    <n v="2"/>
    <x v="12"/>
    <e v="#N/A"/>
    <n v="0"/>
    <n v="2"/>
  </r>
  <r>
    <s v="ERSTE BANK HUNGARY Zrt"/>
    <s v="S02062_ENA"/>
    <s v="Diebold-Opteva 720 ATM Indoor"/>
    <s v="1720FH121351"/>
    <s v="8800"/>
    <s v="Nagykanizsa"/>
    <s v="Fő u. 2."/>
    <s v="ok"/>
    <n v="2"/>
    <n v="2"/>
    <x v="9"/>
    <n v="1"/>
    <n v="1"/>
    <n v="1"/>
  </r>
  <r>
    <s v="ERSTE BANK HUNGARY Zrt"/>
    <s v="S02063_ENA"/>
    <s v="Diebold-Opteva 720 ATM Indoor"/>
    <s v="1720FH123707"/>
    <s v="7030"/>
    <s v="Paks"/>
    <s v="Dózsa György út 64."/>
    <s v="ok"/>
    <n v="2"/>
    <n v="2"/>
    <x v="7"/>
    <n v="1"/>
    <n v="1"/>
    <n v="1"/>
  </r>
  <r>
    <s v="ERSTE BANK HUNGARY Zrt"/>
    <s v="S02064"/>
    <s v="Diebold-Opteva 720 ATM Indoor"/>
    <s v="1720FH121363"/>
    <s v="8800"/>
    <s v="Nagykanizsa"/>
    <s v="Táborhely u. 4."/>
    <s v="ok"/>
    <n v="2"/>
    <n v="2"/>
    <x v="9"/>
    <n v="1"/>
    <n v="1"/>
    <n v="1"/>
  </r>
  <r>
    <s v="ERSTE BANK HUNGARY Zrt"/>
    <s v="S02065"/>
    <s v="Diebold-Opteva 520 ATM Indoor"/>
    <s v="1520F3305872"/>
    <s v="7634"/>
    <s v="Pécs"/>
    <s v="Makay I. út 5."/>
    <s v="ok"/>
    <n v="2"/>
    <n v="2"/>
    <x v="12"/>
    <e v="#N/A"/>
    <n v="0"/>
    <n v="2"/>
  </r>
  <r>
    <s v="ERSTE BANK HUNGARY Zrt"/>
    <s v="S02066"/>
    <s v="Diebold-Opteva 522 Lobby Cash Dispenser"/>
    <s v="1522FH100276"/>
    <s v="7150"/>
    <s v="Bonyhád"/>
    <s v="Völgység u. 8"/>
    <s v="ok"/>
    <n v="2"/>
    <n v="2"/>
    <x v="12"/>
    <n v="1"/>
    <n v="1"/>
    <n v="1"/>
  </r>
  <r>
    <s v="ERSTE BANK HUNGARY Zrt"/>
    <s v="S02067"/>
    <s v="Diebold-Opteva 522 Lobby Cash Dispenser"/>
    <s v="1522FH100279"/>
    <s v="7500"/>
    <s v="Nagyatád"/>
    <s v="Szabadság u. 38."/>
    <s v="ok"/>
    <n v="2"/>
    <n v="2"/>
    <x v="12"/>
    <e v="#N/A"/>
    <n v="0"/>
    <n v="2"/>
  </r>
  <r>
    <s v="ERSTE BANK HUNGARY Zrt"/>
    <s v="S02068"/>
    <s v="Diebold-Opteva 760 ATM Outdoor"/>
    <s v="1760RH121546"/>
    <s v="7400"/>
    <s v="Kaposvár"/>
    <s v="Baross Gábor út"/>
    <s v="ok"/>
    <n v="2"/>
    <n v="2"/>
    <x v="12"/>
    <n v="1"/>
    <n v="1"/>
    <n v="1"/>
  </r>
  <r>
    <s v="ERSTE BANK HUNGARY Zrt"/>
    <s v="S02069"/>
    <s v="Diebold-Opteva 720 ATM Indoor"/>
    <s v="1720FH121909"/>
    <s v="8900"/>
    <s v="Zalaegerszeg"/>
    <s v="Sport u. 1."/>
    <s v="ok"/>
    <n v="2"/>
    <n v="2"/>
    <x v="9"/>
    <n v="1"/>
    <n v="1"/>
    <n v="1"/>
  </r>
  <r>
    <s v="ERSTE BANK HUNGARY Zrt"/>
    <s v="S02070"/>
    <s v="Diebold-Opteva 522 Lobby Cash Dispenser"/>
    <s v="1522FH105482"/>
    <s v="7801"/>
    <s v="Siklós"/>
    <s v="Harkányi ut 55."/>
    <s v="ok"/>
    <n v="2"/>
    <n v="2"/>
    <x v="12"/>
    <n v="1"/>
    <n v="1"/>
    <n v="1"/>
  </r>
  <r>
    <s v="ERSTE BANK HUNGARY Zrt"/>
    <s v="S02071"/>
    <s v="OPT562 1GIG-DVD-UPS-LAN-A6-CEN3(4HIGH)"/>
    <s v="1562RH140532"/>
    <s v="7020"/>
    <s v="Dunaföldvár"/>
    <s v="Paksi u. 1."/>
    <s v="ok"/>
    <n v="2"/>
    <n v="2"/>
    <x v="7"/>
    <n v="1"/>
    <n v="1"/>
    <n v="1"/>
  </r>
  <r>
    <s v="ERSTE BANK HUNGARY Zrt"/>
    <s v="S02072"/>
    <s v="OPT562 1GIG-DVD-UPS-LAN-A6-CEN3(4HIGH)"/>
    <s v="1562RH140535"/>
    <s v="7815"/>
    <s v="Harkány"/>
    <s v="Ady Endre u. 1/A."/>
    <s v="ok"/>
    <n v="2"/>
    <n v="2"/>
    <x v="12"/>
    <n v="1"/>
    <n v="1"/>
    <n v="1"/>
  </r>
  <r>
    <s v="ERSTE BANK HUNGARY Zrt"/>
    <s v="S02073"/>
    <s v="OPT562 1GIG-DVD-UPS-LAN-A6-CEN3(4HIGH)"/>
    <s v="1562RH140531"/>
    <s v="8360"/>
    <s v="Keszthely"/>
    <s v="Bercsényi M. út 16/A"/>
    <s v="ok"/>
    <n v="2"/>
    <n v="2"/>
    <x v="9"/>
    <n v="1"/>
    <n v="1"/>
    <n v="1"/>
  </r>
  <r>
    <s v="ERSTE BANK HUNGARY Zrt"/>
    <s v="S02074"/>
    <s v="OPT562 1GIG-DVD-UPS-LAN-A6-CEN3(4HIGH)"/>
    <s v="1562RH140533"/>
    <s v="7130"/>
    <s v="Tolna"/>
    <s v="Deák Ferenc u. 81"/>
    <s v="ok"/>
    <n v="2"/>
    <n v="2"/>
    <x v="7"/>
    <n v="1"/>
    <n v="1"/>
    <n v="1"/>
  </r>
  <r>
    <s v="ERSTE BANK HUNGARY Zrt"/>
    <s v="S02076_ENA"/>
    <s v="Diebold-Opteva 760 ATM Outdoor"/>
    <s v="1760R3320576"/>
    <s v="7400"/>
    <s v="Kaposvár"/>
    <s v="Fő utca 2."/>
    <s v="ok"/>
    <n v="2"/>
    <n v="2"/>
    <x v="12"/>
    <n v="1"/>
    <n v="1"/>
    <n v="1"/>
  </r>
  <r>
    <s v="ERSTE BANK HUNGARY Zrt"/>
    <s v="S02077"/>
    <s v="OPT562 1GIG-DVD-UPS-LAN-A6-CEN3(4HIGH)"/>
    <s v="1562RH126084"/>
    <s v="7500"/>
    <s v="Nagyatád"/>
    <s v="Korányi u. 21-23."/>
    <s v="ok"/>
    <n v="2"/>
    <n v="2"/>
    <x v="12"/>
    <n v="1"/>
    <n v="1"/>
    <n v="1"/>
  </r>
  <r>
    <s v="ERSTE BANK HUNGARY Zrt"/>
    <s v="S02078"/>
    <s v="OPT562 1GIG-DVD-UPS-LAN-A6-CEN3(4HIGH)"/>
    <s v="1562RH143042"/>
    <s v="7400"/>
    <s v="Kaposvár"/>
    <s v="Berzsenyi u. 9."/>
    <s v="ok"/>
    <n v="2"/>
    <n v="2"/>
    <x v="12"/>
    <n v="1"/>
    <n v="1"/>
    <n v="1"/>
  </r>
  <r>
    <s v="ERSTE BANK HUNGARY Zrt"/>
    <s v="S02081"/>
    <s v="Diebold-Opteva 760 ATM Outdoor"/>
    <s v="1760R3320555"/>
    <s v="7370"/>
    <s v="Sásd"/>
    <s v="Rákóczi u. 15"/>
    <s v="ok"/>
    <n v="2"/>
    <n v="2"/>
    <x v="12"/>
    <n v="1"/>
    <n v="1"/>
    <n v="1"/>
  </r>
  <r>
    <s v="ERSTE BANK HUNGARY Zrt"/>
    <s v="S02082"/>
    <s v="Diebold-Opteva 520 ATM Indoor"/>
    <s v="1520F3305870"/>
    <s v="8600"/>
    <s v="Siófok"/>
    <s v="Fő tér 6."/>
    <s v="ok"/>
    <n v="2"/>
    <n v="2"/>
    <x v="4"/>
    <n v="1"/>
    <n v="1"/>
    <n v="1"/>
  </r>
  <r>
    <s v="ERSTE BANK HUNGARY Zrt"/>
    <s v="S02083"/>
    <s v="Diebold-Opteva 760 ATM Outdoor"/>
    <s v="1760R3320549"/>
    <s v="8840"/>
    <s v="Csurgó"/>
    <s v="Petőfi tér 1/a"/>
    <s v="ok"/>
    <n v="2"/>
    <n v="2"/>
    <x v="9"/>
    <n v="1"/>
    <n v="1"/>
    <n v="1"/>
  </r>
  <r>
    <s v="ERSTE BANK HUNGARY Zrt"/>
    <s v="S02084_ENA"/>
    <s v="Diebold-Opteva 720 ATM Indoor"/>
    <s v="1720F3320045"/>
    <s v="8360"/>
    <s v="Keszthely"/>
    <s v="Kossuth utca 11"/>
    <s v="ok"/>
    <n v="2"/>
    <n v="2"/>
    <x v="9"/>
    <n v="1"/>
    <n v="1"/>
    <n v="1"/>
  </r>
  <r>
    <s v="ERSTE BANK HUNGARY Zrt"/>
    <s v="S03001"/>
    <s v="Diebold-Opteva 760 ATM Outdoor"/>
    <s v="1760R3320580"/>
    <s v="4024"/>
    <s v="Debrecen"/>
    <s v="Vár u. 4."/>
    <s v="ok"/>
    <n v="2"/>
    <n v="2"/>
    <x v="16"/>
    <n v="1"/>
    <n v="1"/>
    <n v="1"/>
  </r>
  <r>
    <s v="ERSTE BANK HUNGARY Zrt"/>
    <s v="S03003"/>
    <s v="Diebold-Opteva 760 ATM Outdoor"/>
    <s v="1760RH120540"/>
    <s v="4400"/>
    <s v="Nyíregyháza"/>
    <s v="Nyár u. 8."/>
    <s v="ok"/>
    <n v="2"/>
    <n v="2"/>
    <x v="1"/>
    <e v="#N/A"/>
    <n v="0"/>
    <n v="2"/>
  </r>
  <r>
    <s v="ERSTE BANK HUNGARY Zrt"/>
    <s v="S03004"/>
    <s v="Diebold-Opteva 760 ATM Outdoor"/>
    <s v="1760RH120532"/>
    <s v="4400"/>
    <s v="Nyíregyháza"/>
    <s v="Bethlen G. u. 4."/>
    <s v="ok"/>
    <n v="2"/>
    <n v="2"/>
    <x v="1"/>
    <n v="1"/>
    <n v="1"/>
    <n v="1"/>
  </r>
  <r>
    <s v="ERSTE BANK HUNGARY Zrt"/>
    <s v="S03005_ENA"/>
    <s v="Diebold-Opteva 720 ATM Indoor"/>
    <s v="1720FH121361"/>
    <s v="4625"/>
    <s v="Záhony"/>
    <s v="Ady Endre u. 27-31."/>
    <s v="ok"/>
    <n v="2"/>
    <n v="2"/>
    <x v="1"/>
    <n v="1"/>
    <n v="1"/>
    <n v="1"/>
  </r>
  <r>
    <s v="ERSTE BANK HUNGARY Zrt"/>
    <s v="S03006_ENA"/>
    <s v="Diebold-Opteva 720 ATM Indoor"/>
    <s v="1720F3320062"/>
    <s v="5000"/>
    <s v="Szolnok"/>
    <s v="Baross u. 8."/>
    <s v="ok"/>
    <n v="2"/>
    <n v="2"/>
    <x v="11"/>
    <n v="1"/>
    <n v="1"/>
    <n v="1"/>
  </r>
  <r>
    <s v="ERSTE BANK HUNGARY Zrt"/>
    <s v="S03007"/>
    <s v="Diebold-Opteva 760 ATM Outdoor"/>
    <s v="1760RH120950"/>
    <s v="4600"/>
    <s v="Kisvárda"/>
    <s v="Temesvári u. 17."/>
    <s v="ok"/>
    <n v="2"/>
    <n v="2"/>
    <x v="1"/>
    <n v="1"/>
    <n v="1"/>
    <n v="1"/>
  </r>
  <r>
    <s v="ERSTE BANK HUNGARY Zrt"/>
    <s v="S03010"/>
    <s v="Diebold-Opteva 760 ATM Outdoor"/>
    <s v="1760R3320538"/>
    <s v="4024"/>
    <s v="Debrecen"/>
    <s v="Füredi út 98."/>
    <s v="ok"/>
    <n v="2"/>
    <n v="2"/>
    <x v="16"/>
    <n v="1"/>
    <n v="1"/>
    <n v="1"/>
  </r>
  <r>
    <s v="ERSTE BANK HUNGARY Zrt"/>
    <s v="S03012_ENA"/>
    <s v="Diebold-Opteva 720 ATM Indoor"/>
    <s v="1720FH123701"/>
    <s v="4080"/>
    <s v="Hajdúnánás"/>
    <s v="Dorogi u. 10-14."/>
    <s v="ok"/>
    <n v="2"/>
    <n v="2"/>
    <x v="16"/>
    <n v="1"/>
    <n v="1"/>
    <n v="1"/>
  </r>
  <r>
    <s v="ERSTE BANK HUNGARY Zrt"/>
    <s v="S03013"/>
    <s v="Diebold-Opteva 760 ATM Outdoor"/>
    <s v="1760RH120935"/>
    <s v="4200"/>
    <s v="Hajdúszoboszló"/>
    <s v="Szilfákalja u. 44."/>
    <s v="ok"/>
    <n v="2"/>
    <n v="2"/>
    <x v="16"/>
    <n v="1"/>
    <n v="1"/>
    <n v="1"/>
  </r>
  <r>
    <s v="ERSTE BANK HUNGARY Zrt"/>
    <s v="S03016_ENA"/>
    <s v="Diebold-Opteva 760 ATM Outdoor"/>
    <s v="1760RH120539"/>
    <s v="5100"/>
    <s v="Jászberény"/>
    <s v="Szabadság tér 10."/>
    <s v="ok"/>
    <n v="2"/>
    <n v="2"/>
    <x v="10"/>
    <n v="1"/>
    <n v="1"/>
    <n v="1"/>
  </r>
  <r>
    <s v="ERSTE BANK HUNGARY Zrt"/>
    <s v="S03018"/>
    <s v="Diebold-Opteva 760 ATM Outdoor"/>
    <s v="1760RH120550"/>
    <s v="4220"/>
    <s v="Hajdúböszörmény"/>
    <s v="Kossuth L. u. 3."/>
    <s v="ok"/>
    <n v="2"/>
    <n v="2"/>
    <x v="16"/>
    <e v="#N/A"/>
    <n v="0"/>
    <n v="2"/>
  </r>
  <r>
    <s v="ERSTE BANK HUNGARY Zrt"/>
    <s v="S03019"/>
    <s v="Diebold-Opteva 760 ATM Outdoor"/>
    <s v="1760RH120936"/>
    <s v="4034"/>
    <s v="Debrecen"/>
    <s v="Faraktár u. 67."/>
    <s v="ok"/>
    <n v="2"/>
    <n v="2"/>
    <x v="16"/>
    <n v="1"/>
    <n v="1"/>
    <n v="1"/>
  </r>
  <r>
    <s v="ERSTE BANK HUNGARY Zrt"/>
    <s v="S03020"/>
    <s v="OPT562 1GIG-DVD-UPS-LAN-A6-CEN3(4HIGH)"/>
    <s v="1562RH127305"/>
    <s v="4765"/>
    <s v="Csenger"/>
    <s v="Ady Endre u. 2."/>
    <s v="ok"/>
    <n v="2"/>
    <n v="2"/>
    <x v="1"/>
    <n v="1"/>
    <n v="1"/>
    <n v="1"/>
  </r>
  <r>
    <s v="ERSTE BANK HUNGARY Zrt"/>
    <s v="S03024"/>
    <s v="Diebold-Opteva 760 ATM Outdoor"/>
    <s v="1760RH120572"/>
    <s v="5440"/>
    <s v="Kunszentmárton"/>
    <s v="Kossuth L. út 1."/>
    <s v="ok"/>
    <n v="2"/>
    <n v="2"/>
    <x v="11"/>
    <n v="1"/>
    <n v="1"/>
    <n v="1"/>
  </r>
  <r>
    <s v="ERSTE BANK HUNGARY Zrt"/>
    <s v="S03027"/>
    <s v="Diebold-Opteva 720 ATM Indoor"/>
    <s v="1720F3320064"/>
    <s v="4400"/>
    <s v="Nyíregyháza"/>
    <s v="Szegfű utca 75."/>
    <s v="ok"/>
    <n v="2"/>
    <n v="2"/>
    <x v="1"/>
    <e v="#N/A"/>
    <n v="0"/>
    <n v="2"/>
  </r>
  <r>
    <s v="ERSTE BANK HUNGARY Zrt"/>
    <s v="S03029_IDMBD"/>
    <s v="Diebold-Opteva 720 ATM Indoor"/>
    <s v="1720FH120198"/>
    <s v="4031"/>
    <s v="Debrecen"/>
    <s v="Kishatár u. 7."/>
    <s v="ok"/>
    <n v="2"/>
    <n v="2"/>
    <x v="16"/>
    <n v="1"/>
    <n v="1"/>
    <n v="1"/>
  </r>
  <r>
    <s v="ERSTE BANK HUNGARY Zrt"/>
    <s v="S03030_ENA"/>
    <s v="Diebold-Opteva 760 ATM Outdoor"/>
    <s v="1760R3320587"/>
    <s v="5300"/>
    <s v="Karcag"/>
    <s v="Kossuth tér 6."/>
    <s v="ok"/>
    <n v="2"/>
    <n v="2"/>
    <x v="16"/>
    <n v="1"/>
    <n v="1"/>
    <n v="1"/>
  </r>
  <r>
    <s v="ERSTE BANK HUNGARY Zrt"/>
    <s v="S03031_ENA"/>
    <s v="Diebold-Opteva 760 ATM Outdoor"/>
    <s v="1760R3320553"/>
    <s v="5200"/>
    <s v="Törökszentmiklós"/>
    <s v="Kossuth u. 125."/>
    <s v="ok"/>
    <n v="2"/>
    <n v="2"/>
    <x v="11"/>
    <n v="1"/>
    <n v="1"/>
    <n v="1"/>
  </r>
  <r>
    <s v="ERSTE BANK HUNGARY Zrt"/>
    <s v="S03032_ENA"/>
    <s v="Diebold-Opteva 720 ATM Indoor"/>
    <s v="1720F3320041"/>
    <s v="4600"/>
    <s v="Kisvárda"/>
    <s v="Szent László út 26."/>
    <s v="ok"/>
    <n v="2"/>
    <n v="2"/>
    <x v="1"/>
    <n v="1"/>
    <n v="1"/>
    <n v="1"/>
  </r>
  <r>
    <s v="ERSTE BANK HUNGARY Zrt"/>
    <s v="S03035"/>
    <s v="Diebold-Opteva 760 ATM Outdoor"/>
    <s v="1760RH120541"/>
    <s v="5130"/>
    <s v="Jászapáti"/>
    <s v="István király u. 3."/>
    <s v="ok"/>
    <n v="2"/>
    <n v="2"/>
    <x v="11"/>
    <e v="#N/A"/>
    <n v="0"/>
    <n v="2"/>
  </r>
  <r>
    <s v="ERSTE BANK HUNGARY Zrt"/>
    <s v="S03036"/>
    <s v="OPT562 1GIG-DVD-UPS-LAN-A6-CEN3(4HIGH)"/>
    <s v="1562RH127300"/>
    <s v="4700"/>
    <s v="Mátészalka"/>
    <s v="Kossuth u. 47."/>
    <s v="ok"/>
    <n v="2"/>
    <n v="2"/>
    <x v="1"/>
    <n v="1"/>
    <n v="1"/>
    <n v="1"/>
  </r>
  <r>
    <s v="ERSTE BANK HUNGARY Zrt"/>
    <s v="S03037"/>
    <s v="Diebold-Opteva 760 ATM Outdoor"/>
    <s v="1760RH120551"/>
    <s v="4030"/>
    <s v="Debrecen"/>
    <s v="Vágóhíd u. 3."/>
    <s v="ok"/>
    <n v="2"/>
    <n v="2"/>
    <x v="16"/>
    <n v="1"/>
    <n v="1"/>
    <n v="1"/>
  </r>
  <r>
    <s v="ERSTE BANK HUNGARY Zrt"/>
    <s v="S03038_ENA"/>
    <s v="Diebold-Opteva 760 ATM Outdoor"/>
    <s v="1760R3320581"/>
    <s v="4024"/>
    <s v="Debrecen"/>
    <s v="Vár u. 4."/>
    <s v="ok"/>
    <n v="2"/>
    <n v="2"/>
    <x v="16"/>
    <n v="1"/>
    <n v="1"/>
    <n v="1"/>
  </r>
  <r>
    <s v="ERSTE BANK HUNGARY Zrt"/>
    <s v="S03040_ENA"/>
    <s v="Diebold-Opteva 720 ATM Indoor"/>
    <s v="1720FH123698"/>
    <s v="4220"/>
    <s v="Hajdúböszörmény"/>
    <s v="Szent István tér.1"/>
    <s v="ok"/>
    <n v="2"/>
    <n v="2"/>
    <x v="16"/>
    <n v="1"/>
    <n v="1"/>
    <n v="1"/>
  </r>
  <r>
    <s v="ERSTE BANK HUNGARY Zrt"/>
    <s v="S03041"/>
    <s v="Diebold-Opteva 760 ATM Outdoor"/>
    <s v="1760RH120538"/>
    <s v="4080"/>
    <s v="Hajdúnánás"/>
    <s v="Kossuth u. 4."/>
    <s v="ok"/>
    <n v="2"/>
    <n v="2"/>
    <x v="16"/>
    <e v="#N/A"/>
    <n v="0"/>
    <n v="2"/>
  </r>
  <r>
    <s v="ERSTE BANK HUNGARY Zrt"/>
    <s v="S03045_ENA"/>
    <s v="Diebold-Opteva 760 ATM Outdoor"/>
    <s v="1760RH125410"/>
    <s v="4300"/>
    <s v="Nyírbátor"/>
    <s v="Szabadság tér 10."/>
    <s v="ok"/>
    <n v="2"/>
    <n v="2"/>
    <x v="1"/>
    <n v="1"/>
    <n v="1"/>
    <n v="1"/>
  </r>
  <r>
    <s v="ERSTE BANK HUNGARY Zrt"/>
    <s v="S03047"/>
    <s v="Diebold-Opteva 760 ATM Outdoor"/>
    <s v="1760RH120568"/>
    <s v="4900"/>
    <s v="Fehérgyarmat"/>
    <s v="Kossuth Lajos tér 16."/>
    <s v="ok"/>
    <n v="2"/>
    <n v="2"/>
    <x v="1"/>
    <n v="1"/>
    <n v="1"/>
    <n v="1"/>
  </r>
  <r>
    <s v="ERSTE BANK HUNGARY Zrt"/>
    <s v="S03048"/>
    <s v="Diebold-Opteva 760 ATM Outdoor"/>
    <s v="1760RH120948"/>
    <s v="4028"/>
    <s v="Debrecen"/>
    <s v="Kassai út 26."/>
    <s v="ok"/>
    <n v="2"/>
    <n v="2"/>
    <x v="16"/>
    <n v="1"/>
    <n v="1"/>
    <n v="1"/>
  </r>
  <r>
    <s v="ERSTE BANK HUNGARY Zrt"/>
    <s v="S03050"/>
    <s v="OPT562 1GIG-DVD-UPS-LAN-A6-CEN3(4HIGH)"/>
    <s v="1562RH140502"/>
    <s v="4032"/>
    <s v="Debrecen"/>
    <s v="Móricz Zsigmond körút 22."/>
    <s v="ok"/>
    <n v="2"/>
    <n v="2"/>
    <x v="16"/>
    <n v="1"/>
    <n v="1"/>
    <n v="1"/>
  </r>
  <r>
    <s v="ERSTE BANK HUNGARY Zrt"/>
    <s v="S03051_ENA"/>
    <s v="Diebold-Opteva 720 ATM Indoor"/>
    <s v="1720FH121352"/>
    <s v="4700"/>
    <s v="Mátészalka"/>
    <s v="Kölcsey u. 15."/>
    <s v="ok"/>
    <n v="2"/>
    <n v="2"/>
    <x v="1"/>
    <n v="1"/>
    <n v="1"/>
    <n v="1"/>
  </r>
  <r>
    <s v="ERSTE BANK HUNGARY Zrt"/>
    <s v="S03052"/>
    <s v="Diebold-Opteva 760 ATM Outdoor"/>
    <s v="1760RH120972"/>
    <s v="5350"/>
    <s v="Tiszafüred"/>
    <s v="Kossuth tér 1."/>
    <s v="ok"/>
    <n v="2"/>
    <n v="2"/>
    <x v="16"/>
    <n v="1"/>
    <n v="1"/>
    <n v="1"/>
  </r>
  <r>
    <s v="ERSTE BANK HUNGARY Zrt"/>
    <s v="S03053"/>
    <s v="Diebold-Opteva 760 ATM Outdoor"/>
    <s v="1760R3320570"/>
    <s v="4031"/>
    <s v="Debrecen"/>
    <s v="Határ u. 1/D"/>
    <s v="ok"/>
    <n v="2"/>
    <n v="2"/>
    <x v="16"/>
    <n v="1"/>
    <n v="1"/>
    <n v="1"/>
  </r>
  <r>
    <s v="ERSTE BANK HUNGARY Zrt"/>
    <s v="S03054"/>
    <s v="Diebold-Opteva 522 Lobby Cash Dispenser"/>
    <s v="1522FH105477"/>
    <s v="4300"/>
    <s v="Nyírbátor"/>
    <s v="Debreceni út 71."/>
    <s v="ok"/>
    <n v="2"/>
    <n v="2"/>
    <x v="1"/>
    <n v="1"/>
    <n v="1"/>
    <n v="1"/>
  </r>
  <r>
    <s v="ERSTE BANK HUNGARY Zrt"/>
    <s v="S03055"/>
    <s v="Diebold-Opteva 522 Lobby Cash Dispenser"/>
    <s v="1522FH105481"/>
    <s v="5100"/>
    <s v="Jászberény"/>
    <s v="Nagykátai út 2/a"/>
    <s v="ok"/>
    <n v="2"/>
    <n v="2"/>
    <x v="10"/>
    <n v="1"/>
    <n v="1"/>
    <n v="1"/>
  </r>
  <r>
    <s v="ERSTE BANK HUNGARY Zrt"/>
    <s v="S03056"/>
    <s v="Diebold-Opteva 720 ATM Indoor"/>
    <s v="1720FH121908"/>
    <s v="4031"/>
    <s v="Debrecen"/>
    <s v="Kishegyesi út 1-11."/>
    <s v="ok"/>
    <n v="2"/>
    <n v="2"/>
    <x v="16"/>
    <n v="1"/>
    <n v="1"/>
    <n v="1"/>
  </r>
  <r>
    <s v="ERSTE BANK HUNGARY Zrt"/>
    <s v="S03057"/>
    <s v="Diebold-Opteva 562r 3 High-Standard ATM"/>
    <s v="562RRH100421"/>
    <s v="4400"/>
    <s v="Nyíregyháza"/>
    <s v="Sóstói út 31/b"/>
    <s v="ok"/>
    <n v="2"/>
    <n v="2"/>
    <x v="1"/>
    <e v="#N/A"/>
    <n v="0"/>
    <n v="2"/>
  </r>
  <r>
    <s v="ERSTE BANK HUNGARY Zrt"/>
    <s v="S03058"/>
    <s v="OPT562 1GIG-DVD-UPS-LAN-A6-CEN3(4HIGH)"/>
    <s v="1562RH127318"/>
    <s v="4400"/>
    <s v="Nyíregyháza"/>
    <s v="Szt. István út 68."/>
    <s v="ok"/>
    <n v="2"/>
    <n v="2"/>
    <x v="1"/>
    <e v="#N/A"/>
    <n v="0"/>
    <n v="2"/>
  </r>
  <r>
    <s v="ERSTE BANK HUNGARY Zrt"/>
    <s v="S03061"/>
    <s v="OPT562 1GIG-DVD-UPS-LAN-A6-CEN3(4HIGH)"/>
    <s v="1520FCF00245"/>
    <s v="5310"/>
    <s v="Kisújszállás"/>
    <s v="Deák Ferenc u. 13-17."/>
    <s v="ok"/>
    <n v="2"/>
    <n v="2"/>
    <x v="11"/>
    <n v="1"/>
    <n v="1"/>
    <n v="1"/>
  </r>
  <r>
    <s v="ERSTE BANK HUNGARY Zrt"/>
    <s v="S03062"/>
    <s v="OPT562 1GIG-DVD-UPS-LAN-A6-CEN3(4HIGH)"/>
    <s v="1562RH140530"/>
    <s v="4150"/>
    <s v="Püspökladány"/>
    <s v="Kossuth L. u. 11-17."/>
    <s v="ok"/>
    <n v="2"/>
    <n v="2"/>
    <x v="16"/>
    <e v="#N/A"/>
    <n v="0"/>
    <n v="2"/>
  </r>
  <r>
    <s v="ERSTE BANK HUNGARY Zrt"/>
    <s v="S03063"/>
    <s v="OPT562 1GIG-DVD-UPS-LAN-A6-CEN3(4HIGH)"/>
    <s v="1562RH127301"/>
    <s v="4031"/>
    <s v="Debrecen"/>
    <s v="Derék u. 68/b"/>
    <s v="ok"/>
    <n v="2"/>
    <n v="2"/>
    <x v="16"/>
    <n v="1"/>
    <n v="1"/>
    <n v="1"/>
  </r>
  <r>
    <s v="ERSTE BANK HUNGARY Zrt"/>
    <s v="S03064_ENA"/>
    <s v="Diebold-Opteva 720 ATM Indoor"/>
    <s v="1720FH120242"/>
    <s v="4024"/>
    <s v="Debrecen"/>
    <s v="Piac utca 32."/>
    <s v="ok"/>
    <n v="2"/>
    <n v="2"/>
    <x v="16"/>
    <n v="1"/>
    <n v="1"/>
    <n v="1"/>
  </r>
  <r>
    <s v="ERSTE BANK HUNGARY Zrt"/>
    <s v="S03065_ENA"/>
    <s v="Diebold-Opteva 760 ATM Outdoor"/>
    <s v="1760R3320550"/>
    <s v="4400"/>
    <s v="Nyíregyháza"/>
    <s v="Nagy Imre tér 1."/>
    <s v="ok"/>
    <n v="2"/>
    <n v="2"/>
    <x v="1"/>
    <n v="1"/>
    <n v="1"/>
    <n v="1"/>
  </r>
  <r>
    <s v="ERSTE BANK HUNGARY Zrt"/>
    <s v="S03066_ENA"/>
    <s v="Diebold-Opteva 760 ATM Outdoor"/>
    <s v="1760R3320528"/>
    <s v="4400"/>
    <s v="Nyíregyháza"/>
    <s v="Országzászló tér 10."/>
    <s v="ok"/>
    <n v="2"/>
    <n v="2"/>
    <x v="1"/>
    <n v="1"/>
    <n v="1"/>
    <n v="1"/>
  </r>
  <r>
    <s v="ERSTE BANK HUNGARY Zrt"/>
    <s v="S03067_ENA"/>
    <s v="Diebold-Opteva 760 ATM Outdoor"/>
    <s v="1760RH120531"/>
    <s v="4200"/>
    <s v="Hajdúszoboszló"/>
    <s v="Szilfákalja 49."/>
    <s v="ok"/>
    <n v="2"/>
    <n v="2"/>
    <x v="16"/>
    <n v="1"/>
    <n v="1"/>
    <n v="1"/>
  </r>
  <r>
    <s v="ERSTE BANK HUNGARY Zrt"/>
    <s v="S03068"/>
    <s v="OPT562 1GIG-DVD-UPS-LAN-A6-CEN3(4HIGH)"/>
    <s v="1562RH127313"/>
    <s v="5000"/>
    <s v="Szolnok"/>
    <s v="Ady Endre út 15."/>
    <s v="ok"/>
    <n v="2"/>
    <n v="2"/>
    <x v="11"/>
    <n v="1"/>
    <n v="1"/>
    <n v="1"/>
  </r>
  <r>
    <s v="ERSTE BANK HUNGARY Zrt"/>
    <s v="S04003"/>
    <s v="Diebold-Opteva 760 ATM Outdoor"/>
    <s v="1760RH120604"/>
    <s v="3580"/>
    <s v="Tiszaújváros"/>
    <s v="Ipartelep"/>
    <s v="ok"/>
    <n v="2"/>
    <n v="2"/>
    <x v="2"/>
    <n v="1"/>
    <n v="1"/>
    <n v="1"/>
  </r>
  <r>
    <s v="ERSTE BANK HUNGARY Zrt"/>
    <s v="S04005_ENA"/>
    <s v="Diebold-Opteva 720 ATM Indoor"/>
    <s v="1720FH121907"/>
    <s v="3200"/>
    <s v="Gyöngyös"/>
    <s v="Mikszáth Kálmán u. 4."/>
    <s v="ok"/>
    <n v="2"/>
    <n v="2"/>
    <x v="10"/>
    <n v="1"/>
    <n v="1"/>
    <n v="1"/>
  </r>
  <r>
    <s v="ERSTE BANK HUNGARY Zrt"/>
    <s v="S04006"/>
    <s v="Diebold-Opteva 760 ATM Outdoor"/>
    <s v="1760RH120606"/>
    <s v="3422"/>
    <s v="Bükkábrány"/>
    <s v="3 sz. főút"/>
    <s v="ok"/>
    <n v="2"/>
    <n v="2"/>
    <x v="2"/>
    <n v="1"/>
    <n v="1"/>
    <n v="1"/>
  </r>
  <r>
    <s v="ERSTE BANK HUNGARY Zrt"/>
    <s v="S04007"/>
    <s v="Diebold-Opteva 720 ATM Indoor"/>
    <s v="1720FH120192"/>
    <s v="3271"/>
    <s v="Gyöngyös"/>
    <s v="Erőmű út 11."/>
    <s v="ok"/>
    <n v="2"/>
    <n v="2"/>
    <x v="6"/>
    <n v="1"/>
    <n v="1"/>
    <n v="1"/>
  </r>
  <r>
    <s v="ERSTE BANK HUNGARY Zrt"/>
    <s v="S04008"/>
    <s v="OPT562 1GIG-DVD-UPS-LAN-A6-CEN3(4HIGH)"/>
    <s v="1562RH143041"/>
    <s v="3271"/>
    <s v="Gyöngyös"/>
    <s v="Erőmű út 11."/>
    <s v="ok"/>
    <n v="2"/>
    <n v="2"/>
    <x v="6"/>
    <n v="1"/>
    <n v="1"/>
    <n v="1"/>
  </r>
  <r>
    <s v="ERSTE BANK HUNGARY Zrt"/>
    <s v="S04009"/>
    <s v="Diebold-Opteva 760 ATM Outdoor"/>
    <s v="1760RH120573"/>
    <s v="3525"/>
    <s v="Miskolc"/>
    <s v="Kazinczy F. u. 16."/>
    <s v="ok"/>
    <n v="2"/>
    <n v="2"/>
    <x v="2"/>
    <n v="1"/>
    <n v="1"/>
    <n v="1"/>
  </r>
  <r>
    <s v="ERSTE BANK HUNGARY Zrt"/>
    <s v="S04011_ENA"/>
    <s v="Diebold-Opteva 760 ATM Outdoor"/>
    <s v="1760R3320589"/>
    <s v="3950"/>
    <s v="Sárospatak"/>
    <s v="Rákóczi u. 40."/>
    <s v="ok"/>
    <n v="2"/>
    <n v="2"/>
    <x v="1"/>
    <n v="1"/>
    <n v="1"/>
    <n v="1"/>
  </r>
  <r>
    <s v="ERSTE BANK HUNGARY Zrt"/>
    <s v="S04013"/>
    <s v="Diebold-Opteva 562r 3 High-Standard ATM"/>
    <s v="562RRH100419"/>
    <s v="3502"/>
    <s v="Miskolc"/>
    <s v="Kandó Kálmán tér 1."/>
    <s v="ok"/>
    <n v="2"/>
    <n v="2"/>
    <x v="2"/>
    <n v="1"/>
    <n v="1"/>
    <n v="1"/>
  </r>
  <r>
    <s v="ERSTE BANK HUNGARY Zrt"/>
    <s v="S04014"/>
    <s v="Diebold-Opteva 760 ATM Outdoor"/>
    <s v="1760R3320577"/>
    <s v="3530"/>
    <s v="Miskolc"/>
    <s v="Szemere Bertalan u. 1."/>
    <s v="ok"/>
    <n v="2"/>
    <n v="2"/>
    <x v="2"/>
    <n v="1"/>
    <n v="1"/>
    <n v="1"/>
  </r>
  <r>
    <s v="ERSTE BANK HUNGARY Zrt"/>
    <s v="S04015"/>
    <s v="Diebold-Opteva 760 ATM Outdoor"/>
    <s v="1760RH120575"/>
    <s v="3580"/>
    <s v="Tiszaújváros"/>
    <s v="Bethlen Gábor út 9."/>
    <s v="ok"/>
    <n v="2"/>
    <n v="2"/>
    <x v="2"/>
    <n v="1"/>
    <n v="1"/>
    <n v="1"/>
  </r>
  <r>
    <s v="ERSTE BANK HUNGARY Zrt"/>
    <s v="S04017"/>
    <s v="OPT562 1GIG-DVD-UPS-LAN-A6-CEN3(4HIGH)"/>
    <s v="1562RH126087"/>
    <s v="3200"/>
    <s v="Gyöngyös"/>
    <s v="Koháry út 3."/>
    <s v="ok"/>
    <n v="2"/>
    <n v="2"/>
    <x v="6"/>
    <n v="1"/>
    <n v="1"/>
    <n v="1"/>
  </r>
  <r>
    <s v="ERSTE BANK HUNGARY Zrt"/>
    <s v="S04021"/>
    <s v="OPT562 1GIG-DVD-UPS-LAN-A6-CEN3(4HIGH)"/>
    <s v="1562RH127303"/>
    <s v="3529"/>
    <s v="Miskolc"/>
    <s v="Szent Gy. út 23."/>
    <s v="ok"/>
    <n v="2"/>
    <n v="2"/>
    <x v="2"/>
    <n v="1"/>
    <n v="1"/>
    <n v="1"/>
  </r>
  <r>
    <s v="ERSTE BANK HUNGARY Zrt"/>
    <s v="S04022"/>
    <s v="Diebold-Opteva 760 ATM Outdoor"/>
    <s v="1760RH120574"/>
    <s v="3533"/>
    <s v="Miskolc"/>
    <s v="Andrássy u. 43."/>
    <s v="ok"/>
    <n v="2"/>
    <n v="2"/>
    <x v="2"/>
    <n v="1"/>
    <n v="1"/>
    <n v="1"/>
  </r>
  <r>
    <s v="ERSTE BANK HUNGARY Zrt"/>
    <s v="S04023"/>
    <s v="OPT562 1GIG-DVD-UPS-LAN-A6-CEN3(4HIGH)"/>
    <s v="1562RH126083"/>
    <s v="3530"/>
    <s v="Miskolc"/>
    <s v="Szemere Bertalan u. 13."/>
    <s v="ok"/>
    <n v="2"/>
    <n v="2"/>
    <x v="2"/>
    <n v="1"/>
    <n v="1"/>
    <n v="1"/>
  </r>
  <r>
    <s v="ERSTE BANK HUNGARY Zrt"/>
    <s v="S04025"/>
    <s v="Diebold-Opteva 720 ATM Indoor"/>
    <s v="1720F3320054"/>
    <s v="3525"/>
    <s v="Miskolc"/>
    <s v="Szentpáli u. 2-6."/>
    <s v="ok"/>
    <n v="2"/>
    <n v="2"/>
    <x v="2"/>
    <n v="1"/>
    <n v="1"/>
    <n v="1"/>
  </r>
  <r>
    <s v="ERSTE BANK HUNGARY Zrt"/>
    <s v="S04030"/>
    <s v="Diebold-Opteva 760 ATM Outdoor"/>
    <s v="1760RH120943"/>
    <s v="3780"/>
    <s v="Edelény"/>
    <s v="Hősök tere 8."/>
    <s v="ok"/>
    <n v="2"/>
    <n v="2"/>
    <x v="2"/>
    <n v="1"/>
    <n v="1"/>
    <n v="1"/>
  </r>
  <r>
    <s v="ERSTE BANK HUNGARY Zrt"/>
    <s v="S04031"/>
    <s v="Diebold-Opteva 720 ATM Indoor"/>
    <s v="1720FH120191"/>
    <s v="3574"/>
    <s v="Bőcs"/>
    <s v="Rákóczi út 81."/>
    <s v="ok"/>
    <n v="2"/>
    <n v="2"/>
    <x v="2"/>
    <e v="#N/A"/>
    <n v="0"/>
    <n v="2"/>
  </r>
  <r>
    <s v="ERSTE BANK HUNGARY Zrt"/>
    <s v="S04033"/>
    <s v="Diebold-Opteva 760 ATM Outdoor"/>
    <s v="1760R3320544"/>
    <s v="3900"/>
    <s v="Szerencs"/>
    <s v="Rákóczi út 124."/>
    <s v="ok"/>
    <n v="2"/>
    <n v="2"/>
    <x v="1"/>
    <e v="#N/A"/>
    <n v="0"/>
    <n v="2"/>
  </r>
  <r>
    <s v="ERSTE BANK HUNGARY Zrt"/>
    <s v="S04034"/>
    <s v="Diebold-Opteva 760 ATM Outdoor"/>
    <s v="1760R3320558"/>
    <s v="3600"/>
    <s v="Ózd"/>
    <s v="Munkás út 1."/>
    <s v="ok"/>
    <n v="2"/>
    <n v="2"/>
    <x v="2"/>
    <n v="1"/>
    <n v="1"/>
    <n v="1"/>
  </r>
  <r>
    <s v="ERSTE BANK HUNGARY Zrt"/>
    <s v="S04035_ENA"/>
    <s v="Diebold-Opteva 720 ATM Indoor"/>
    <s v="1720FH123712"/>
    <s v="3580"/>
    <s v="Tiszaújváros"/>
    <s v="Bethlen Gábor utca 5/b"/>
    <s v="ok"/>
    <n v="2"/>
    <n v="2"/>
    <x v="2"/>
    <e v="#N/A"/>
    <n v="0"/>
    <n v="2"/>
  </r>
  <r>
    <s v="ERSTE BANK HUNGARY Zrt"/>
    <s v="S04036_ENA"/>
    <s v="Diebold-Opteva 720 ATM Indoor"/>
    <s v="1720FH120196"/>
    <s v="2660"/>
    <s v="Balassagyarmat"/>
    <s v="Rákóczi Fejedelem út 34-36."/>
    <s v="ok"/>
    <n v="2"/>
    <n v="2"/>
    <x v="6"/>
    <n v="1"/>
    <n v="1"/>
    <n v="1"/>
  </r>
  <r>
    <s v="ERSTE BANK HUNGARY Zrt"/>
    <s v="S04038"/>
    <s v="Diebold-Opteva 760 ATM Outdoor"/>
    <s v="1760RH120951"/>
    <s v="3100"/>
    <s v="Salgótarján"/>
    <s v="Gorkij krt."/>
    <s v="ok"/>
    <n v="2"/>
    <n v="2"/>
    <x v="10"/>
    <e v="#N/A"/>
    <n v="0"/>
    <n v="2"/>
  </r>
  <r>
    <s v="ERSTE BANK HUNGARY Zrt"/>
    <s v="S04040_ENA"/>
    <s v="Diebold-Opteva 720 ATM Indoor"/>
    <s v="1720FH123709"/>
    <s v="3700"/>
    <s v="Kazincbarcika"/>
    <s v="Egressy u.44."/>
    <s v="ok"/>
    <n v="2"/>
    <n v="2"/>
    <x v="2"/>
    <n v="1"/>
    <n v="1"/>
    <n v="1"/>
  </r>
  <r>
    <s v="ERSTE BANK HUNGARY Zrt"/>
    <s v="S04043"/>
    <s v="Diebold-Opteva 720 ATM Indoor"/>
    <s v="1720FH121345"/>
    <s v="3527"/>
    <s v="Miskolc"/>
    <s v="József Attila u. 87."/>
    <s v="ok"/>
    <n v="2"/>
    <n v="2"/>
    <x v="2"/>
    <e v="#N/A"/>
    <n v="0"/>
    <n v="2"/>
  </r>
  <r>
    <s v="ERSTE BANK HUNGARY Zrt"/>
    <s v="S04044"/>
    <s v="Diebold-Opteva 760 ATM Outdoor"/>
    <s v="1760RH120968"/>
    <s v="3400"/>
    <s v="Mezőkövesd"/>
    <s v="Egri út 1."/>
    <s v="ok"/>
    <n v="2"/>
    <n v="2"/>
    <x v="2"/>
    <e v="#N/A"/>
    <n v="0"/>
    <n v="2"/>
  </r>
  <r>
    <s v="ERSTE BANK HUNGARY Zrt"/>
    <s v="S04045"/>
    <s v="Diebold-Opteva 760 ATM Outdoor"/>
    <s v="1760RH120973"/>
    <s v="3060"/>
    <s v="Pásztó"/>
    <s v="Fő utca 83-87"/>
    <s v="ok"/>
    <n v="2"/>
    <n v="2"/>
    <x v="10"/>
    <n v="1"/>
    <n v="1"/>
    <n v="1"/>
  </r>
  <r>
    <s v="ERSTE BANK HUNGARY Zrt"/>
    <s v="S04046"/>
    <s v="Diebold-Opteva 760 ATM Outdoor"/>
    <s v="1760R3320593"/>
    <s v="2651"/>
    <s v="Rétság"/>
    <s v="Rákóczi u. 39-41"/>
    <s v="ok"/>
    <n v="2"/>
    <n v="2"/>
    <x v="6"/>
    <n v="1"/>
    <n v="1"/>
    <n v="1"/>
  </r>
  <r>
    <s v="ERSTE BANK HUNGARY Zrt"/>
    <s v="S04047"/>
    <s v="Diebold-Opteva 720 ATM Indoor"/>
    <s v="1720FH121728"/>
    <s v="3200"/>
    <s v="Gyöngyös"/>
    <s v="Vásár u. 2."/>
    <s v="ok"/>
    <n v="2"/>
    <n v="2"/>
    <x v="10"/>
    <e v="#N/A"/>
    <n v="0"/>
    <n v="2"/>
  </r>
  <r>
    <s v="ERSTE BANK HUNGARY Zrt"/>
    <s v="S04048"/>
    <s v="Diebold-Opteva 522 Lobby Cash Dispenser"/>
    <s v="1522FH105483"/>
    <s v="3600"/>
    <s v="Ózd"/>
    <s v="Brassói út 3."/>
    <s v="ok"/>
    <n v="2"/>
    <n v="2"/>
    <x v="2"/>
    <n v="1"/>
    <n v="1"/>
    <n v="1"/>
  </r>
  <r>
    <s v="ERSTE BANK HUNGARY Zrt"/>
    <s v="S04050"/>
    <s v="OPT562 1GIG-DVD-UPS-LAN-A6-CEN3(4HIGH)"/>
    <s v="1562RH140500"/>
    <s v="3792"/>
    <s v="Sajóbábony"/>
    <s v="Gyártelep Hrsz: 024/145"/>
    <s v="ok"/>
    <n v="2"/>
    <n v="2"/>
    <x v="2"/>
    <n v="1"/>
    <n v="1"/>
    <n v="1"/>
  </r>
  <r>
    <s v="ERSTE BANK HUNGARY Zrt"/>
    <s v="S04051"/>
    <s v="OPT562 1GIG-DVD-UPS-LAN-A6-CEN3(4HIGH)"/>
    <s v="1760RH120562"/>
    <s v="3100"/>
    <s v="Salgótarján"/>
    <s v="Bem u. 2-3."/>
    <s v="ok"/>
    <n v="2"/>
    <n v="2"/>
    <x v="10"/>
    <e v="#N/A"/>
    <n v="0"/>
    <n v="2"/>
  </r>
  <r>
    <s v="ERSTE BANK HUNGARY Zrt"/>
    <s v="S04052"/>
    <s v="Diebold-Opteva 520 ATM Indoor"/>
    <s v="1520FH121648"/>
    <s v="3300"/>
    <s v="Eger"/>
    <s v="Rákóczi út 100."/>
    <s v="ok"/>
    <n v="2"/>
    <n v="2"/>
    <x v="2"/>
    <e v="#N/A"/>
    <n v="0"/>
    <n v="2"/>
  </r>
  <r>
    <s v="ERSTE BANK HUNGARY Zrt"/>
    <s v="S04053"/>
    <s v="OPT562 1GIG-DVD-UPS-LAN-A6-CEN3(4HIGH)"/>
    <s v="1562RH143049"/>
    <s v="3900"/>
    <s v="Szerencs"/>
    <s v="Rákóczi u. 94."/>
    <s v="ok"/>
    <n v="2"/>
    <n v="2"/>
    <x v="1"/>
    <e v="#N/A"/>
    <n v="0"/>
    <n v="2"/>
  </r>
  <r>
    <s v="ERSTE BANK HUNGARY Zrt"/>
    <s v="S04054_ENA"/>
    <s v="Diebold-Opteva 760 ATM Outdoor"/>
    <s v="1760R3320568"/>
    <s v="3300"/>
    <s v="Eger"/>
    <s v="Dobó tér 1."/>
    <s v="ok"/>
    <n v="2"/>
    <n v="2"/>
    <x v="2"/>
    <e v="#N/A"/>
    <n v="0"/>
    <n v="2"/>
  </r>
  <r>
    <s v="ERSTE BANK HUNGARY Zrt"/>
    <s v="S04055"/>
    <s v="Diebold-Opteva 520 ATM Indoor"/>
    <s v="1520FCF00090"/>
    <s v="3526"/>
    <s v="Miskolc"/>
    <s v="Szentpéteri kapu 103."/>
    <s v="ok"/>
    <n v="2"/>
    <n v="2"/>
    <x v="2"/>
    <n v="1"/>
    <n v="1"/>
    <n v="1"/>
  </r>
  <r>
    <s v="ERSTE BANK HUNGARY Zrt"/>
    <s v="S04056_ENA"/>
    <s v="Diebold-Opteva 760 ATM Outdoor"/>
    <s v="1760R3320594"/>
    <s v="3530"/>
    <s v="Miskolc"/>
    <s v="Corvin u. 1-3."/>
    <s v="ok"/>
    <n v="2"/>
    <n v="2"/>
    <x v="2"/>
    <n v="1"/>
    <n v="1"/>
    <n v="1"/>
  </r>
  <r>
    <s v="ERSTE BANK HUNGARY Zrt"/>
    <s v="S06003"/>
    <s v="OPT562 1GIG-DVD-UPS-LAN-A6-CEN3(4HIGH)"/>
    <s v="1562RCF01072"/>
    <s v="9022"/>
    <s v="Győr"/>
    <s v="Teleki László u. 26."/>
    <s v="ok"/>
    <n v="2"/>
    <n v="2"/>
    <x v="19"/>
    <n v="1"/>
    <n v="1"/>
    <n v="1"/>
  </r>
  <r>
    <s v="ERSTE BANK HUNGARY Zrt"/>
    <s v="S06007"/>
    <s v="Diebold-Opteva 760 ATM Outdoor"/>
    <s v="1760RH120611"/>
    <s v="8200"/>
    <s v="Veszprém"/>
    <s v="Kossuth L. u. 19."/>
    <s v="ok"/>
    <n v="2"/>
    <n v="2"/>
    <x v="4"/>
    <n v="1"/>
    <n v="1"/>
    <n v="1"/>
  </r>
  <r>
    <s v="ERSTE BANK HUNGARY Zrt"/>
    <s v="S06011"/>
    <s v="Diebold-Opteva 760 ATM Outdoor"/>
    <s v="1760R3320585"/>
    <s v="8060"/>
    <s v="Mór"/>
    <s v="Dózsa Gy. u. 1."/>
    <s v="ok"/>
    <n v="2"/>
    <n v="2"/>
    <x v="4"/>
    <n v="1"/>
    <n v="1"/>
    <n v="1"/>
  </r>
  <r>
    <s v="ERSTE BANK HUNGARY Zrt"/>
    <s v="S06012"/>
    <s v="Diebold-Opteva 760 ATM Outdoor"/>
    <s v="1760RH120605"/>
    <s v="8220"/>
    <s v="Balatonalmádi"/>
    <s v="Petőfi S. u. 19."/>
    <s v="ok"/>
    <n v="2"/>
    <n v="2"/>
    <x v="4"/>
    <n v="1"/>
    <n v="1"/>
    <n v="1"/>
  </r>
  <r>
    <s v="ERSTE BANK HUNGARY Zrt"/>
    <s v="S06015"/>
    <s v="Diebold-Opteva 520 ATM Indoor"/>
    <s v="1520FH120092"/>
    <s v="9027"/>
    <s v="Győr"/>
    <s v="Vasvári Pál u. 1/a."/>
    <s v="ok"/>
    <n v="2"/>
    <n v="2"/>
    <x v="19"/>
    <e v="#N/A"/>
    <n v="0"/>
    <n v="2"/>
  </r>
  <r>
    <s v="ERSTE BANK HUNGARY Zrt"/>
    <s v="S06016"/>
    <s v="OPT562 1GIG-DVD-UPS-LAN-A6-CEN3(4HIGH)"/>
    <s v="1562RCF01070"/>
    <s v="2462"/>
    <s v="Martonvásár"/>
    <s v="Budai út 13."/>
    <s v="ok"/>
    <n v="2"/>
    <n v="2"/>
    <x v="7"/>
    <e v="#N/A"/>
    <n v="0"/>
    <n v="2"/>
  </r>
  <r>
    <s v="ERSTE BANK HUNGARY Zrt"/>
    <s v="S06017"/>
    <s v="Diebold-Opteva 760 ATM Outdoor"/>
    <s v="1760R3320551"/>
    <s v="2800"/>
    <s v="Tatabánya"/>
    <s v="Dózsakert u. 57."/>
    <s v="ok"/>
    <n v="2"/>
    <n v="2"/>
    <x v="19"/>
    <e v="#N/A"/>
    <n v="0"/>
    <n v="2"/>
  </r>
  <r>
    <s v="ERSTE BANK HUNGARY Zrt"/>
    <s v="S06023"/>
    <s v="Diebold-Opteva 760 ATM Outdoor"/>
    <s v="1760R3320527"/>
    <s v="8100"/>
    <s v="Várpalota"/>
    <s v="Szent István út 28."/>
    <s v="ok"/>
    <n v="2"/>
    <n v="2"/>
    <x v="4"/>
    <n v="1"/>
    <n v="1"/>
    <n v="1"/>
  </r>
  <r>
    <s v="ERSTE BANK HUNGARY Zrt"/>
    <s v="S06025_IDMBD"/>
    <s v="Diebold-Opteva 760 ATM Outdoor"/>
    <s v="1760RH120576"/>
    <s v="9024"/>
    <s v="Győr"/>
    <s v="Lajta u.13"/>
    <s v="ok"/>
    <n v="2"/>
    <n v="2"/>
    <x v="19"/>
    <e v="#N/A"/>
    <n v="0"/>
    <n v="2"/>
  </r>
  <r>
    <s v="ERSTE BANK HUNGARY Zrt"/>
    <s v="S06026"/>
    <s v="OPT562 1GIG-DVD-UPS-LAN-A6-CEN3(4HIGH)"/>
    <s v="1562RH127309"/>
    <s v="9200"/>
    <s v="Mosonmagyaróvár"/>
    <s v="Erkel Ferenc utca 3."/>
    <s v="ok"/>
    <n v="2"/>
    <n v="2"/>
    <x v="19"/>
    <e v="#N/A"/>
    <n v="0"/>
    <n v="2"/>
  </r>
  <r>
    <s v="ERSTE BANK HUNGARY Zrt"/>
    <s v="S06029"/>
    <s v="Diebold-Opteva 760 ATM Outdoor"/>
    <s v="1760R3320575"/>
    <s v="9400"/>
    <s v="Sopron"/>
    <s v="Lackner K. u. 27"/>
    <s v="ok"/>
    <n v="2"/>
    <n v="2"/>
    <x v="8"/>
    <n v="1"/>
    <n v="1"/>
    <n v="1"/>
  </r>
  <r>
    <s v="ERSTE BANK HUNGARY Zrt"/>
    <s v="S06030_ENA"/>
    <s v="Diebold-Opteva 720 ATM Indoor"/>
    <s v="1720F3320050"/>
    <s v="8200"/>
    <s v="Veszprém"/>
    <s v="Budapest út 20-28."/>
    <s v="ok"/>
    <n v="2"/>
    <n v="2"/>
    <x v="4"/>
    <n v="1"/>
    <n v="1"/>
    <n v="1"/>
  </r>
  <r>
    <s v="ERSTE BANK HUNGARY Zrt"/>
    <s v="S06031"/>
    <s v="Diebold-Opteva 760 ATM Outdoor"/>
    <s v="1760RH120543"/>
    <s v="8500"/>
    <s v="Pápa"/>
    <s v="Várkert u. 5."/>
    <s v="ok"/>
    <n v="2"/>
    <n v="2"/>
    <x v="8"/>
    <n v="1"/>
    <n v="1"/>
    <n v="1"/>
  </r>
  <r>
    <s v="ERSTE BANK HUNGARY Zrt"/>
    <s v="S06032_ENA"/>
    <s v="Diebold-Opteva 720 ATM Indoor"/>
    <s v="1720FH123702"/>
    <s v="9600"/>
    <s v="Sárvár"/>
    <s v="Batthyány u. 20."/>
    <s v="ok"/>
    <n v="2"/>
    <n v="2"/>
    <x v="8"/>
    <e v="#N/A"/>
    <n v="0"/>
    <n v="2"/>
  </r>
  <r>
    <s v="ERSTE BANK HUNGARY Zrt"/>
    <s v="S06033"/>
    <s v="Diebold-Opteva 520 ATM Indoor"/>
    <s v="1520FCF00085"/>
    <s v="9022"/>
    <s v="Győr"/>
    <s v="Árpád út 42."/>
    <s v="ok"/>
    <n v="2"/>
    <n v="2"/>
    <x v="19"/>
    <n v="1"/>
    <n v="1"/>
    <n v="1"/>
  </r>
  <r>
    <s v="ERSTE BANK HUNGARY Zrt"/>
    <s v="S06034_ENA"/>
    <s v="Diebold-Opteva 720 ATM Indoor"/>
    <s v="1720FH120247"/>
    <s v="8100"/>
    <s v="Várpalota"/>
    <s v="Szent István út 7-9."/>
    <s v="ok"/>
    <n v="2"/>
    <n v="2"/>
    <x v="4"/>
    <n v="1"/>
    <n v="1"/>
    <n v="1"/>
  </r>
  <r>
    <s v="ERSTE BANK HUNGARY Zrt"/>
    <s v="S06036_ENA"/>
    <s v="Diebold-Opteva 760 ATM Outdoor"/>
    <s v="1760R3320578"/>
    <s v="2900"/>
    <s v="Komárom"/>
    <s v="Gyár u. 2-6."/>
    <s v="ok"/>
    <n v="2"/>
    <n v="2"/>
    <x v="19"/>
    <e v="#N/A"/>
    <n v="0"/>
    <n v="2"/>
  </r>
  <r>
    <s v="ERSTE BANK HUNGARY Zrt"/>
    <s v="S06040_ENA"/>
    <s v="Diebold-Opteva 720 ATM Indoor"/>
    <s v="1720FH120183"/>
    <s v="9700"/>
    <s v="Szombathely"/>
    <s v="Mártírok tere 12."/>
    <s v="ok"/>
    <n v="2"/>
    <n v="2"/>
    <x v="8"/>
    <n v="1"/>
    <n v="1"/>
    <n v="1"/>
  </r>
  <r>
    <s v="ERSTE BANK HUNGARY Zrt"/>
    <s v="S06041_ENA"/>
    <s v="Diebold-Opteva 760 ATM Outdoor"/>
    <s v="1760R3320542"/>
    <s v="8200"/>
    <s v="Veszprém"/>
    <s v="Ádám Iván u. 2."/>
    <s v="ok"/>
    <n v="2"/>
    <n v="2"/>
    <x v="4"/>
    <n v="1"/>
    <n v="1"/>
    <n v="1"/>
  </r>
  <r>
    <s v="ERSTE BANK HUNGARY Zrt"/>
    <s v="S06043"/>
    <s v="OPT562 1GIG-DVD-UPS-LAN-A6-CEN3(4HIGH)"/>
    <s v="1562RH126088"/>
    <s v="2400"/>
    <s v="Dunaújváros"/>
    <s v="Piac tér 116"/>
    <s v="ok"/>
    <n v="2"/>
    <n v="2"/>
    <x v="7"/>
    <n v="1"/>
    <n v="1"/>
    <n v="1"/>
  </r>
  <r>
    <s v="ERSTE BANK HUNGARY Zrt"/>
    <s v="S06044"/>
    <s v="Diebold-Opteva 520 ATM Indoor"/>
    <s v="1520FH121650"/>
    <s v="2890"/>
    <s v="Tata"/>
    <s v="Ring u. 1"/>
    <s v="ok"/>
    <n v="2"/>
    <n v="2"/>
    <x v="19"/>
    <e v="#N/A"/>
    <n v="0"/>
    <n v="2"/>
  </r>
  <r>
    <s v="ERSTE BANK HUNGARY Zrt"/>
    <s v="S06045"/>
    <s v="OPT562 1GIG-DVD-UPS-LAN-A6-CEN3(4HIGH)"/>
    <s v="1562RH127314"/>
    <s v="9900"/>
    <s v="Körmend"/>
    <s v="Szabadság tér 3."/>
    <s v="ok"/>
    <n v="2"/>
    <n v="2"/>
    <x v="8"/>
    <n v="1"/>
    <n v="1"/>
    <n v="1"/>
  </r>
  <r>
    <s v="ERSTE BANK HUNGARY Zrt"/>
    <s v="S06047"/>
    <s v="Diebold-Opteva 720 ATM Indoor"/>
    <s v="1720FH120246"/>
    <s v="9700"/>
    <s v="Szombathely"/>
    <s v="Varasd u. 1."/>
    <s v="ok"/>
    <n v="2"/>
    <n v="2"/>
    <x v="8"/>
    <n v="1"/>
    <n v="1"/>
    <n v="1"/>
  </r>
  <r>
    <s v="ERSTE BANK HUNGARY Zrt"/>
    <s v="S06051"/>
    <s v="Diebold-Opteva 760 ATM Outdoor"/>
    <s v="1760RH120964"/>
    <s v="2500"/>
    <s v="Esztergom"/>
    <s v="Baross Gábor út 24."/>
    <s v="ok"/>
    <n v="2"/>
    <n v="2"/>
    <x v="14"/>
    <e v="#N/A"/>
    <n v="0"/>
    <n v="2"/>
  </r>
  <r>
    <s v="ERSTE BANK HUNGARY Zrt"/>
    <s v="S06053"/>
    <s v="Diebold-Opteva 760 ATM Outdoor"/>
    <s v="1760RH120966"/>
    <s v="2451"/>
    <s v="Ercsi"/>
    <s v="Dózsa György út Spar"/>
    <s v="ok"/>
    <n v="2"/>
    <n v="2"/>
    <x v="7"/>
    <n v="1"/>
    <n v="1"/>
    <n v="1"/>
  </r>
  <r>
    <s v="ERSTE BANK HUNGARY Zrt"/>
    <s v="S06054_ENA"/>
    <s v="Diebold-Opteva 760 ATM Outdoor"/>
    <s v="1760RH120970"/>
    <s v="8420"/>
    <s v="Zirc"/>
    <s v="Rákóczi tér 16."/>
    <s v="ok"/>
    <n v="2"/>
    <n v="2"/>
    <x v="4"/>
    <n v="1"/>
    <n v="1"/>
    <n v="1"/>
  </r>
  <r>
    <s v="ERSTE BANK HUNGARY Zrt"/>
    <s v="S06056"/>
    <s v="Diebold-Opteva 720 ATM Indoor"/>
    <s v="1720F3320058"/>
    <s v="9700"/>
    <s v="Szombathely"/>
    <s v="Körmendi út 52-54"/>
    <s v="ok"/>
    <n v="2"/>
    <n v="2"/>
    <x v="8"/>
    <n v="1"/>
    <n v="1"/>
    <n v="1"/>
  </r>
  <r>
    <s v="ERSTE BANK HUNGARY Zrt"/>
    <s v="S06057"/>
    <s v="Diebold-Opteva 760 ATM Outdoor"/>
    <s v="1760RH120582"/>
    <s v="2900"/>
    <s v="Komárom"/>
    <s v="Igmánd u. 16."/>
    <s v="ok"/>
    <n v="2"/>
    <n v="2"/>
    <x v="19"/>
    <e v="#N/A"/>
    <n v="0"/>
    <n v="2"/>
  </r>
  <r>
    <s v="ERSTE BANK HUNGARY Zrt"/>
    <s v="S06058"/>
    <s v="Diebold-Opteva 720 ATM Indoor"/>
    <s v="1720FH121724"/>
    <s v="8000"/>
    <s v="Székesfehérvár"/>
    <s v="Aszalvölgyi út 1"/>
    <s v="ok"/>
    <n v="2"/>
    <n v="2"/>
    <x v="4"/>
    <n v="1"/>
    <n v="1"/>
    <n v="1"/>
  </r>
  <r>
    <s v="ERSTE BANK HUNGARY Zrt"/>
    <s v="S06059"/>
    <s v="Diebold-Opteva 720 ATM Indoor"/>
    <s v="1720FH121910"/>
    <s v="2840"/>
    <s v="Oroszlány"/>
    <s v="Környei út 3-5."/>
    <s v="ok"/>
    <n v="2"/>
    <n v="2"/>
    <x v="19"/>
    <e v="#N/A"/>
    <n v="0"/>
    <n v="2"/>
  </r>
  <r>
    <s v="ERSTE BANK HUNGARY Zrt"/>
    <s v="S06060"/>
    <s v="Diebold-Opteva 522 Lobby Cash Dispenser"/>
    <s v="1522FH105480"/>
    <s v="7000"/>
    <s v="Sárbogárd"/>
    <s v="Ady Endre út 19."/>
    <s v="ok"/>
    <n v="2"/>
    <n v="2"/>
    <x v="7"/>
    <n v="1"/>
    <n v="1"/>
    <n v="1"/>
  </r>
  <r>
    <s v="ERSTE BANK HUNGARY Zrt"/>
    <s v="S06061"/>
    <s v="OPT562 1GIG-DVD-UPS-LAN-A6-CEN3(4HIGH)"/>
    <s v="1562RH140534"/>
    <s v="9200"/>
    <s v="Mosonmagyaróvár"/>
    <s v="Szent István király u.84."/>
    <s v="ok"/>
    <n v="2"/>
    <n v="2"/>
    <x v="19"/>
    <n v="1"/>
    <n v="1"/>
    <n v="1"/>
  </r>
  <r>
    <s v="ERSTE BANK HUNGARY Zrt"/>
    <s v="S06062_ENA"/>
    <s v="Diebold-Opteva 720 ATM Indoor"/>
    <s v="1720F3320053"/>
    <s v="9200"/>
    <s v="Mosonmagyaróvár"/>
    <s v="Fő u. 26."/>
    <s v="ok"/>
    <n v="2"/>
    <n v="2"/>
    <x v="19"/>
    <n v="1"/>
    <n v="1"/>
    <n v="1"/>
  </r>
  <r>
    <s v="ERSTE BANK HUNGARY Zrt"/>
    <s v="S06063"/>
    <s v="Diebold-Opteva 522 Lobby Cash Dispenser"/>
    <s v="1522FH105489"/>
    <s v="2060"/>
    <s v="Bicske"/>
    <s v="Spar út 0326/1. hrsz."/>
    <s v="ok"/>
    <n v="2"/>
    <n v="2"/>
    <x v="19"/>
    <n v="1"/>
    <n v="1"/>
    <n v="1"/>
  </r>
  <r>
    <s v="ERSTE BANK HUNGARY Zrt"/>
    <s v="S06064"/>
    <s v="OPT562 1GIG-DVD-UPS-LAN-A6-CEN3(4HIGH)"/>
    <s v="1562RH140523"/>
    <s v="2060"/>
    <s v="Bicske"/>
    <s v="Kossuth tér"/>
    <s v="ok"/>
    <n v="2"/>
    <n v="2"/>
    <x v="19"/>
    <n v="1"/>
    <n v="1"/>
    <n v="1"/>
  </r>
  <r>
    <s v="ERSTE BANK HUNGARY Zrt"/>
    <s v="S06065"/>
    <s v="OPT562 1GIG-DVD-UPS-LAN-A6-CEN3(4HIGH)"/>
    <s v="1562RH126081"/>
    <s v="2400"/>
    <s v="Dunaújváros"/>
    <s v="Béke körút"/>
    <s v="ok"/>
    <e v="#N/A"/>
    <e v="#N/A"/>
    <x v="18"/>
    <e v="#N/A"/>
    <n v="0"/>
    <e v="#N/A"/>
  </r>
  <r>
    <s v="ERSTE BANK HUNGARY Zrt"/>
    <s v="S06067"/>
    <s v="OPT562 1GIG-DVD-UPS-LAN-A6-CEN3(4HIGH)"/>
    <s v="1562RH140498"/>
    <s v="9022"/>
    <s v="Győr"/>
    <s v="Fehérvári út 20."/>
    <s v="ok"/>
    <n v="2"/>
    <n v="2"/>
    <x v="19"/>
    <e v="#N/A"/>
    <n v="0"/>
    <n v="2"/>
  </r>
  <r>
    <s v="ERSTE BANK HUNGARY Zrt"/>
    <s v="S06068"/>
    <s v="OPT562 1GIG-DVD-UPS-LAN-A6-CEN3(4HIGH)"/>
    <s v="1562RH140527"/>
    <s v="9330"/>
    <s v="Kapuvár"/>
    <s v="Győri út"/>
    <s v="ok"/>
    <n v="2"/>
    <n v="2"/>
    <x v="8"/>
    <n v="1"/>
    <n v="1"/>
    <n v="1"/>
  </r>
  <r>
    <s v="ERSTE BANK HUNGARY Zrt"/>
    <s v="S06069"/>
    <s v="Diebold-Opteva 720 ATM Indoor"/>
    <s v="1720FH121913"/>
    <s v="8000"/>
    <s v="Székesfehérvár"/>
    <s v="Balatoni út 44-46."/>
    <s v="ok"/>
    <n v="2"/>
    <n v="2"/>
    <x v="4"/>
    <n v="1"/>
    <n v="1"/>
    <n v="1"/>
  </r>
  <r>
    <s v="ERSTE BANK HUNGARY Zrt"/>
    <s v="S06070"/>
    <s v="OPT562 1GIG-DVD-UPS-LAN-A6-CEN3(4HIGH)"/>
    <s v="1562RH142720"/>
    <s v="9400"/>
    <s v="Sopron"/>
    <s v="Kodály tér 16."/>
    <s v="ok"/>
    <n v="2"/>
    <n v="2"/>
    <x v="8"/>
    <n v="1"/>
    <n v="1"/>
    <n v="1"/>
  </r>
  <r>
    <s v="ERSTE BANK HUNGARY Zrt"/>
    <s v="S06071"/>
    <s v="OPT562 1GIG-DVD-UPS-LAN-A6-CEN3(4HIGH)"/>
    <s v="1562RH143040"/>
    <s v="2851"/>
    <s v="Környe"/>
    <s v="Kőhíd utca 1."/>
    <s v="ok"/>
    <n v="2"/>
    <n v="2"/>
    <x v="19"/>
    <e v="#N/A"/>
    <n v="0"/>
    <n v="2"/>
  </r>
  <r>
    <s v="ERSTE BANK HUNGARY Zrt"/>
    <s v="S06072"/>
    <s v="Diebold-Opteva 760 ATM Outdoor"/>
    <s v="1760RH125413"/>
    <s v="9400"/>
    <s v="Sopron"/>
    <s v="Bánfalvi u. 12."/>
    <s v="ok"/>
    <n v="2"/>
    <n v="2"/>
    <x v="8"/>
    <n v="1"/>
    <n v="1"/>
    <n v="1"/>
  </r>
  <r>
    <s v="ERSTE BANK HUNGARY Zrt"/>
    <s v="S06073_ENA"/>
    <s v="Diebold-Opteva 760 ATM Outdoor"/>
    <s v="1760RH121547"/>
    <s v="2500"/>
    <s v="Esztergom"/>
    <s v="Petőfi Sándor u. 2"/>
    <s v="ok"/>
    <n v="2"/>
    <n v="2"/>
    <x v="14"/>
    <n v="1"/>
    <n v="1"/>
    <n v="1"/>
  </r>
  <r>
    <s v="ERSTE BANK HUNGARY Zrt"/>
    <s v="S06074"/>
    <s v="Diebold-Opteva 520 ATM Indoor"/>
    <s v="1520F3305879"/>
    <s v="8230"/>
    <s v="Balatonfüred"/>
    <s v="Széchenyi út 55."/>
    <s v="ok"/>
    <n v="2"/>
    <n v="2"/>
    <x v="4"/>
    <n v="1"/>
    <n v="1"/>
    <n v="1"/>
  </r>
  <r>
    <s v="ERSTE BANK HUNGARY Zrt"/>
    <s v="S06076"/>
    <s v="Diebold-Opteva 760 ATM Outdoor"/>
    <s v="1760RH120942"/>
    <s v="8300"/>
    <s v="Tapolca"/>
    <s v="Deák Ferenc utca 2-4."/>
    <s v="ok"/>
    <n v="2"/>
    <n v="2"/>
    <x v="9"/>
    <n v="1"/>
    <n v="1"/>
    <n v="1"/>
  </r>
  <r>
    <s v="ERSTE BANK HUNGARY Zrt"/>
    <s v="S06077"/>
    <s v="Diebold-Opteva 520 ATM Indoor"/>
    <s v="1520FCF00241"/>
    <s v="8500"/>
    <s v="Pápa"/>
    <s v="Vaszari út 101."/>
    <s v="ok"/>
    <n v="2"/>
    <n v="2"/>
    <x v="8"/>
    <n v="1"/>
    <n v="1"/>
    <n v="1"/>
  </r>
  <r>
    <s v="ERSTE BANK HUNGARY Zrt"/>
    <s v="S06078"/>
    <s v="Diebold-Opteva 520 ATM Indoor"/>
    <s v="1520FH120088"/>
    <s v="9400"/>
    <s v="Sopron"/>
    <s v="Selmeci út 15-17"/>
    <s v="ok"/>
    <n v="2"/>
    <n v="2"/>
    <x v="8"/>
    <n v="1"/>
    <n v="1"/>
    <n v="1"/>
  </r>
  <r>
    <s v="ERSTE BANK HUNGARY Zrt"/>
    <s v="S06079"/>
    <s v="OPT562 1GIG-DVD-UPS-LAN-A6-CEN3(4HIGH)"/>
    <s v="1562RCF01076"/>
    <s v="2510"/>
    <s v="Dorog"/>
    <s v="Eötvös József u. 39."/>
    <s v="ok"/>
    <n v="2"/>
    <n v="2"/>
    <x v="14"/>
    <e v="#N/A"/>
    <n v="0"/>
    <n v="2"/>
  </r>
  <r>
    <s v="ERSTE BANK HUNGARY Zrt"/>
    <s v="S06080"/>
    <s v="Diebold-Opteva 520 ATM Indoor"/>
    <s v="1520FCF00088"/>
    <s v="9022"/>
    <s v="Győr"/>
    <s v="Árpád út 42."/>
    <s v="ok"/>
    <n v="2"/>
    <n v="2"/>
    <x v="19"/>
    <n v="1"/>
    <n v="1"/>
    <n v="1"/>
  </r>
  <r>
    <s v="ERSTE BANK HUNGARY Zrt"/>
    <s v="S06081_ENA"/>
    <s v="Diebold-Opteva 720 ATM Indoor"/>
    <s v="1720FH121358"/>
    <s v="9022"/>
    <s v="Győr"/>
    <s v="Árpád út 42."/>
    <s v="ok"/>
    <n v="2"/>
    <n v="2"/>
    <x v="19"/>
    <n v="1"/>
    <n v="1"/>
    <n v="1"/>
  </r>
  <r>
    <s v="ERSTE BANK HUNGARY Zrt"/>
    <s v="S06082_ENA"/>
    <s v="Diebold-Opteva 720 ATM Indoor"/>
    <s v="1720F3320049"/>
    <s v="9022"/>
    <s v="Győr"/>
    <s v="Árpád út 42."/>
    <s v="ok"/>
    <n v="2"/>
    <n v="2"/>
    <x v="19"/>
    <n v="1"/>
    <n v="1"/>
    <n v="1"/>
  </r>
  <r>
    <s v="ERSTE BANK HUNGARY Zrt"/>
    <s v="S06083"/>
    <s v="OPT562 1GIG-DVD-UPS-LAN-A6-CEN3(4HIGH)"/>
    <s v="1562RH143033"/>
    <s v="9011"/>
    <s v="Győr"/>
    <s v="Egressy Béni út 80."/>
    <s v="ok"/>
    <n v="2"/>
    <n v="2"/>
    <x v="19"/>
    <e v="#N/A"/>
    <n v="0"/>
    <n v="2"/>
  </r>
  <r>
    <s v="ERSTE BANK HUNGARY Zrt"/>
    <s v="S06084_ENA"/>
    <s v="Diebold-Opteva 760 ATM Outdoor"/>
    <s v="1760R3320541"/>
    <s v="8000"/>
    <s v="Székesfehérvár"/>
    <s v="Palotai út 4."/>
    <s v="ok"/>
    <n v="2"/>
    <n v="2"/>
    <x v="4"/>
    <n v="1"/>
    <n v="1"/>
    <n v="1"/>
  </r>
  <r>
    <s v="ERSTE BANK HUNGARY Zrt"/>
    <s v="S08001_ENA"/>
    <s v="Diebold-Opteva 760 ATM Outdoor"/>
    <s v="1760R3320571"/>
    <s v="6720"/>
    <s v="Szeged"/>
    <s v="Széchenyi tér 17."/>
    <s v="ok"/>
    <n v="2"/>
    <n v="2"/>
    <x v="3"/>
    <n v="1"/>
    <n v="1"/>
    <n v="1"/>
  </r>
  <r>
    <s v="ERSTE BANK HUNGARY Zrt"/>
    <s v="S08002"/>
    <s v="OPT562 1GIG-DVD-UPS-LAN-A6-CEN3(4HIGH)"/>
    <s v="1562RH126082"/>
    <s v="6720"/>
    <s v="Szeged"/>
    <s v="Tisza L. krt. 41."/>
    <s v="ok"/>
    <n v="2"/>
    <n v="2"/>
    <x v="3"/>
    <n v="1"/>
    <n v="1"/>
    <n v="1"/>
  </r>
  <r>
    <s v="ERSTE BANK HUNGARY Zrt"/>
    <s v="S08005"/>
    <s v="Diebold-Opteva 562r 3 High-Standard ATM"/>
    <s v="562RRH100420"/>
    <s v="6400"/>
    <s v="Kiskunhalas"/>
    <s v="Kossuth L. u. 27."/>
    <s v="ok"/>
    <n v="2"/>
    <n v="2"/>
    <x v="7"/>
    <n v="1"/>
    <n v="1"/>
    <n v="1"/>
  </r>
  <r>
    <s v="ERSTE BANK HUNGARY Zrt"/>
    <s v="S08012"/>
    <s v="Diebold-Opteva 760 ATM Outdoor"/>
    <s v="1760RH120580"/>
    <s v="6430"/>
    <s v="Bácsalmás"/>
    <s v="Szent János u. 15."/>
    <s v="ok"/>
    <n v="2"/>
    <n v="2"/>
    <x v="7"/>
    <n v="1"/>
    <n v="1"/>
    <n v="1"/>
  </r>
  <r>
    <s v="ERSTE BANK HUNGARY Zrt"/>
    <s v="S08015_ENA"/>
    <s v="Diebold-Opteva 760 ATM Outdoor"/>
    <s v="1760R3320574"/>
    <s v="6720"/>
    <s v="Szeged"/>
    <s v="Széchenyi tér 17."/>
    <s v="ok"/>
    <n v="2"/>
    <n v="2"/>
    <x v="3"/>
    <n v="1"/>
    <n v="1"/>
    <n v="1"/>
  </r>
  <r>
    <s v="ERSTE BANK HUNGARY Zrt"/>
    <s v="S08016"/>
    <s v="Diebold-Opteva 760 ATM Outdoor"/>
    <s v="1760R3320566"/>
    <s v="6721"/>
    <s v="Szeged"/>
    <s v="Fő fasor 16-20."/>
    <s v="ok"/>
    <n v="2"/>
    <n v="2"/>
    <x v="3"/>
    <n v="1"/>
    <n v="1"/>
    <n v="1"/>
  </r>
  <r>
    <s v="ERSTE BANK HUNGARY Zrt"/>
    <s v="S08024"/>
    <s v="Diebold-Opteva 760 ATM Outdoor"/>
    <s v="1760RH120615"/>
    <s v="6500"/>
    <s v="Baja"/>
    <s v="Tóth Kálmán tér 1."/>
    <s v="ok"/>
    <n v="2"/>
    <n v="2"/>
    <x v="12"/>
    <n v="1"/>
    <n v="1"/>
    <n v="1"/>
  </r>
  <r>
    <s v="ERSTE BANK HUNGARY Zrt"/>
    <s v="S08026_ENA"/>
    <s v="Diebold-Opteva 720 ATM Indoor"/>
    <s v="1720FH123710"/>
    <s v="5540"/>
    <s v="Szarvas"/>
    <s v="Szabadság u. 32."/>
    <s v="ok"/>
    <n v="2"/>
    <n v="2"/>
    <x v="11"/>
    <n v="1"/>
    <n v="1"/>
    <n v="1"/>
  </r>
  <r>
    <s v="ERSTE BANK HUNGARY Zrt"/>
    <s v="S08028"/>
    <s v="OPT562 1GIG-DVD-UPS-LAN-A6-CEN3(4HIGH)"/>
    <s v="1562RH143044"/>
    <s v="5630"/>
    <s v="Békés"/>
    <s v="Széchenyi tér 4/2."/>
    <s v="ok"/>
    <n v="2"/>
    <n v="2"/>
    <x v="3"/>
    <n v="1"/>
    <n v="1"/>
    <n v="1"/>
  </r>
  <r>
    <s v="ERSTE BANK HUNGARY Zrt"/>
    <s v="S08032_ENA"/>
    <s v="Diebold-Opteva 720 ATM Indoor"/>
    <s v="1720F3320056"/>
    <s v="5900"/>
    <s v="Orosháza"/>
    <s v="Kossuth L. u. 2."/>
    <s v="ok"/>
    <n v="2"/>
    <n v="2"/>
    <x v="3"/>
    <n v="1"/>
    <n v="1"/>
    <n v="1"/>
  </r>
  <r>
    <s v="ERSTE BANK HUNGARY Zrt"/>
    <s v="S08033_ENA"/>
    <s v="Diebold-Opteva 720 ATM Indoor"/>
    <s v="1720F3320068"/>
    <s v="6400"/>
    <s v="Kiskunhalas"/>
    <s v="Bethlen G. tér 4."/>
    <s v="ok"/>
    <n v="2"/>
    <n v="2"/>
    <x v="7"/>
    <n v="1"/>
    <n v="1"/>
    <n v="1"/>
  </r>
  <r>
    <s v="ERSTE BANK HUNGARY Zrt"/>
    <s v="S08034_ENA"/>
    <s v="Diebold-Opteva 760 ATM Outdoor"/>
    <s v="1760RH120542"/>
    <s v="5600"/>
    <s v="Békéscsaba"/>
    <s v="Andrássy út 20."/>
    <s v="ok"/>
    <n v="2"/>
    <n v="2"/>
    <x v="3"/>
    <n v="1"/>
    <n v="1"/>
    <n v="1"/>
  </r>
  <r>
    <s v="ERSTE BANK HUNGARY Zrt"/>
    <s v="S08035_ENA"/>
    <s v="Diebold-Opteva 720 ATM Indoor"/>
    <s v="1720F3320040"/>
    <s v="6800"/>
    <s v="Hódmezővásárhely"/>
    <s v="Andrássy út 2-4."/>
    <s v="ok"/>
    <n v="2"/>
    <n v="2"/>
    <x v="3"/>
    <n v="2"/>
    <n v="2"/>
    <n v="0"/>
  </r>
  <r>
    <s v="ERSTE BANK HUNGARY Zrt"/>
    <s v="S08036"/>
    <s v="OPT562 1GIG-DVD-UPS-LAN-A6-CEN3(4HIGH)"/>
    <s v="1562RCF01069"/>
    <s v="6900"/>
    <s v="Makó"/>
    <s v="Széchenyi tér 7."/>
    <s v="ok"/>
    <n v="2"/>
    <n v="2"/>
    <x v="3"/>
    <n v="1"/>
    <n v="1"/>
    <n v="1"/>
  </r>
  <r>
    <s v="ERSTE BANK HUNGARY Zrt"/>
    <s v="S08037_ENA"/>
    <s v="Diebold-Opteva 720 ATM Indoor"/>
    <s v="1720F3320048"/>
    <s v="6100"/>
    <s v="Kiskunfélegyháza"/>
    <s v="Mártírok útja 1."/>
    <s v="ok"/>
    <n v="2"/>
    <n v="2"/>
    <x v="11"/>
    <n v="2"/>
    <n v="2"/>
    <n v="0"/>
  </r>
  <r>
    <s v="ERSTE BANK HUNGARY Zrt"/>
    <s v="S08039"/>
    <s v="Diebold-Opteva 520 ATM Indoor"/>
    <s v="1520FH121649"/>
    <s v="5600"/>
    <s v="Békéscsaba"/>
    <s v="Andrássy út 37-43."/>
    <s v="ok"/>
    <n v="2"/>
    <n v="2"/>
    <x v="3"/>
    <n v="1"/>
    <n v="1"/>
    <n v="1"/>
  </r>
  <r>
    <s v="ERSTE BANK HUNGARY Zrt"/>
    <s v="S08040"/>
    <s v="Diebold-Opteva 720 ATM Indoor"/>
    <s v="1720FH121347"/>
    <s v="6725"/>
    <s v="Szeged"/>
    <s v="Szabadkai út 7."/>
    <s v="ok"/>
    <n v="2"/>
    <n v="2"/>
    <x v="3"/>
    <n v="1"/>
    <n v="1"/>
    <n v="1"/>
  </r>
  <r>
    <s v="ERSTE BANK HUNGARY Zrt"/>
    <s v="S08041"/>
    <s v="Diebold-Opteva 760 ATM Outdoor"/>
    <s v="1760RH120940"/>
    <s v="6000"/>
    <s v="Kecskemét"/>
    <s v="Akadémia körút"/>
    <s v="ok"/>
    <n v="2"/>
    <n v="2"/>
    <x v="11"/>
    <n v="1"/>
    <n v="1"/>
    <n v="1"/>
  </r>
  <r>
    <s v="ERSTE BANK HUNGARY Zrt"/>
    <s v="S08042"/>
    <s v="Diebold-Opteva 760 ATM Outdoor"/>
    <s v="1760R3320579"/>
    <s v="6760"/>
    <s v="Kistelek"/>
    <s v="Petőfi u. 4."/>
    <s v="ok"/>
    <n v="2"/>
    <n v="2"/>
    <x v="3"/>
    <n v="1"/>
    <n v="1"/>
    <n v="1"/>
  </r>
  <r>
    <s v="ERSTE BANK HUNGARY Zrt"/>
    <s v="S08043"/>
    <s v="Diebold-Opteva 720 ATM Indoor"/>
    <s v="1720FH121356"/>
    <s v="6000"/>
    <s v="Kecskemét"/>
    <s v="Korona u. 2."/>
    <s v="ok"/>
    <n v="2"/>
    <n v="2"/>
    <x v="11"/>
    <n v="1"/>
    <n v="1"/>
    <n v="1"/>
  </r>
  <r>
    <s v="ERSTE BANK HUNGARY Zrt"/>
    <s v="S08044"/>
    <s v="Diebold-Opteva 720 ATM Indoor"/>
    <s v="1720FH121720"/>
    <s v="6000"/>
    <s v="Kecskemét"/>
    <s v="Talfája 1"/>
    <s v="ok"/>
    <n v="2"/>
    <n v="2"/>
    <x v="11"/>
    <n v="1"/>
    <n v="1"/>
    <n v="1"/>
  </r>
  <r>
    <s v="ERSTE BANK HUNGARY Zrt"/>
    <s v="S08045"/>
    <s v="Diebold-Opteva 720 ATM Indoor"/>
    <s v="1720FH121726"/>
    <s v="6500"/>
    <s v="Baja"/>
    <s v="Gránátos u. 11."/>
    <s v="ok"/>
    <n v="2"/>
    <n v="2"/>
    <x v="12"/>
    <n v="1"/>
    <n v="1"/>
    <n v="1"/>
  </r>
  <r>
    <s v="ERSTE BANK HUNGARY Zrt"/>
    <s v="S08046"/>
    <s v="Diebold-Opteva 520 ATM Indoor"/>
    <s v="1520FH124919"/>
    <s v="5540"/>
    <s v="Szarvas"/>
    <s v="Csabai út 9."/>
    <s v="ok"/>
    <n v="2"/>
    <n v="2"/>
    <x v="11"/>
    <n v="1"/>
    <n v="1"/>
    <n v="1"/>
  </r>
  <r>
    <s v="ERSTE BANK HUNGARY Zrt"/>
    <s v="S08047"/>
    <s v="Diebold-Opteva 720 ATM Indoor"/>
    <s v="1720FH121364"/>
    <s v="6800"/>
    <s v="Hódmezővásárhely"/>
    <s v="Hódtó u. 17-19."/>
    <s v="ok"/>
    <n v="2"/>
    <n v="2"/>
    <x v="3"/>
    <n v="1"/>
    <n v="1"/>
    <n v="1"/>
  </r>
  <r>
    <s v="ERSTE BANK HUNGARY Zrt"/>
    <s v="S08048"/>
    <s v="OPT562 1GIG-DVD-UPS-LAN-A6-CEN3(4HIGH)"/>
    <s v="1562RH127317"/>
    <s v="5820"/>
    <s v="Mezőhegyes"/>
    <s v="Béke park 1."/>
    <s v="ok"/>
    <n v="2"/>
    <n v="2"/>
    <x v="3"/>
    <n v="1"/>
    <n v="1"/>
    <n v="1"/>
  </r>
  <r>
    <s v="ERSTE BANK HUNGARY Zrt"/>
    <s v="S08049"/>
    <s v="OPT562 1GIG-DVD-UPS-LAN-A6-CEN3(4HIGH)"/>
    <s v="1562RH140501"/>
    <s v="6600"/>
    <s v="Szentes"/>
    <s v="Sima F. u. 44."/>
    <s v="ok"/>
    <n v="2"/>
    <n v="2"/>
    <x v="11"/>
    <e v="#N/A"/>
    <n v="0"/>
    <n v="2"/>
  </r>
  <r>
    <s v="ERSTE BANK HUNGARY Zrt"/>
    <s v="S08050"/>
    <s v="OPT562 1GIG-DVD-UPS-LAN-A6-CEN3(4HIGH)"/>
    <s v="1562RH140499"/>
    <s v="5900"/>
    <s v="Orosháza"/>
    <s v="Könd u. 47-49."/>
    <s v="ok"/>
    <n v="2"/>
    <n v="2"/>
    <x v="3"/>
    <n v="1"/>
    <n v="1"/>
    <n v="1"/>
  </r>
  <r>
    <s v="ERSTE BANK HUNGARY Zrt"/>
    <s v="S08051"/>
    <s v="OPT562 1GIG-DVD-UPS-LAN-A6-CEN3(4HIGH)"/>
    <s v="1562RCF01074"/>
    <s v="6722"/>
    <s v="Szeged"/>
    <s v="Rákóczi tér 1."/>
    <s v="ok"/>
    <n v="2"/>
    <n v="2"/>
    <x v="3"/>
    <n v="1"/>
    <n v="1"/>
    <n v="1"/>
  </r>
  <r>
    <s v="ERSTE BANK HUNGARY Zrt"/>
    <s v="S08052"/>
    <s v="Diebold-Opteva 760 ATM Outdoor"/>
    <s v="1760RH121548"/>
    <s v="6726"/>
    <s v="Szeged"/>
    <s v="Torontál tér 1."/>
    <s v="ok"/>
    <n v="2"/>
    <n v="2"/>
    <x v="3"/>
    <n v="1"/>
    <n v="1"/>
    <n v="1"/>
  </r>
  <r>
    <s v="ERSTE BANK HUNGARY Zrt"/>
    <s v="S08053_ENA"/>
    <s v="Diebold-Opteva 760 ATM Outdoor"/>
    <s v="1760RH120533"/>
    <s v="6600"/>
    <s v="Szentes"/>
    <s v="Kossuth Lajos u 14."/>
    <s v="ok"/>
    <n v="2"/>
    <n v="2"/>
    <x v="11"/>
    <e v="#N/A"/>
    <n v="0"/>
    <n v="2"/>
  </r>
  <r>
    <s v="ERSTE BANK HUNGARY Zrt"/>
    <s v="S08054"/>
    <s v="OPT562 1GIG-DVD-UPS-LAN-A6-CEN3(4HIGH)"/>
    <s v="1562RH140528"/>
    <s v="6050"/>
    <s v="Lajosmizse"/>
    <s v="Dózsa György u. 20-22."/>
    <s v="ok"/>
    <n v="2"/>
    <n v="2"/>
    <x v="15"/>
    <e v="#N/A"/>
    <n v="0"/>
    <n v="2"/>
  </r>
  <r>
    <s v="ERSTE BANK HUNGARY Zrt"/>
    <s v="S08055"/>
    <s v="OPT562 1GIG-DVD-UPS-LAN-A6-CEN3(4HIGH)"/>
    <s v="1562RH140529"/>
    <s v="5650"/>
    <s v="Mezőberény"/>
    <s v="Kossuth tér 2."/>
    <s v="ok"/>
    <n v="2"/>
    <n v="2"/>
    <x v="11"/>
    <e v="#N/A"/>
    <n v="0"/>
    <n v="2"/>
  </r>
  <r>
    <s v="ERSTE BANK HUNGARY Zrt"/>
    <s v="S08056"/>
    <s v="OPT562 1GIG-DVD-UPS-LAN-A6-CEN3(4HIGH)"/>
    <s v="1562RH143046"/>
    <s v="5520"/>
    <s v="Szeghalom"/>
    <s v="Ady E. u. 10-12."/>
    <s v="ok"/>
    <n v="2"/>
    <n v="2"/>
    <x v="16"/>
    <e v="#N/A"/>
    <n v="0"/>
    <n v="2"/>
  </r>
  <r>
    <s v="ERSTE BANK HUNGARY Zrt"/>
    <s v="S08057"/>
    <s v="OPT562 1GIG-DVD-UPS-LAN-A6-CEN3(4HIGH)"/>
    <s v="1562RH143047"/>
    <s v="6060"/>
    <s v="Tiszakécske"/>
    <s v="Szolnoki út 8."/>
    <s v="ok"/>
    <n v="2"/>
    <n v="2"/>
    <x v="11"/>
    <n v="1"/>
    <n v="1"/>
    <n v="1"/>
  </r>
  <r>
    <s v="ERSTE BANK HUNGARY Zrt"/>
    <s v="S08058"/>
    <s v="Diebold-Opteva 720 ATM Indoor"/>
    <s v="1720FH120245"/>
    <s v="6800"/>
    <s v="Hódmezővásárhely"/>
    <s v="Kossuth tér 1."/>
    <s v="ok"/>
    <n v="2"/>
    <n v="2"/>
    <x v="3"/>
    <n v="1"/>
    <n v="1"/>
    <n v="1"/>
  </r>
  <r>
    <s v="ERSTE BANK HUNGARY Zrt"/>
    <s v="S08059_ENA"/>
    <s v="Diebold-Opteva 760 ATM Outdoor"/>
    <s v="1760RH120527"/>
    <s v="6300"/>
    <s v="Kalocsa"/>
    <s v="Szent István király u. 37."/>
    <s v="ok"/>
    <n v="2"/>
    <n v="2"/>
    <x v="7"/>
    <n v="1"/>
    <n v="1"/>
    <n v="1"/>
  </r>
  <r>
    <s v="ERSTE BANK HUNGARY Zrt"/>
    <s v="S08062"/>
    <s v="Diebold-Opteva 520 ATM Indoor"/>
    <s v="1520FCF00239"/>
    <s v="5600"/>
    <s v="Békéscsaba"/>
    <s v="Szarvasi út 68."/>
    <s v="ok"/>
    <n v="2"/>
    <n v="2"/>
    <x v="3"/>
    <n v="1"/>
    <n v="1"/>
    <n v="1"/>
  </r>
  <r>
    <s v="ERSTE BANK HUNGARY Zrt"/>
    <s v="S08063"/>
    <s v="Diebold-Opteva 520 ATM Indoor"/>
    <s v="1520FCF00232"/>
    <s v="6000"/>
    <s v="Kecskemét"/>
    <s v="Kisfaludy u. 6."/>
    <s v="ok"/>
    <n v="2"/>
    <n v="1"/>
    <x v="11"/>
    <n v="1"/>
    <n v="1"/>
    <n v="0"/>
  </r>
  <r>
    <s v="ERSTE BANK HUNGARY Zrt"/>
    <s v="S08064"/>
    <s v="Diebold-Opteva 520 ATM Indoor"/>
    <s v="1520FH120094"/>
    <s v="6000"/>
    <s v="Kecskemét"/>
    <s v="Kisfaludy u. 6."/>
    <s v="ok"/>
    <n v="2"/>
    <n v="2"/>
    <x v="11"/>
    <n v="1"/>
    <n v="1"/>
    <n v="1"/>
  </r>
  <r>
    <s v="ERSTE BANK HUNGARY Zrt"/>
    <s v="S08065_ENA"/>
    <s v="Diebold-Opteva 720 ATM Indoor"/>
    <s v="1720F3320051"/>
    <s v="6000"/>
    <s v="Kecskemét"/>
    <s v="Kisfaludy u. 6."/>
    <s v="ok"/>
    <n v="2"/>
    <n v="2"/>
    <x v="11"/>
    <n v="1"/>
    <n v="1"/>
    <n v="1"/>
  </r>
  <r>
    <s v="ERSTE BANK HUNGARY Zrt"/>
    <s v="S08066_ENA"/>
    <s v="Diebold-Opteva 720 ATM Indoor"/>
    <s v="1720FH121357"/>
    <s v="6000"/>
    <s v="Kecskemét"/>
    <s v="Kisfaludy u. 6."/>
    <s v="ok"/>
    <n v="2"/>
    <n v="1"/>
    <x v="11"/>
    <n v="1"/>
    <n v="1"/>
    <n v="0"/>
  </r>
  <r>
    <s v="ERSTE BANK HUNGARY Zrt"/>
    <s v="S08067"/>
    <s v="OPT562 1GIG-DVD-UPS-LAN-A6-CEN3(4HIGH)"/>
    <s v="1562RH159050"/>
    <s v="6723"/>
    <s v="Szeged"/>
    <s v="Tápai u. 50."/>
    <s v="ok"/>
    <e v="#N/A"/>
    <e v="#N/A"/>
    <x v="18"/>
    <e v="#N/A"/>
    <n v="0"/>
    <e v="#N/A"/>
  </r>
  <r>
    <s v="ERSTE BANK HUNGARY Zrt"/>
    <s v="S09100"/>
    <s v="Diebold-Opteva 520 ATM Indoor"/>
    <s v="1520FCF00925"/>
    <s v="1117"/>
    <s v="Budapest"/>
    <s v="Magyar tudósok körútja 2."/>
    <s v="ok"/>
    <n v="2"/>
    <n v="2"/>
    <x v="17"/>
    <n v="1"/>
    <n v="1"/>
    <n v="1"/>
  </r>
  <r>
    <s v="ERSTE BANK HUNGARY Zrt"/>
    <s v="S09108_ENA"/>
    <s v="Diebold-Opteva 760 ATM Outdoor"/>
    <s v="1760R3320531"/>
    <s v="1111"/>
    <s v="Budapest"/>
    <s v="Egry József u. 2."/>
    <s v="ok"/>
    <n v="2"/>
    <n v="2"/>
    <x v="17"/>
    <n v="1"/>
    <n v="1"/>
    <n v="1"/>
  </r>
  <r>
    <s v="ERSTE BANK HUNGARY Zrt"/>
    <s v="S09109_IDMBD_ENA"/>
    <s v="Diebold-Opteva 760 ATM Outdoor"/>
    <s v="1760R3320548"/>
    <s v="1023"/>
    <s v="Budapest"/>
    <s v="Margit krt. 87-89."/>
    <s v="ok"/>
    <n v="2"/>
    <n v="2"/>
    <x v="0"/>
    <e v="#N/A"/>
    <n v="0"/>
    <n v="2"/>
  </r>
  <r>
    <s v="ERSTE BANK HUNGARY Zrt"/>
    <s v="S09110_ENA"/>
    <s v="Diebold-Opteva 760 ATM Outdoor"/>
    <s v="1760R3320588"/>
    <s v="1073"/>
    <s v="Budapest"/>
    <s v="Erzsébet krt. 8."/>
    <s v="ok"/>
    <n v="2"/>
    <n v="2"/>
    <x v="13"/>
    <n v="1"/>
    <n v="1"/>
    <n v="1"/>
  </r>
  <r>
    <s v="ERSTE BANK HUNGARY Zrt"/>
    <s v="S09112_ENA"/>
    <s v="Diebold-Opteva 760 ATM Outdoor"/>
    <s v="1760RH125411"/>
    <s v="1082"/>
    <s v="Budapest"/>
    <s v="Baross u. 1."/>
    <s v="ok"/>
    <n v="2"/>
    <n v="2"/>
    <x v="13"/>
    <n v="1"/>
    <n v="1"/>
    <n v="1"/>
  </r>
  <r>
    <s v="ERSTE BANK HUNGARY Zrt"/>
    <s v="S09115_ENA"/>
    <s v="Diebold-Opteva 720 ATM Indoor"/>
    <s v="1720FH120186"/>
    <s v="1149"/>
    <s v="Budapest"/>
    <s v="Gizella u. 59."/>
    <s v="ok"/>
    <n v="2"/>
    <n v="2"/>
    <x v="14"/>
    <e v="#N/A"/>
    <n v="0"/>
    <n v="2"/>
  </r>
  <r>
    <s v="ERSTE BANK HUNGARY Zrt"/>
    <s v="S09116"/>
    <s v="OPT562 1GIG-DVD-UPS-LAN-A6-CEN3(4HIGH)"/>
    <s v="1562RCF01075"/>
    <s v="1106"/>
    <s v="Budapest"/>
    <s v="Örs Vezér tere 25."/>
    <s v="ok"/>
    <n v="2"/>
    <n v="2"/>
    <x v="17"/>
    <n v="1"/>
    <n v="1"/>
    <n v="1"/>
  </r>
  <r>
    <s v="ERSTE BANK HUNGARY Zrt"/>
    <s v="S09120_ENA"/>
    <s v="Diebold-Opteva 720 ATM Indoor"/>
    <s v="1720FH120193"/>
    <s v="1203"/>
    <s v="Budapest"/>
    <s v="Kossuth Lajos u. 21-29 ."/>
    <s v="ok"/>
    <n v="2"/>
    <n v="2"/>
    <x v="15"/>
    <n v="1"/>
    <n v="1"/>
    <n v="1"/>
  </r>
  <r>
    <s v="ERSTE BANK HUNGARY Zrt"/>
    <s v="S09121_ENA"/>
    <s v="Diebold-Opteva 760 ATM Outdoor"/>
    <s v="1760R3320565"/>
    <s v="1011"/>
    <s v="Budapest"/>
    <s v="Krisztina tér 2."/>
    <s v="ok"/>
    <n v="2"/>
    <n v="2"/>
    <x v="13"/>
    <e v="#N/A"/>
    <n v="0"/>
    <n v="2"/>
  </r>
  <r>
    <s v="ERSTE BANK HUNGARY Zrt"/>
    <s v="S09123_ENA"/>
    <s v="Diebold-Opteva 760 ATM Outdoor"/>
    <s v="1760R3320532"/>
    <s v="1102"/>
    <s v="Budapest"/>
    <s v="Kőrösi Csoma sétány 9/b"/>
    <s v="ok"/>
    <n v="2"/>
    <n v="2"/>
    <x v="17"/>
    <n v="1"/>
    <n v="1"/>
    <n v="1"/>
  </r>
  <r>
    <s v="ERSTE BANK HUNGARY Zrt"/>
    <s v="S09125"/>
    <s v="Diebold-Opteva 520 ATM Indoor"/>
    <s v="1520FCF00565"/>
    <s v="1033"/>
    <s v="Budapest"/>
    <s v="Flórián tér 3."/>
    <s v="ok"/>
    <n v="2"/>
    <n v="2"/>
    <x v="0"/>
    <n v="1"/>
    <n v="1"/>
    <n v="1"/>
  </r>
  <r>
    <s v="ERSTE BANK HUNGARY Zrt"/>
    <s v="S09127"/>
    <s v="Diebold-Opteva 520 ATM Indoor"/>
    <s v="1520FCF00924"/>
    <s v="1024"/>
    <s v="Budapest"/>
    <s v="Margit krt. 87-89."/>
    <s v="ok"/>
    <n v="2"/>
    <n v="2"/>
    <x v="0"/>
    <e v="#N/A"/>
    <n v="0"/>
    <n v="2"/>
  </r>
  <r>
    <s v="ERSTE BANK HUNGARY Zrt"/>
    <s v="S09128"/>
    <s v="Diebold-Opteva 520 ATM Indoor"/>
    <s v="1520FCF00228"/>
    <s v="1111"/>
    <s v="Budapest"/>
    <s v="Műegyetem rakpart 3."/>
    <s v="ok"/>
    <n v="2"/>
    <n v="2"/>
    <x v="17"/>
    <n v="1"/>
    <n v="1"/>
    <n v="1"/>
  </r>
  <r>
    <s v="ERSTE BANK HUNGARY Zrt"/>
    <s v="S09130"/>
    <s v="Diebold-Opteva 522 Lobby Cash Dispenser"/>
    <s v="1522FH106947"/>
    <s v="1052"/>
    <s v="Budapest"/>
    <s v="Apáczai Csere János u. 4."/>
    <s v="ok"/>
    <n v="2"/>
    <n v="2"/>
    <x v="13"/>
    <e v="#N/A"/>
    <n v="0"/>
    <n v="2"/>
  </r>
  <r>
    <s v="ERSTE BANK HUNGARY Zrt"/>
    <s v="S09131_ENA"/>
    <s v="Diebold-Opteva 720 ATM Indoor"/>
    <s v="1720FH120194"/>
    <s v="1222"/>
    <s v="Budapest"/>
    <s v="Nagytétényi út 37-43."/>
    <s v="ok"/>
    <n v="2"/>
    <n v="2"/>
    <x v="17"/>
    <n v="1"/>
    <n v="1"/>
    <n v="1"/>
  </r>
  <r>
    <s v="ERSTE BANK HUNGARY Zrt"/>
    <s v="S09134_ENA"/>
    <s v="Diebold-Opteva 720 ATM Indoor"/>
    <s v="1720FH120243"/>
    <s v="1114"/>
    <s v="Budapest"/>
    <s v="Bartók Béla út 43-47."/>
    <s v="ok"/>
    <n v="2"/>
    <n v="2"/>
    <x v="17"/>
    <n v="1"/>
    <n v="1"/>
    <n v="1"/>
  </r>
  <r>
    <s v="ERSTE BANK HUNGARY Zrt"/>
    <s v="S09135_ENA"/>
    <s v="Diebold-Opteva 720 ATM Indoor"/>
    <s v="1720FH121911"/>
    <s v="2000"/>
    <s v="Szentendre"/>
    <s v="Duna korzó 18."/>
    <s v="ok"/>
    <n v="2"/>
    <n v="2"/>
    <x v="14"/>
    <n v="1"/>
    <n v="1"/>
    <n v="1"/>
  </r>
  <r>
    <s v="ERSTE BANK HUNGARY Zrt"/>
    <s v="S09137"/>
    <s v="Diebold-Opteva 520 ATM Indoor"/>
    <s v="1562RH127315"/>
    <s v="2100"/>
    <s v="Gödöllő"/>
    <s v="Szabadság tér 14."/>
    <s v="ok"/>
    <n v="2"/>
    <n v="2"/>
    <x v="10"/>
    <n v="1"/>
    <n v="1"/>
    <n v="1"/>
  </r>
  <r>
    <s v="ERSTE BANK HUNGARY Zrt"/>
    <s v="S09201"/>
    <s v="OPT562 1GIG-DVD-UPS-LAN-A6-CEN3(4HIGH)"/>
    <s v="1562RCF01071"/>
    <s v="7622"/>
    <s v="Pécs"/>
    <s v="Bajcsy-Zsilinszky u. 11."/>
    <s v="ok"/>
    <n v="2"/>
    <n v="2"/>
    <x v="12"/>
    <e v="#N/A"/>
    <n v="0"/>
    <n v="2"/>
  </r>
  <r>
    <s v="ERSTE BANK HUNGARY Zrt"/>
    <s v="S09203_ENA"/>
    <s v="Diebold-Opteva 720 ATM Indoor"/>
    <s v="1720FH121915"/>
    <s v="7621"/>
    <s v="Pécs"/>
    <s v="Rákóczi út 60."/>
    <s v="ok"/>
    <n v="2"/>
    <n v="2"/>
    <x v="12"/>
    <n v="1"/>
    <n v="1"/>
    <n v="1"/>
  </r>
  <r>
    <s v="ERSTE BANK HUNGARY Zrt"/>
    <s v="S09206"/>
    <s v="Diebold-Opteva 760 ATM Outdoor"/>
    <s v="1760RH120938"/>
    <s v="7400"/>
    <s v="Kaposvár"/>
    <s v="Guba S. u. 38."/>
    <s v="ok"/>
    <n v="2"/>
    <n v="2"/>
    <x v="12"/>
    <n v="1"/>
    <n v="1"/>
    <n v="1"/>
  </r>
  <r>
    <s v="ERSTE BANK HUNGARY Zrt"/>
    <s v="S09208"/>
    <s v="Diebold-Opteva 760 ATM Outdoor"/>
    <s v="1760RH120528"/>
    <s v="8800"/>
    <s v="Nagykanizsa"/>
    <s v="Szekeres J. u. 2-8."/>
    <s v="ok"/>
    <n v="2"/>
    <n v="2"/>
    <x v="9"/>
    <n v="1"/>
    <n v="1"/>
    <n v="1"/>
  </r>
  <r>
    <s v="ERSTE BANK HUNGARY Zrt"/>
    <s v="S09210"/>
    <s v="Diebold-Opteva 760 ATM Outdoor"/>
    <s v="1760RH120536"/>
    <s v="8600"/>
    <s v="Siófok"/>
    <s v="Fő tér 1."/>
    <s v="ok"/>
    <n v="2"/>
    <n v="2"/>
    <x v="4"/>
    <n v="1"/>
    <n v="1"/>
    <n v="1"/>
  </r>
  <r>
    <s v="ERSTE BANK HUNGARY Zrt"/>
    <s v="S09211_ENA"/>
    <s v="Diebold-Opteva 760 ATM Outdoor"/>
    <s v="1760R3320547"/>
    <s v="8600"/>
    <s v="Siófok"/>
    <s v="Fő utca 172."/>
    <s v="ok"/>
    <n v="2"/>
    <n v="2"/>
    <x v="4"/>
    <n v="1"/>
    <n v="1"/>
    <n v="1"/>
  </r>
  <r>
    <s v="ERSTE BANK HUNGARY Zrt"/>
    <s v="S09215"/>
    <s v="Diebold-Opteva 760 ATM Outdoor"/>
    <s v="1760RH120612"/>
    <s v="8360"/>
    <s v="Keszthely"/>
    <s v="Erzsébet Királyné útja 23."/>
    <s v="ok"/>
    <n v="2"/>
    <n v="2"/>
    <x v="9"/>
    <n v="1"/>
    <n v="1"/>
    <n v="1"/>
  </r>
  <r>
    <s v="ERSTE BANK HUNGARY Zrt"/>
    <s v="S09218"/>
    <s v="Diebold-Opteva 720 ATM Indoor"/>
    <s v="1720FH120190"/>
    <s v="8372"/>
    <s v="Cserszegtomaj"/>
    <s v="Hévizi út 1."/>
    <s v="ok"/>
    <n v="2"/>
    <n v="2"/>
    <x v="9"/>
    <n v="1"/>
    <n v="1"/>
    <n v="1"/>
  </r>
  <r>
    <s v="ERSTE BANK HUNGARY Zrt"/>
    <s v="S09221_ENA"/>
    <s v="Diebold-Opteva 720 ATM Indoor"/>
    <s v="1720FH121353"/>
    <s v="7200"/>
    <s v="Dombóvár"/>
    <s v="Hunyadi tér 19-21."/>
    <s v="ok"/>
    <n v="2"/>
    <n v="2"/>
    <x v="12"/>
    <n v="1"/>
    <n v="1"/>
    <n v="1"/>
  </r>
  <r>
    <s v="ERSTE BANK HUNGARY Zrt"/>
    <s v="S09224_ENA"/>
    <s v="Diebold-Opteva 720 ATM Indoor"/>
    <s v="1720FH123704"/>
    <s v="9970"/>
    <s v="Szentgotthárd"/>
    <s v="Széchenyi u. 2."/>
    <s v="ok"/>
    <n v="2"/>
    <n v="2"/>
    <x v="8"/>
    <e v="#N/A"/>
    <n v="0"/>
    <n v="2"/>
  </r>
  <r>
    <s v="ERSTE BANK HUNGARY Zrt"/>
    <s v="S09225_ENA"/>
    <s v="Diebold-Opteva 720 ATM Indoor"/>
    <s v="1720FH120195"/>
    <s v="7100"/>
    <s v="Szekszárd"/>
    <s v="Széchenyi u. 40."/>
    <s v="ok"/>
    <n v="2"/>
    <n v="2"/>
    <x v="7"/>
    <n v="1"/>
    <n v="1"/>
    <n v="1"/>
  </r>
  <r>
    <s v="ERSTE BANK HUNGARY Zrt"/>
    <s v="S09301"/>
    <s v="Diebold-Opteva 720 ATM Indoor"/>
    <s v="1720F3320055"/>
    <s v="4032"/>
    <s v="Debrecen"/>
    <s v="Nagyerdei krt. 98."/>
    <s v="ok"/>
    <n v="2"/>
    <n v="2"/>
    <x v="16"/>
    <n v="1"/>
    <n v="1"/>
    <n v="1"/>
  </r>
  <r>
    <s v="ERSTE BANK HUNGARY Zrt"/>
    <s v="S09304"/>
    <s v="Diebold-Opteva 720 ATM Indoor"/>
    <s v="1720FH120188"/>
    <s v="4031"/>
    <s v="Debrecen"/>
    <s v="Bartók Béla u. 2-26."/>
    <s v="ok"/>
    <n v="2"/>
    <n v="2"/>
    <x v="16"/>
    <n v="1"/>
    <n v="1"/>
    <n v="1"/>
  </r>
  <r>
    <s v="ERSTE BANK HUNGARY Zrt"/>
    <s v="S09308"/>
    <s v="Diebold-Opteva 760 ATM Outdoor"/>
    <s v="1760R3320533"/>
    <s v="4032"/>
    <s v="Debrecen"/>
    <s v="Böszörményi út 140."/>
    <s v="ok"/>
    <n v="2"/>
    <n v="2"/>
    <x v="16"/>
    <n v="1"/>
    <n v="1"/>
    <n v="1"/>
  </r>
  <r>
    <s v="ERSTE BANK HUNGARY Zrt"/>
    <s v="S09309"/>
    <s v="Diebold-Opteva 760 ATM Outdoor"/>
    <s v="1760R3320545"/>
    <s v="4026"/>
    <s v="Debrecen"/>
    <s v="Darabos u. 9-11."/>
    <s v="ok"/>
    <n v="2"/>
    <n v="2"/>
    <x v="16"/>
    <n v="1"/>
    <n v="1"/>
    <n v="1"/>
  </r>
  <r>
    <s v="ERSTE BANK HUNGARY Zrt"/>
    <s v="S09310"/>
    <s v="Diebold-Opteva 520 ATM Indoor"/>
    <s v="1520FCF00913"/>
    <s v="4032"/>
    <s v="Debrecen"/>
    <s v="Egyetem tér 1."/>
    <s v="ok"/>
    <n v="2"/>
    <n v="2"/>
    <x v="16"/>
    <n v="1"/>
    <n v="1"/>
    <n v="1"/>
  </r>
  <r>
    <s v="ERSTE BANK HUNGARY Zrt"/>
    <s v="S09312_ENA"/>
    <s v="Diebold-Opteva 720 ATM Indoor"/>
    <s v="1720FH121355"/>
    <s v="4032"/>
    <s v="Debrecen"/>
    <s v="Egyetem tér 1."/>
    <s v="ok"/>
    <n v="2"/>
    <n v="2"/>
    <x v="16"/>
    <n v="1"/>
    <n v="1"/>
    <n v="1"/>
  </r>
  <r>
    <s v="ERSTE BANK HUNGARY Zrt"/>
    <s v="S09316"/>
    <s v="Diebold-Opteva 760 ATM Outdoor"/>
    <s v="1760RH120934"/>
    <s v="5000"/>
    <s v="Szolnok"/>
    <s v="Baross u.53."/>
    <s v="ok"/>
    <n v="2"/>
    <n v="2"/>
    <x v="11"/>
    <n v="1"/>
    <n v="1"/>
    <n v="1"/>
  </r>
  <r>
    <s v="ERSTE BANK HUNGARY Zrt"/>
    <s v="S09319"/>
    <s v="Diebold-Opteva 760 ATM Outdoor"/>
    <s v="1760R3320560"/>
    <s v="5420"/>
    <s v="Túrkeve"/>
    <s v="Széchenyi u. 8."/>
    <s v="ok"/>
    <n v="2"/>
    <n v="2"/>
    <x v="11"/>
    <e v="#N/A"/>
    <n v="0"/>
    <n v="2"/>
  </r>
  <r>
    <s v="ERSTE BANK HUNGARY Zrt"/>
    <s v="S09320_ENA"/>
    <s v="Diebold-Opteva 720 ATM Indoor"/>
    <s v="1720FH120181"/>
    <s v="2701"/>
    <s v="Cegléd"/>
    <s v="Népkör utca 2."/>
    <s v="ok"/>
    <n v="2"/>
    <n v="2"/>
    <x v="6"/>
    <n v="1"/>
    <n v="1"/>
    <n v="1"/>
  </r>
  <r>
    <s v="ERSTE BANK HUNGARY Zrt"/>
    <s v="S09402"/>
    <s v="OPT562 1GIG-DVD-UPS-LAN-A6-CEN3(4HIGH)"/>
    <s v="1562RH126086"/>
    <s v="3515"/>
    <s v="Miskolc"/>
    <s v="Egyetemváros A/2."/>
    <s v="ok"/>
    <n v="2"/>
    <n v="2"/>
    <x v="2"/>
    <n v="1"/>
    <n v="1"/>
    <n v="1"/>
  </r>
  <r>
    <s v="ERSTE BANK HUNGARY Zrt"/>
    <s v="S09405"/>
    <s v="Diebold-Opteva 760 ATM Outdoor"/>
    <s v="1760R3320556"/>
    <s v="3300"/>
    <s v="Eger"/>
    <s v="Eszterházy tér 2."/>
    <s v="ok"/>
    <n v="2"/>
    <n v="2"/>
    <x v="2"/>
    <e v="#N/A"/>
    <n v="0"/>
    <n v="2"/>
  </r>
  <r>
    <s v="ERSTE BANK HUNGARY Zrt"/>
    <s v="S09408_ENA"/>
    <s v="Diebold-Opteva 760 ATM Outdoor"/>
    <s v="1760RH120613"/>
    <s v="3100"/>
    <s v="Salgótarján"/>
    <s v="Erzsébet tér 5."/>
    <s v="ok"/>
    <n v="2"/>
    <n v="2"/>
    <x v="10"/>
    <n v="1"/>
    <n v="1"/>
    <n v="1"/>
  </r>
  <r>
    <s v="ERSTE BANK HUNGARY Zrt"/>
    <s v="S09409_ENA"/>
    <s v="Diebold-Opteva 720 ATM Indoor"/>
    <s v="1720FH123706"/>
    <s v="3400"/>
    <s v="Mezőkövesd"/>
    <s v="Mátyás király út 129."/>
    <s v="ok"/>
    <n v="2"/>
    <n v="2"/>
    <x v="2"/>
    <n v="1"/>
    <n v="1"/>
    <n v="1"/>
  </r>
  <r>
    <s v="ERSTE BANK HUNGARY Zrt"/>
    <s v="S09411"/>
    <s v="Diebold-Opteva 520 ATM Indoor"/>
    <s v="1520FCF00233"/>
    <s v="3980"/>
    <s v="Sátoraljaújhely"/>
    <s v="Széchenyi tér 3."/>
    <s v="ok"/>
    <n v="2"/>
    <n v="2"/>
    <x v="1"/>
    <n v="1"/>
    <n v="1"/>
    <n v="1"/>
  </r>
  <r>
    <s v="ERSTE BANK HUNGARY Zrt"/>
    <s v="S09412_ENA"/>
    <s v="Diebold-Opteva 760 ATM Outdoor"/>
    <s v="1760R3320563"/>
    <s v="3537"/>
    <s v="Miskolc"/>
    <s v="Bajcsy-Zs. út 1-3."/>
    <s v="ok"/>
    <n v="2"/>
    <n v="2"/>
    <x v="2"/>
    <n v="1"/>
    <n v="1"/>
    <n v="1"/>
  </r>
  <r>
    <s v="ERSTE BANK HUNGARY Zrt"/>
    <s v="S09600"/>
    <s v="OPT562 1GIG-DVD-UPS-LAN-A6-CEN3(4HIGH)"/>
    <s v="1562RH127306"/>
    <s v="9026"/>
    <s v="Győr"/>
    <s v="Egyetem tér 1."/>
    <s v="ok"/>
    <n v="2"/>
    <n v="2"/>
    <x v="19"/>
    <e v="#N/A"/>
    <n v="0"/>
    <n v="2"/>
  </r>
  <r>
    <s v="ERSTE BANK HUNGARY Zrt"/>
    <s v="S09602_ENA"/>
    <s v="Diebold-Opteva 760 ATM Outdoor"/>
    <s v="1760R3320592"/>
    <s v="9400"/>
    <s v="Sopron"/>
    <s v="Előkapu u. 2-4"/>
    <s v="ok"/>
    <n v="2"/>
    <n v="2"/>
    <x v="8"/>
    <n v="1"/>
    <n v="1"/>
    <n v="1"/>
  </r>
  <r>
    <s v="ERSTE BANK HUNGARY Zrt"/>
    <s v="S09603_ENA"/>
    <s v="Diebold-Opteva 760 ATM Outdoor"/>
    <s v="1760RH120933"/>
    <s v="8000"/>
    <s v="Székesfehérvár"/>
    <s v="Palotai út 4."/>
    <s v="ok"/>
    <n v="2"/>
    <n v="2"/>
    <x v="4"/>
    <n v="2"/>
    <n v="2"/>
    <n v="0"/>
  </r>
  <r>
    <s v="ERSTE BANK HUNGARY Zrt"/>
    <s v="S09604"/>
    <s v="OPT562 1GIG-DVD-UPS-LAN-A6-CEN3(4HIGH)"/>
    <s v="1562RH127308"/>
    <s v="9700"/>
    <s v="Szombathely"/>
    <s v="Puskás T. u. 5."/>
    <s v="ok"/>
    <n v="2"/>
    <n v="2"/>
    <x v="8"/>
    <n v="1"/>
    <n v="1"/>
    <n v="1"/>
  </r>
  <r>
    <s v="ERSTE BANK HUNGARY Zrt"/>
    <s v="S09606_ENA"/>
    <s v="Diebold-Opteva 720 ATM Indoor"/>
    <s v="1720FH120200"/>
    <s v="2800"/>
    <s v="Tatabánya"/>
    <s v="Fő tér 20."/>
    <s v="ok"/>
    <n v="2"/>
    <n v="2"/>
    <x v="19"/>
    <n v="1"/>
    <n v="1"/>
    <n v="1"/>
  </r>
  <r>
    <s v="ERSTE BANK HUNGARY Zrt"/>
    <s v="S09607_ENA"/>
    <s v="Diebold-Opteva 760 ATM Outdoor"/>
    <s v="1760RH120931"/>
    <s v="2890"/>
    <s v="Tata"/>
    <s v="Országgyűlés tér 3."/>
    <s v="ok"/>
    <n v="2"/>
    <n v="2"/>
    <x v="19"/>
    <e v="#N/A"/>
    <n v="0"/>
    <n v="2"/>
  </r>
  <r>
    <s v="ERSTE BANK HUNGARY Zrt"/>
    <s v="S09611"/>
    <s v="Diebold-Opteva 760 ATM Outdoor"/>
    <s v="1760RH120609"/>
    <s v="8438"/>
    <s v="Veszprémvarsány"/>
    <s v="Könyves Kálmán u. 2."/>
    <s v="ok"/>
    <n v="2"/>
    <n v="2"/>
    <x v="4"/>
    <n v="1"/>
    <n v="1"/>
    <n v="1"/>
  </r>
  <r>
    <s v="ERSTE BANK HUNGARY Zrt"/>
    <s v="S09613"/>
    <s v="Diebold-Opteva 760 ATM Outdoor"/>
    <s v="1760R3320567"/>
    <s v="8060"/>
    <s v="Mór"/>
    <s v="Nemes u. (MOL kút 81.sz. út)"/>
    <s v="ok"/>
    <n v="2"/>
    <n v="2"/>
    <x v="4"/>
    <n v="1"/>
    <n v="1"/>
    <n v="1"/>
  </r>
  <r>
    <s v="ERSTE BANK HUNGARY Zrt"/>
    <s v="S09614_ENA"/>
    <s v="Diebold-Opteva 720 ATM Indoor"/>
    <s v="1720F3320061"/>
    <s v="8060"/>
    <s v="Mór"/>
    <s v="Köztársaság tér 1."/>
    <s v="ok"/>
    <n v="2"/>
    <n v="2"/>
    <x v="4"/>
    <n v="1"/>
    <n v="1"/>
    <n v="1"/>
  </r>
  <r>
    <s v="ERSTE BANK HUNGARY Zrt"/>
    <s v="S09615"/>
    <s v="Diebold-Opteva 760 ATM Outdoor"/>
    <s v="1760R3320582"/>
    <s v="8500"/>
    <s v="Pápa"/>
    <s v="Kisfaludy u. 1."/>
    <s v="ok"/>
    <n v="2"/>
    <n v="2"/>
    <x v="8"/>
    <n v="1"/>
    <n v="1"/>
    <n v="1"/>
  </r>
  <r>
    <s v="ERSTE BANK HUNGARY Zrt"/>
    <s v="S09616_ENA"/>
    <s v="Diebold-Opteva 720 ATM Indoor"/>
    <s v="1720F3320066"/>
    <s v="8500"/>
    <s v="Pápa"/>
    <s v="Fő tér 25-26."/>
    <s v="ok"/>
    <n v="2"/>
    <n v="2"/>
    <x v="8"/>
    <n v="1"/>
    <n v="1"/>
    <n v="1"/>
  </r>
  <r>
    <s v="ERSTE BANK HUNGARY Zrt"/>
    <s v="S09617"/>
    <s v="Diebold-Opteva 520 ATM Indoor"/>
    <s v="1520FCF00911"/>
    <s v="8500"/>
    <s v="Pápa"/>
    <s v="Kisfaludy Károly utca 2."/>
    <s v="ok"/>
    <n v="2"/>
    <n v="2"/>
    <x v="8"/>
    <n v="1"/>
    <n v="1"/>
    <n v="1"/>
  </r>
  <r>
    <s v="ERSTE BANK HUNGARY Zrt"/>
    <s v="S09620_ENA"/>
    <s v="Diebold-Opteva 760 ATM Outdoor"/>
    <s v="1760RH120555"/>
    <s v="9730"/>
    <s v="Kőszeg"/>
    <s v="Rákóczi u. 1."/>
    <s v="ok"/>
    <n v="2"/>
    <n v="2"/>
    <x v="8"/>
    <n v="1"/>
    <n v="1"/>
    <n v="1"/>
  </r>
  <r>
    <s v="ERSTE BANK HUNGARY Zrt"/>
    <s v="S09621_ENA"/>
    <s v="Diebold-Opteva 720 ATM Indoor"/>
    <s v="1720FH123711"/>
    <s v="9300"/>
    <s v="Csorna"/>
    <s v="Szent István tér 29."/>
    <s v="ok"/>
    <n v="2"/>
    <n v="2"/>
    <x v="8"/>
    <n v="1"/>
    <n v="1"/>
    <n v="1"/>
  </r>
  <r>
    <s v="ERSTE BANK HUNGARY Zrt"/>
    <s v="S09800"/>
    <s v="Diebold-Opteva 720 ATM Indoor"/>
    <s v="1720F3320057"/>
    <s v="6725"/>
    <s v="Szeged"/>
    <s v="Tisza L. krtl. 107."/>
    <s v="ok"/>
    <n v="2"/>
    <n v="2"/>
    <x v="3"/>
    <n v="1"/>
    <n v="1"/>
    <n v="1"/>
  </r>
  <r>
    <s v="ERSTE BANK HUNGARY Zrt"/>
    <s v="S09802"/>
    <s v="Diebold-Opteva 720 ATM Indoor"/>
    <s v="1720F3320059"/>
    <s v="6722"/>
    <s v="Szeged"/>
    <s v="Egyetem u. 2."/>
    <s v="ok"/>
    <n v="2"/>
    <n v="2"/>
    <x v="3"/>
    <e v="#N/A"/>
    <n v="0"/>
    <n v="2"/>
  </r>
  <r>
    <s v="ERSTE BANK HUNGARY Zrt"/>
    <s v="S09803"/>
    <s v="Diebold-Opteva 522 Lobby Cash Dispenser"/>
    <s v="1522FH106939"/>
    <s v="6720"/>
    <s v="Szeged"/>
    <s v="Kölcsey u. 13."/>
    <s v="ok"/>
    <n v="2"/>
    <n v="2"/>
    <x v="3"/>
    <n v="1"/>
    <n v="1"/>
    <n v="1"/>
  </r>
  <r>
    <s v="ERSTE BANK HUNGARY Zrt"/>
    <s v="S09805_ENA"/>
    <s v="Diebold-Opteva 760 ATM Outdoor"/>
    <s v="1760RH120570"/>
    <s v="6500"/>
    <s v="Baja"/>
    <s v="Vörösmarty u. 5."/>
    <s v="ok"/>
    <n v="2"/>
    <n v="2"/>
    <x v="12"/>
    <n v="1"/>
    <n v="1"/>
    <n v="1"/>
  </r>
  <r>
    <s v="ERSTE BANK HUNGARY Zrt"/>
    <s v="S09809_ENA"/>
    <s v="Diebold-Opteva 720 ATM Indoor"/>
    <s v="1720FH120184"/>
    <s v="5700"/>
    <s v="Gyula"/>
    <s v="Városház u. 16."/>
    <s v="ok"/>
    <n v="2"/>
    <n v="2"/>
    <x v="3"/>
    <n v="1"/>
    <n v="1"/>
    <n v="1"/>
  </r>
  <r>
    <s v="ERSTE BANK HUNGARY Zrt"/>
    <s v="S09811"/>
    <s v="Diebold-Opteva 760 ATM Outdoor"/>
    <s v="1760RH120534"/>
    <s v="6600"/>
    <s v="Szentes"/>
    <s v="Attila út 3."/>
    <s v="ok"/>
    <n v="2"/>
    <n v="2"/>
    <x v="11"/>
    <e v="#N/A"/>
    <n v="0"/>
    <n v="2"/>
  </r>
  <r>
    <s v="ERSTE BANK HUNGARY Zrt"/>
    <s v="S09812_ENA"/>
    <s v="Diebold-Opteva 760 ATM Outdoor"/>
    <s v="1760RH120564"/>
    <s v="6900"/>
    <s v="Makó"/>
    <s v="Csanád Vezér tér 5."/>
    <s v="ok"/>
    <n v="2"/>
    <n v="2"/>
    <x v="3"/>
    <n v="1"/>
    <n v="1"/>
    <n v="1"/>
  </r>
  <r>
    <s v="ERSTE BANK HUNGARY Zrt"/>
    <s v="TESZTATM1"/>
    <s v="Diebold-Opteva 520 ATM Indoor"/>
    <s v="1520F3303650"/>
    <s v="1132"/>
    <s v="Budapest"/>
    <s v="Népfürdő u. 24-26."/>
    <s v="ok"/>
    <n v="0"/>
    <n v="0"/>
    <x v="14"/>
    <e v="#N/A"/>
    <n v="0"/>
    <n v="0"/>
  </r>
  <r>
    <s v="ERSTE BANK HUNGARY Zrt"/>
    <s v="TESZTATM2_ENA"/>
    <s v="Diebold-Opteva 720 ATM Indoor"/>
    <s v="1720FH121349"/>
    <s v="1138"/>
    <s v="Budapest"/>
    <s v="Népfürdő u. 24-26."/>
    <s v="ok"/>
    <n v="0"/>
    <n v="0"/>
    <x v="14"/>
    <e v="#N/A"/>
    <n v="0"/>
    <n v="0"/>
  </r>
  <r>
    <s v="ERSTE BANK HUNGARY Zrt"/>
    <s v="TESZTATM3"/>
    <s v="Diebold-Opteva 522 Lobby Cash Dispenser"/>
    <s v="1522FH105484"/>
    <s v="1138"/>
    <s v="Budapest"/>
    <s v="Népfürdő u. 24-26."/>
    <s v="ok"/>
    <n v="0"/>
    <n v="0"/>
    <x v="14"/>
    <e v="#N/A"/>
    <n v="0"/>
    <n v="0"/>
  </r>
  <r>
    <s v="ERSTE BANK HUNGARY Zrt"/>
    <s v="TESZTATM4"/>
    <s v="Diebold-Opteva 760 ATM Outdoor"/>
    <s v="1760RH121543"/>
    <s v="1138"/>
    <s v="Budapest"/>
    <s v="Népfürdő u. 24-26."/>
    <s v="ok"/>
    <n v="0"/>
    <n v="0"/>
    <x v="14"/>
    <e v="#N/A"/>
    <n v="0"/>
    <n v="0"/>
  </r>
  <r>
    <s v="ERSTE BANK HUNGARY Zrt"/>
    <s v="TESZTB1"/>
    <s v="OPT562 1GIG-DVD-UPS-LAN-A6-CEN3(4HIGH)"/>
    <s v="1562RH127316"/>
    <s v="1138"/>
    <s v="Budapest"/>
    <s v="."/>
    <s v="ok"/>
    <n v="0"/>
    <n v="0"/>
    <x v="14"/>
    <e v="#N/A"/>
    <n v="0"/>
    <n v="0"/>
  </r>
  <r>
    <s v="Euronet Banktechnikai Szolgáltató K"/>
    <s v="BB070500"/>
    <s v="OPT562 1GIG-DVD-UPS-LAN-A6-CEN3(4HIGH)"/>
    <s v="1562RH158140"/>
    <s v="2072"/>
    <s v="Zsámbék"/>
    <s v="Akadémia u. 1."/>
    <s v="ok"/>
    <n v="1"/>
    <n v="1"/>
    <x v="19"/>
    <e v="#N/A"/>
    <n v="0"/>
    <n v="1"/>
  </r>
  <r>
    <s v="Euronet Banktechnikai Szolgáltató K"/>
    <s v="BB071000"/>
    <s v="Diebold-Opteva 522 Lobby Cash Dispenser"/>
    <s v="1522FH118976"/>
    <s v="5600"/>
    <s v="Békéscsaba"/>
    <s v="Andrássy út 37-43."/>
    <s v="ok"/>
    <n v="1"/>
    <n v="1"/>
    <x v="3"/>
    <e v="#N/A"/>
    <n v="0"/>
    <n v="1"/>
  </r>
  <r>
    <s v="Euronet Banktechnikai Szolgáltató K"/>
    <s v="BB085100"/>
    <s v="Diebold-Opteva 378 Cash Recycler"/>
    <s v="1378FDC03839"/>
    <s v="1106"/>
    <s v="Budapest"/>
    <s v="Kerepesi út 61."/>
    <s v="ok"/>
    <n v="1"/>
    <n v="1"/>
    <x v="17"/>
    <n v="1"/>
    <n v="1"/>
    <n v="0"/>
  </r>
  <r>
    <s v="Euronet Banktechnikai Szolgáltató K"/>
    <s v="BBF436"/>
    <s v="Diebold-Opteva 562r 3 High-Standard ATM"/>
    <s v="562RRH105883"/>
    <s v="1162"/>
    <s v="Budapest"/>
    <s v="Rákosi út 128."/>
    <s v="ok"/>
    <n v="1"/>
    <n v="1"/>
    <x v="6"/>
    <n v="1"/>
    <n v="1"/>
    <n v="0"/>
  </r>
  <r>
    <s v="Euronet Banktechnikai Szolgáltató K"/>
    <s v="BBF439"/>
    <s v="Diebold-Opteva 522 Lobby Cash Dispenser"/>
    <s v="1522FH118612"/>
    <s v="1203"/>
    <s v="Budapest"/>
    <s v="Török Flóris u. 70."/>
    <s v="ok"/>
    <n v="1"/>
    <n v="1"/>
    <x v="15"/>
    <n v="1"/>
    <n v="1"/>
    <n v="0"/>
  </r>
  <r>
    <s v="Euronet Banktechnikai Szolgáltató K"/>
    <s v="BBF463"/>
    <s v="Diebold-Opteva 562r 3 High-Standard ATM"/>
    <s v="562RRH105882"/>
    <s v="5100"/>
    <s v="Jászberény"/>
    <s v="Lehel Vezér tér 13."/>
    <s v="ok"/>
    <n v="1"/>
    <n v="1"/>
    <x v="10"/>
    <e v="#N/A"/>
    <n v="0"/>
    <n v="1"/>
  </r>
  <r>
    <s v="Euronet Banktechnikai Szolgáltató K"/>
    <s v="BBF610"/>
    <s v="Diebold-Opteva 562r 3 High-Standard ATM"/>
    <s v="562RRH105881"/>
    <s v="1131"/>
    <s v="Budapest"/>
    <s v="Nyugati tér 4-5."/>
    <s v="ok"/>
    <n v="1"/>
    <n v="1"/>
    <x v="14"/>
    <n v="1"/>
    <n v="1"/>
    <n v="0"/>
  </r>
  <r>
    <s v="Euronet Banktechnikai Szolgáltató K"/>
    <s v="BBF615"/>
    <s v="OPT562 1GIG-DVD-UPS-LAN-A6-CEN3(4HIGH)"/>
    <s v="1562RH158141"/>
    <s v="1119"/>
    <s v="Budapest"/>
    <s v="Etele út 57."/>
    <s v="ok"/>
    <n v="1"/>
    <n v="1"/>
    <x v="17"/>
    <e v="#N/A"/>
    <n v="0"/>
    <n v="1"/>
  </r>
  <r>
    <s v="Euronet Banktechnikai Szolgáltató K"/>
    <s v="BBF618"/>
    <s v="Diebold-Opteva 378 Cash Recycler"/>
    <s v="1378FDC04449"/>
    <s v="1138"/>
    <s v="Budapest"/>
    <s v="Váci út 193."/>
    <s v="ok"/>
    <n v="1"/>
    <n v="1"/>
    <x v="14"/>
    <n v="1"/>
    <n v="1"/>
    <n v="0"/>
  </r>
  <r>
    <s v="Euronet Banktechnikai Szolgáltató K"/>
    <s v="BBF70200"/>
    <s v="Diebold-Opteva 522 Lobby Cash Dispenser"/>
    <s v="1522FH118610"/>
    <s v="1138"/>
    <s v="Budapest"/>
    <s v="Váci út 117-119."/>
    <s v="ok"/>
    <n v="1"/>
    <n v="1"/>
    <x v="14"/>
    <e v="#N/A"/>
    <n v="0"/>
    <n v="1"/>
  </r>
  <r>
    <s v="Euronet Banktechnikai Szolgáltató K"/>
    <s v="EDHU0023"/>
    <s v="Diebold-Opteva 522 Lobby Cash Dispenser"/>
    <s v="1522FH111867"/>
    <s v="1087"/>
    <s v="Budapest"/>
    <s v="Kerepesi u. 2-4."/>
    <s v="ok"/>
    <n v="1"/>
    <n v="1"/>
    <x v="13"/>
    <e v="#N/A"/>
    <n v="0"/>
    <n v="1"/>
  </r>
  <r>
    <s v="Euronet Banktechnikai Szolgáltató K"/>
    <s v="EDHU0024"/>
    <s v="Diebold-Opteva 522 Lobby Cash Dispenser"/>
    <s v="1522FH111868"/>
    <s v="1013"/>
    <s v="Budapest"/>
    <s v="Krisztina krt. 37."/>
    <s v="ok"/>
    <n v="1"/>
    <n v="1"/>
    <x v="13"/>
    <e v="#N/A"/>
    <n v="0"/>
    <n v="1"/>
  </r>
  <r>
    <s v="Euronet Banktechnikai Szolgáltató K"/>
    <s v="EDHU0047"/>
    <s v="Diebold-Opteva 522 Lobby Cash Dispenser"/>
    <s v="1522FH108479"/>
    <s v="1051"/>
    <s v="Budapest"/>
    <s v="Széchenyi tér 7-8."/>
    <s v="ok"/>
    <n v="1"/>
    <n v="1"/>
    <x v="13"/>
    <e v="#N/A"/>
    <n v="0"/>
    <n v="1"/>
  </r>
  <r>
    <s v="Euronet Banktechnikai Szolgáltató K"/>
    <s v="EDHU0050"/>
    <s v="Diebold-Opteva 522 Lobby Cash Dispenser"/>
    <s v="1522FH108481"/>
    <s v="9200"/>
    <s v="Mosonmagyaróvár"/>
    <s v="Királyhidai u. 42."/>
    <s v="ok"/>
    <n v="1"/>
    <n v="1"/>
    <x v="19"/>
    <e v="#N/A"/>
    <n v="0"/>
    <n v="1"/>
  </r>
  <r>
    <s v="Euronet Banktechnikai Szolgáltató K"/>
    <s v="EDHU0055"/>
    <s v="Diebold-Opteva 522 Lobby Cash Dispenser"/>
    <s v="1522FH108477"/>
    <s v="9012"/>
    <s v="Győr"/>
    <s v="Királyszék u. 33."/>
    <s v="ok"/>
    <n v="1"/>
    <n v="1"/>
    <x v="19"/>
    <e v="#N/A"/>
    <n v="0"/>
    <n v="1"/>
  </r>
  <r>
    <s v="Euronet Banktechnikai Szolgáltató K"/>
    <s v="EDHU0067"/>
    <s v="Diebold-Opteva 522 Lobby Cash Dispenser"/>
    <s v="1522FH108478"/>
    <s v="1052"/>
    <s v="Budapest"/>
    <s v="Váci u.10."/>
    <s v="ok"/>
    <n v="1"/>
    <n v="1"/>
    <x v="13"/>
    <e v="#N/A"/>
    <n v="0"/>
    <n v="1"/>
  </r>
  <r>
    <s v="Euronet Banktechnikai Szolgáltató K"/>
    <s v="EDHU0069"/>
    <s v="Diebold-Opteva 522 Lobby Cash Dispenser"/>
    <s v="1522FH108475"/>
    <s v="9400"/>
    <s v="Sopron"/>
    <s v="Ipari krt. 30."/>
    <s v="ok"/>
    <n v="1"/>
    <n v="1"/>
    <x v="8"/>
    <e v="#N/A"/>
    <n v="0"/>
    <n v="1"/>
  </r>
  <r>
    <s v="Euronet Banktechnikai Szolgáltató K"/>
    <s v="EDHU0111"/>
    <s v="Diebold-Opteva 522 Lobby Cash Dispenser"/>
    <s v="1522FH111863"/>
    <s v="4030"/>
    <s v="Debrecen"/>
    <s v="Mikepércsi út 0493/64 hrsz."/>
    <s v="ok"/>
    <n v="1"/>
    <n v="1"/>
    <x v="16"/>
    <e v="#N/A"/>
    <n v="0"/>
    <n v="1"/>
  </r>
  <r>
    <s v="Euronet Banktechnikai Szolgáltató K"/>
    <s v="EDHU0116"/>
    <s v="Diebold-Opteva 522 Lobby Cash Dispenser"/>
    <s v="1522FH111864"/>
    <s v="1091"/>
    <s v="Budapest"/>
    <s v="Kálvin tér 7."/>
    <s v="ok"/>
    <n v="1"/>
    <n v="1"/>
    <x v="17"/>
    <e v="#N/A"/>
    <n v="0"/>
    <n v="1"/>
  </r>
  <r>
    <s v="Euronet Banktechnikai Szolgáltató K"/>
    <s v="EDHU0118"/>
    <s v="Diebold-Opteva 522 Lobby Cash Dispenser"/>
    <s v="1522FH111869"/>
    <s v="1053"/>
    <s v="Budapest"/>
    <s v="Kossuth Lajos utca 2."/>
    <s v="ok"/>
    <n v="1"/>
    <n v="1"/>
    <x v="13"/>
    <e v="#N/A"/>
    <n v="0"/>
    <n v="1"/>
  </r>
  <r>
    <s v="Euronet Banktechnikai Szolgáltató K"/>
    <s v="EDHU0120"/>
    <s v="Diebold-Opteva 522 Lobby Cash Dispenser"/>
    <s v="1522FH111866"/>
    <s v="1051"/>
    <s v="Budapest"/>
    <s v="Erzsébet tér"/>
    <s v="ok"/>
    <n v="1"/>
    <n v="1"/>
    <x v="13"/>
    <e v="#N/A"/>
    <n v="0"/>
    <n v="1"/>
  </r>
  <r>
    <s v="Euronet Banktechnikai Szolgáltató K"/>
    <s v="EDHU0163"/>
    <s v="OPT562 1GIG-DVD-UPS-LAN-A6-CEN3(4HIGH)"/>
    <s v="1562RH154061"/>
    <s v="1072"/>
    <s v="Budapest"/>
    <s v="Rákóczi u. 38."/>
    <s v="ok"/>
    <n v="1"/>
    <n v="1"/>
    <x v="13"/>
    <e v="#N/A"/>
    <n v="0"/>
    <n v="1"/>
  </r>
  <r>
    <s v="Euronet Banktechnikai Szolgáltató K"/>
    <s v="EDHU0164"/>
    <s v="OPT562 1GIG-DVD-UPS-LAN-A6-CEN3(4HIGH)"/>
    <s v="1562RH154062"/>
    <s v="1052"/>
    <s v="Budapest"/>
    <s v="Károly krt. 4."/>
    <s v="ok"/>
    <n v="1"/>
    <n v="1"/>
    <x v="13"/>
    <e v="#N/A"/>
    <n v="0"/>
    <n v="1"/>
  </r>
  <r>
    <s v="Euronet Banktechnikai Szolgáltató K"/>
    <s v="EDHU0171"/>
    <s v="Diebold-Opteva 522 Lobby Cash Dispenser"/>
    <s v="1522FH111639"/>
    <s v="1073"/>
    <s v="Budapest"/>
    <s v="Erzsébet krt 27."/>
    <s v="ok"/>
    <n v="1"/>
    <n v="1"/>
    <x v="13"/>
    <n v="1"/>
    <n v="1"/>
    <n v="0"/>
  </r>
  <r>
    <s v="Euronet Banktechnikai Szolgáltató K"/>
    <s v="EDHU0177"/>
    <s v="OPT562 1GIG-DVD-UPS-LAN-A6-CEN3(4HIGH)"/>
    <s v="1562RH154069"/>
    <s v="8230"/>
    <s v="Balatonfüred"/>
    <s v="Széchenyi u. 8."/>
    <s v="ok"/>
    <n v="1"/>
    <n v="1"/>
    <x v="4"/>
    <e v="#N/A"/>
    <n v="0"/>
    <n v="1"/>
  </r>
  <r>
    <s v="Euronet Banktechnikai Szolgáltató K"/>
    <s v="EDHU0180"/>
    <s v="OPT562 1GIG-DVD-UPS-LAN-A6-CEN3(4HIGH)"/>
    <s v="1562RH154072"/>
    <s v="1014"/>
    <s v="Budapest"/>
    <s v="Dísz tér 8."/>
    <s v="ok"/>
    <n v="1"/>
    <n v="1"/>
    <x v="13"/>
    <n v="1"/>
    <n v="1"/>
    <n v="0"/>
  </r>
  <r>
    <s v="Euronet Banktechnikai Szolgáltató K"/>
    <s v="EDHU0182"/>
    <s v="OPT562 1GIG-DVD-UPS-LAN-A6-CEN3(4HIGH)"/>
    <s v="1562RH154081"/>
    <s v="1061"/>
    <s v="Budapest"/>
    <s v="Andrássy út 30."/>
    <s v="ok"/>
    <n v="1"/>
    <n v="1"/>
    <x v="13"/>
    <n v="1"/>
    <n v="1"/>
    <n v="0"/>
  </r>
  <r>
    <s v="Euronet Banktechnikai Szolgáltató K"/>
    <s v="EDHU0190"/>
    <s v="OPT562 1GIG-DVD-UPS-LAN-A6-CEN3(4HIGH)"/>
    <s v="1562RH154083"/>
    <s v="1073"/>
    <s v="Budapest"/>
    <s v="Erzsébet krt. 24."/>
    <s v="ok"/>
    <n v="1"/>
    <n v="1"/>
    <x v="13"/>
    <e v="#N/A"/>
    <n v="0"/>
    <n v="1"/>
  </r>
  <r>
    <s v="Euronet Banktechnikai Szolgáltató K"/>
    <s v="EDHU0194"/>
    <s v="OPT562 1GIG-DVD-UPS-LAN-A6-CEN3(4HIGH)"/>
    <s v="1562RH154214"/>
    <s v="8600"/>
    <s v="Siófok"/>
    <s v="Fő u. 156-160."/>
    <s v="ok"/>
    <n v="1"/>
    <n v="1"/>
    <x v="4"/>
    <e v="#N/A"/>
    <n v="0"/>
    <n v="1"/>
  </r>
  <r>
    <s v="Euronet Banktechnikai Szolgáltató K"/>
    <s v="EDHU0198"/>
    <s v="OPT562 1GIG-DVD-UPS-LAN-A6-CEN3(4HIGH)"/>
    <s v="1562RH154215"/>
    <s v="1137"/>
    <s v="Budapest"/>
    <s v="Pozsonyi u. 25."/>
    <s v="ok"/>
    <n v="1"/>
    <n v="1"/>
    <x v="14"/>
    <e v="#N/A"/>
    <n v="0"/>
    <n v="1"/>
  </r>
  <r>
    <s v="Euronet Banktechnikai Szolgáltató K"/>
    <s v="EDHU0199"/>
    <s v="OPT562 1GIG-DVD-UPS-LAN-A6-CEN3(4HIGH)"/>
    <s v="1562RH154444"/>
    <s v="1052"/>
    <s v="Budapest"/>
    <s v="Városház utca 14."/>
    <s v="ok"/>
    <n v="1"/>
    <n v="1"/>
    <x v="13"/>
    <n v="1"/>
    <n v="1"/>
    <n v="0"/>
  </r>
  <r>
    <s v="Euronet Banktechnikai Szolgáltató K"/>
    <s v="EDHU0234"/>
    <s v="OPT562 1GIG-DVD-UPS-LAN-A6-CEN3(4HIGH)"/>
    <s v="1562RH154451"/>
    <s v="1061"/>
    <s v="Budapest"/>
    <s v="Király u. 6"/>
    <s v="ok"/>
    <n v="1"/>
    <n v="1"/>
    <x v="13"/>
    <e v="#N/A"/>
    <n v="0"/>
    <n v="1"/>
  </r>
  <r>
    <s v="Euronet Banktechnikai Szolgáltató K"/>
    <s v="EDHU0236"/>
    <s v="OPT562 1GIG-DVD-UPS-LAN-A6-CEN3(4HIGH)"/>
    <s v="1562RH154453"/>
    <s v="1054"/>
    <s v="Budapest"/>
    <s v="Váci u. 54."/>
    <s v="ok"/>
    <n v="1"/>
    <n v="1"/>
    <x v="13"/>
    <e v="#N/A"/>
    <n v="0"/>
    <n v="1"/>
  </r>
  <r>
    <s v="Euronet Banktechnikai Szolgáltató K"/>
    <s v="EDHU0241"/>
    <s v="OPT562 1GIG-DVD-UPS-LAN-A6-CEN3(4HIGH)"/>
    <s v="1562RH154078"/>
    <s v="1137"/>
    <s v="Budapest"/>
    <s v="Szent István krt. 12."/>
    <s v="ok"/>
    <n v="1"/>
    <n v="1"/>
    <x v="14"/>
    <e v="#N/A"/>
    <n v="0"/>
    <n v="1"/>
  </r>
  <r>
    <s v="Euronet Banktechnikai Szolgáltató K"/>
    <s v="EDHU0256"/>
    <s v="Diebold-Opteva 522 Lobby Cash Dispenser"/>
    <s v="1522FH115281"/>
    <s v="1072"/>
    <s v="Budapest"/>
    <s v="Klauzál tér 6."/>
    <s v="ok"/>
    <n v="1"/>
    <n v="1"/>
    <x v="13"/>
    <e v="#N/A"/>
    <n v="0"/>
    <n v="1"/>
  </r>
  <r>
    <s v="Euronet Banktechnikai Szolgáltató K"/>
    <s v="EDHU0257"/>
    <s v="OPT562 1GIG-DVD-UPS-LAN-A6-CEN3(4HIGH)"/>
    <s v="1562RH154454"/>
    <s v="1132"/>
    <s v="Budapest"/>
    <s v="Váci út 8."/>
    <s v="ok"/>
    <n v="1"/>
    <n v="1"/>
    <x v="14"/>
    <n v="1"/>
    <n v="1"/>
    <n v="0"/>
  </r>
  <r>
    <s v="Euronet Banktechnikai Szolgáltató K"/>
    <s v="EDHU0260"/>
    <s v="Diebold-Opteva 522 Lobby Cash Dispenser"/>
    <s v="1522FH111859"/>
    <s v="1051"/>
    <s v="Budapest"/>
    <s v="Széchenyi tér 7-8."/>
    <s v="ok"/>
    <n v="1"/>
    <n v="1"/>
    <x v="13"/>
    <e v="#N/A"/>
    <n v="0"/>
    <n v="1"/>
  </r>
  <r>
    <s v="Euronet Banktechnikai Szolgáltató K"/>
    <s v="EDHU0262"/>
    <s v="Diebold-Opteva 522 Lobby Cash Dispenser"/>
    <s v="1522FH115041"/>
    <s v="1062"/>
    <s v="Budapest"/>
    <s v="Váci út 1-3."/>
    <s v="ok"/>
    <n v="1"/>
    <n v="1"/>
    <x v="13"/>
    <n v="1"/>
    <n v="1"/>
    <n v="0"/>
  </r>
  <r>
    <s v="Euronet Banktechnikai Szolgáltató K"/>
    <s v="EDHU0289"/>
    <s v="Diebold-Opteva 522 Lobby Cash Dispenser"/>
    <s v="1522FH115038"/>
    <s v="1062"/>
    <s v="Budapest"/>
    <s v="Váci út 1-3."/>
    <s v="ok"/>
    <n v="1"/>
    <n v="1"/>
    <x v="13"/>
    <e v="#N/A"/>
    <n v="0"/>
    <n v="1"/>
  </r>
  <r>
    <s v="Euronet Banktechnikai Szolgáltató K"/>
    <s v="EDHU0316"/>
    <s v="OPT562 1GIG-DVD-UPS-LAN-A6-CEN3(4HIGH)"/>
    <s v="1562RH154216"/>
    <s v="1061"/>
    <s v="Budapest"/>
    <s v="Liszt Ferenc tér 4."/>
    <s v="ok"/>
    <n v="1"/>
    <n v="1"/>
    <x v="13"/>
    <e v="#N/A"/>
    <n v="0"/>
    <n v="1"/>
  </r>
  <r>
    <s v="Euronet Banktechnikai Szolgáltató K"/>
    <s v="EDHU0337"/>
    <s v="OPT562 1GIG-DVD-UPS-LAN-A6-CEN3(4HIGH)"/>
    <s v="1562RH157104"/>
    <s v="1054"/>
    <s v="Budapest"/>
    <s v="Szabadság tér 7."/>
    <s v="ok"/>
    <n v="1"/>
    <n v="1"/>
    <x v="13"/>
    <n v="1"/>
    <n v="1"/>
    <n v="0"/>
  </r>
  <r>
    <s v="Euronet Banktechnikai Szolgáltató K"/>
    <s v="EDHU0349"/>
    <s v="OPT562 1GIG-DVD-UPS-LAN-A6-CEN3(4HIGH)"/>
    <s v="1562RH157109"/>
    <s v="1067"/>
    <s v="Budapest"/>
    <s v="Teréz krt. 21."/>
    <s v="ok"/>
    <n v="1"/>
    <n v="1"/>
    <x v="13"/>
    <e v="#N/A"/>
    <n v="0"/>
    <n v="1"/>
  </r>
  <r>
    <s v="Euronet Banktechnikai Szolgáltató K"/>
    <s v="EDHU0358"/>
    <s v="Diebold-Opteva 522 Lobby Cash Dispenser"/>
    <s v="1522FH108163"/>
    <s v="1115"/>
    <s v="Budapest"/>
    <s v="M4 Metró Aluljáró"/>
    <s v="ok"/>
    <n v="1"/>
    <n v="1"/>
    <x v="17"/>
    <e v="#N/A"/>
    <n v="0"/>
    <n v="1"/>
  </r>
  <r>
    <s v="Euronet Banktechnikai Szolgáltató K"/>
    <s v="EDHU0376"/>
    <s v="OPT562 1GIG-DVD-UPS-LAN-A6-CEN3(4HIGH)"/>
    <s v="1562RH157357"/>
    <s v="1212"/>
    <s v="Budapest"/>
    <s v="Kikötő u. 8."/>
    <s v="ok"/>
    <n v="1"/>
    <n v="1"/>
    <x v="15"/>
    <e v="#N/A"/>
    <n v="0"/>
    <n v="1"/>
  </r>
  <r>
    <s v="Euronet Banktechnikai Szolgáltató K"/>
    <s v="EDHU0380"/>
    <s v="Diebold-Opteva 522 Lobby Cash Dispenser"/>
    <s v="1522FH111337"/>
    <s v="1036"/>
    <s v="Budapest"/>
    <s v="Bécsi út 38-44."/>
    <s v="ok"/>
    <n v="1"/>
    <n v="1"/>
    <x v="0"/>
    <n v="1"/>
    <n v="1"/>
    <n v="0"/>
  </r>
  <r>
    <s v="Euronet Banktechnikai Szolgáltató K"/>
    <s v="EDHU0399"/>
    <s v="OPT562 1GIG-DVD-UPS-LAN-A6-CEN3(4HIGH)"/>
    <s v="1562RH157365"/>
    <s v="6720"/>
    <s v="Szeged"/>
    <s v="Dugonics tér 1."/>
    <s v="ok"/>
    <n v="1"/>
    <n v="1"/>
    <x v="3"/>
    <e v="#N/A"/>
    <n v="0"/>
    <n v="1"/>
  </r>
  <r>
    <s v="Euronet Banktechnikai Szolgáltató K"/>
    <s v="EDHU0409"/>
    <s v="OPT562 1GIG-DVD-UPS-LAN-A6-CEN3(4HIGH)"/>
    <s v="1562RH133841"/>
    <s v="1085"/>
    <s v="Budapest"/>
    <s v="József krt. 31/a."/>
    <s v="ok"/>
    <n v="1"/>
    <n v="1"/>
    <x v="13"/>
    <e v="#N/A"/>
    <n v="0"/>
    <n v="1"/>
  </r>
  <r>
    <s v="Euronet Banktechnikai Szolgáltató K"/>
    <s v="EDHU0410"/>
    <s v="Diebold-Opteva 522 Lobby Cash Dispenser"/>
    <s v="1522FH108666"/>
    <s v="1062"/>
    <s v="Budapest"/>
    <s v="Andrássy út 86."/>
    <s v="ok"/>
    <n v="1"/>
    <n v="1"/>
    <x v="13"/>
    <n v="1"/>
    <n v="1"/>
    <n v="0"/>
  </r>
  <r>
    <s v="Euronet Banktechnikai Szolgáltató K"/>
    <s v="EDHU0411"/>
    <s v="Diebold-Opteva 522 Lobby Cash Dispenser"/>
    <s v="1522FH107106"/>
    <s v="7400"/>
    <s v="Kaposvár"/>
    <s v="Honvéd u. 57."/>
    <s v="ok"/>
    <n v="1"/>
    <n v="1"/>
    <x v="12"/>
    <e v="#N/A"/>
    <n v="0"/>
    <n v="1"/>
  </r>
  <r>
    <s v="Euronet Banktechnikai Szolgáltató K"/>
    <s v="EDHU0417"/>
    <s v="OPT562 1GIG-DVD-UPS-LAN-A6-CEN3(4HIGH)"/>
    <s v="1562RH157366"/>
    <s v="1061"/>
    <s v="Budapest"/>
    <s v="Anker köz 2-4."/>
    <s v="ok"/>
    <n v="1"/>
    <n v="1"/>
    <x v="13"/>
    <e v="#N/A"/>
    <n v="0"/>
    <n v="1"/>
  </r>
  <r>
    <s v="Euronet Banktechnikai Szolgáltató K"/>
    <s v="EDHU0480"/>
    <s v="OPT562 1GIG-DVD-UPS-LAN-A6-CEN3(4HIGH)"/>
    <s v="1562RH158137"/>
    <s v="1011"/>
    <s v="Budapest"/>
    <s v="Fő u. 56-58."/>
    <s v="ok"/>
    <n v="1"/>
    <n v="1"/>
    <x v="13"/>
    <n v="1"/>
    <n v="1"/>
    <n v="0"/>
  </r>
  <r>
    <s v="Euronet Banktechnikai Szolgáltató K"/>
    <s v="EDHU0485"/>
    <s v="Diebold-Opteva 522 Lobby Cash Dispenser"/>
    <s v="1522FH118970"/>
    <s v="1185"/>
    <s v="Budapest"/>
    <s v="Liszt Ferenc Repülőtér"/>
    <s v="ok"/>
    <n v="1"/>
    <n v="1"/>
    <x v="15"/>
    <e v="#N/A"/>
    <n v="0"/>
    <n v="1"/>
  </r>
  <r>
    <s v="Euronet Banktechnikai Szolgáltató K"/>
    <s v="EDHU0491"/>
    <s v="Diebold-Opteva 522 Lobby Cash Dispenser"/>
    <s v="1522FH118971"/>
    <s v="5600"/>
    <s v="Békéscsaba"/>
    <s v="Andrássy út 58."/>
    <s v="ok"/>
    <n v="1"/>
    <n v="1"/>
    <x v="3"/>
    <e v="#N/A"/>
    <n v="0"/>
    <n v="1"/>
  </r>
  <r>
    <s v="Euronet Banktechnikai Szolgáltató K"/>
    <s v="EDHU0499"/>
    <s v="OPT562 1GIG-DVD-UPS-LAN-A6-CEN3(4HIGH)"/>
    <s v="1562RH158134"/>
    <s v="1137"/>
    <s v="Budapest"/>
    <s v="Jászai Mari tér 4/a."/>
    <s v="ok"/>
    <n v="1"/>
    <n v="1"/>
    <x v="14"/>
    <n v="1"/>
    <n v="1"/>
    <n v="0"/>
  </r>
  <r>
    <s v="Euronet Banktechnikai Szolgáltató K"/>
    <s v="EDHU0502"/>
    <s v="Diebold-Opteva 522 Lobby Cash Dispenser"/>
    <s v="1522FH118968"/>
    <s v="2030"/>
    <s v="Érd"/>
    <s v="Asztalos u. 7."/>
    <s v="ok"/>
    <n v="1"/>
    <n v="1"/>
    <x v="15"/>
    <n v="1"/>
    <n v="1"/>
    <n v="0"/>
  </r>
  <r>
    <s v="Euronet Banktechnikai Szolgáltató K"/>
    <s v="EDHU0506"/>
    <s v="OPT562 1GIG-DVD-UPS-LAN-A6-CEN3(4HIGH)"/>
    <s v="1562RH158136"/>
    <s v="1053"/>
    <s v="Budapest"/>
    <s v="Kecskeméti u. 1."/>
    <s v="ok"/>
    <n v="1"/>
    <n v="1"/>
    <x v="13"/>
    <e v="#N/A"/>
    <n v="0"/>
    <n v="1"/>
  </r>
  <r>
    <s v="Euronet Banktechnikai Szolgáltató K"/>
    <s v="EDHU0519"/>
    <s v="OPT562 1GIG-DVD-UPS-LAN-A6-CEN3(4HIGH)"/>
    <s v="1562RH154066"/>
    <s v="1072"/>
    <s v="Budapest"/>
    <s v="Rákóczi út 6."/>
    <s v="ok"/>
    <n v="1"/>
    <n v="1"/>
    <x v="13"/>
    <n v="1"/>
    <n v="1"/>
    <n v="0"/>
  </r>
  <r>
    <s v="Euronet Banktechnikai Szolgáltató K"/>
    <s v="EDHU0521"/>
    <s v="Diebold-Opteva 522 Lobby Cash Dispenser"/>
    <s v="1522FH118972"/>
    <s v="6725"/>
    <s v="Szeged"/>
    <s v="Indóház tér 2."/>
    <s v="ok"/>
    <n v="1"/>
    <n v="1"/>
    <x v="3"/>
    <e v="#N/A"/>
    <n v="0"/>
    <n v="1"/>
  </r>
  <r>
    <s v="Euronet Banktechnikai Szolgáltató K"/>
    <s v="EDHU0581"/>
    <s v="OPT562 1GIG-DVD-UPS-LAN-A6-CEN3(4HIGH)"/>
    <s v="1562RH131824"/>
    <s v="1056"/>
    <s v="Budapest"/>
    <s v="Belgrád rakpart 23."/>
    <s v="ok"/>
    <n v="1"/>
    <n v="1"/>
    <x v="13"/>
    <e v="#N/A"/>
    <n v="0"/>
    <n v="1"/>
  </r>
  <r>
    <s v="Euronet Banktechnikai Szolgáltató K"/>
    <s v="EDHU0595"/>
    <s v="Diebold-Opteva 522 Lobby Cash Dispenser"/>
    <s v="1522FH107107"/>
    <s v="7630"/>
    <s v="Pécs"/>
    <s v="Budai Vám 1."/>
    <s v="ok"/>
    <n v="1"/>
    <n v="1"/>
    <x v="12"/>
    <e v="#N/A"/>
    <n v="0"/>
    <n v="1"/>
  </r>
  <r>
    <s v="Euronet Banktechnikai Szolgáltató K"/>
    <s v="EDHU0622"/>
    <s v="OPT562 1GIG-DVD-UPS-LAN-A6-CEN3(4HIGH)"/>
    <s v="1562RH154455"/>
    <s v="1137"/>
    <s v="Budapest"/>
    <s v="Szent István krt. 18."/>
    <s v="ok"/>
    <n v="1"/>
    <n v="1"/>
    <x v="14"/>
    <n v="1"/>
    <n v="1"/>
    <n v="0"/>
  </r>
  <r>
    <s v="Euronet Banktechnikai Szolgáltató K"/>
    <s v="EDHU0716"/>
    <s v="Diebold-Opteva 522 Lobby Cash Dispenser"/>
    <s v="1522FH111862"/>
    <s v="2212"/>
    <s v="Csévharaszt"/>
    <s v="Kossuth Lajos u. 43/b"/>
    <s v="ok"/>
    <n v="1"/>
    <n v="1"/>
    <x v="15"/>
    <e v="#N/A"/>
    <n v="0"/>
    <n v="1"/>
  </r>
  <r>
    <s v="Euronet Banktechnikai Szolgáltató K"/>
    <s v="EWHU0575"/>
    <s v="CINEO C2040 Frontload"/>
    <s v="5310115858"/>
    <s v="4300"/>
    <s v="Nyírbátor"/>
    <s v="Coloplast u. 2."/>
    <s v="ok"/>
    <n v="1"/>
    <n v="1"/>
    <x v="1"/>
    <e v="#N/A"/>
    <n v="0"/>
    <n v="1"/>
  </r>
  <r>
    <s v="K &amp; H BANK ZRT."/>
    <s v="AKHB2072"/>
    <s v="Diebold-Opteva 720 ATM Indoor"/>
    <s v="1720F3301190"/>
    <s v="4027"/>
    <s v="Debrecen"/>
    <s v="Füredi út 27."/>
    <s v="ok"/>
    <n v="2"/>
    <n v="2"/>
    <x v="16"/>
    <n v="1"/>
    <n v="1"/>
    <n v="1"/>
  </r>
  <r>
    <s v="K &amp; H BANK ZRT."/>
    <s v="AKHB2078"/>
    <s v="Diebold-Opteva 720 ATM Indoor"/>
    <s v="1720F3301167"/>
    <s v="9700"/>
    <s v="Szombathely"/>
    <s v="Éhen Gyula tér 2."/>
    <s v="ok"/>
    <n v="2"/>
    <n v="2"/>
    <x v="8"/>
    <n v="1"/>
    <n v="1"/>
    <n v="1"/>
  </r>
  <r>
    <s v="K &amp; H BANK ZRT."/>
    <s v="AKHB2092"/>
    <s v="Diebold-Opteva 522 Lobby Cash Dispenser"/>
    <s v="1522FH113845"/>
    <s v="5650"/>
    <s v="Mezőberény"/>
    <s v="Kossuth tér 13."/>
    <s v="ok"/>
    <n v="2"/>
    <n v="2"/>
    <x v="11"/>
    <e v="#N/A"/>
    <n v="0"/>
    <n v="2"/>
  </r>
  <r>
    <s v="K &amp; H BANK ZRT."/>
    <s v="AKHB2102"/>
    <s v="Diebold-Opteva 522 Lobby Cash Dispenser"/>
    <s v="1522FH119147"/>
    <s v="7631"/>
    <s v="Pécs"/>
    <s v="Kincses út 1"/>
    <s v="ok"/>
    <n v="2"/>
    <n v="2"/>
    <x v="12"/>
    <n v="1"/>
    <n v="1"/>
    <n v="1"/>
  </r>
  <r>
    <s v="K &amp; H BANK ZRT."/>
    <s v="AKHB2119"/>
    <s v="OPT562 1GIG-DVD-UPS-LAN-A6-CEN3(4HIGH)"/>
    <s v="1562RH153239"/>
    <s v="3170"/>
    <s v="Szécsény"/>
    <s v="Rákóczi út 112."/>
    <s v="ok"/>
    <n v="2"/>
    <n v="2"/>
    <x v="6"/>
    <e v="#N/A"/>
    <n v="0"/>
    <n v="2"/>
  </r>
  <r>
    <s v="K &amp; H BANK ZRT."/>
    <s v="AKHB2122"/>
    <s v="Diebold-Opteva 522 Lobby Cash Dispenser"/>
    <s v="1522FH113853"/>
    <s v="4275"/>
    <s v="Monostorpályi"/>
    <s v="Landler tér 4."/>
    <s v="ok"/>
    <n v="2"/>
    <n v="2"/>
    <x v="16"/>
    <n v="1"/>
    <n v="1"/>
    <n v="1"/>
  </r>
  <r>
    <s v="K &amp; H BANK ZRT."/>
    <s v="AKHB2123"/>
    <s v="Diebold-Opteva 522 Lobby Cash Dispenser"/>
    <s v="1522FH119149"/>
    <s v="7634"/>
    <s v="Pécs"/>
    <s v="Makay I.u.5"/>
    <s v="ok"/>
    <n v="2"/>
    <n v="2"/>
    <x v="12"/>
    <n v="1"/>
    <n v="1"/>
    <n v="1"/>
  </r>
  <r>
    <s v="K &amp; H BANK ZRT."/>
    <s v="AKHB2139"/>
    <s v="Diebold-Opteva 520 ATM Indoor"/>
    <s v="1520FCF00567"/>
    <s v="2440"/>
    <s v="Százhalombatta"/>
    <s v="Damjanich u. 29."/>
    <s v="ok"/>
    <n v="2"/>
    <n v="2"/>
    <x v="7"/>
    <n v="1"/>
    <n v="1"/>
    <n v="1"/>
  </r>
  <r>
    <s v="K &amp; H BANK ZRT."/>
    <s v="AKHB2144"/>
    <s v="Diebold-Opteva 522 Lobby Cash Dispenser"/>
    <s v="1522FH113842"/>
    <s v="3780"/>
    <s v="Edelény"/>
    <s v="Antal György u. 3."/>
    <s v="ok"/>
    <n v="2"/>
    <n v="2"/>
    <x v="2"/>
    <n v="1"/>
    <n v="1"/>
    <n v="1"/>
  </r>
  <r>
    <s v="K &amp; H BANK ZRT."/>
    <s v="AKHB2161"/>
    <s v="Diebold-Opteva 520 ATM Indoor"/>
    <s v="1520FCF00562"/>
    <s v="5700"/>
    <s v="Gyula"/>
    <s v="Csabai út 3."/>
    <s v="ok"/>
    <n v="2"/>
    <n v="2"/>
    <x v="3"/>
    <n v="1"/>
    <n v="1"/>
    <n v="1"/>
  </r>
  <r>
    <s v="K &amp; H BANK ZRT."/>
    <s v="AKHB2172"/>
    <s v="Diebold-Opteva 522 Lobby Cash Dispenser"/>
    <s v="1522FH119150"/>
    <s v="2094"/>
    <s v="Nagykovácsi"/>
    <s v="kossuth u. 47."/>
    <s v="ok"/>
    <n v="2"/>
    <n v="2"/>
    <x v="0"/>
    <e v="#N/A"/>
    <n v="0"/>
    <n v="2"/>
  </r>
  <r>
    <s v="K &amp; H BANK ZRT."/>
    <s v="AKHB2191"/>
    <s v="Diebold-Opteva 520 ATM Indoor"/>
    <s v="1520FH120039"/>
    <s v="5600"/>
    <s v="Békéscsaba"/>
    <s v="Szarvasi út 68."/>
    <s v="ok"/>
    <n v="2"/>
    <n v="2"/>
    <x v="3"/>
    <n v="1"/>
    <n v="1"/>
    <n v="1"/>
  </r>
  <r>
    <s v="K &amp; H BANK ZRT."/>
    <s v="AKHB2195"/>
    <s v="Diebold-Opteva 520 ATM Indoor"/>
    <s v="1520FCF00286"/>
    <s v="6500"/>
    <s v="Baja"/>
    <s v="Gránátos u. 11."/>
    <s v="ok"/>
    <n v="2"/>
    <n v="2"/>
    <x v="12"/>
    <n v="1"/>
    <n v="1"/>
    <n v="1"/>
  </r>
  <r>
    <s v="K &amp; H BANK ZRT."/>
    <s v="AKHB2196"/>
    <s v="Diebold-Opteva 520 ATM Indoor"/>
    <s v="1520FCF00881"/>
    <s v="2700"/>
    <s v="Cegléd"/>
    <s v="Malomtó szél 30."/>
    <s v="ok"/>
    <n v="2"/>
    <n v="2"/>
    <x v="6"/>
    <e v="#N/A"/>
    <n v="0"/>
    <n v="2"/>
  </r>
  <r>
    <s v="K &amp; H BANK ZRT."/>
    <s v="AKHB2197"/>
    <s v="Diebold-Opteva 520 ATM Indoor"/>
    <s v="1520FCF00219"/>
    <s v="2400"/>
    <s v="Dunaújváros"/>
    <s v="Aranyvölgyi út."/>
    <s v="ok"/>
    <n v="2"/>
    <n v="2"/>
    <x v="7"/>
    <n v="1"/>
    <n v="1"/>
    <n v="1"/>
  </r>
  <r>
    <s v="K &amp; H BANK ZRT."/>
    <s v="AKHB2199"/>
    <s v="Diebold-Opteva 520 ATM Indoor"/>
    <s v="1520FCF00892"/>
    <s v="9012"/>
    <s v="Győr"/>
    <s v="Királyszék u. 33."/>
    <s v="ok"/>
    <n v="2"/>
    <n v="2"/>
    <x v="19"/>
    <n v="1"/>
    <n v="1"/>
    <n v="1"/>
  </r>
  <r>
    <s v="K &amp; H BANK ZRT."/>
    <s v="AKHB2200"/>
    <s v="Diebold-Opteva 520 ATM Indoor"/>
    <s v="1520FCF00289"/>
    <s v="7030"/>
    <s v="Paks"/>
    <s v="Tolnai u. 2/1"/>
    <s v="ok"/>
    <n v="2"/>
    <n v="2"/>
    <x v="7"/>
    <n v="1"/>
    <n v="1"/>
    <n v="1"/>
  </r>
  <r>
    <s v="K &amp; H BANK ZRT."/>
    <s v="AKHB2204"/>
    <s v="Diebold-Opteva 520 ATM Indoor"/>
    <s v="1520FCF00220"/>
    <s v="7800"/>
    <s v="Siklós"/>
    <s v="Harkányi u. 55."/>
    <s v="ok"/>
    <n v="2"/>
    <n v="2"/>
    <x v="12"/>
    <n v="1"/>
    <n v="1"/>
    <n v="1"/>
  </r>
  <r>
    <s v="K &amp; H BANK ZRT."/>
    <s v="AKHB2250"/>
    <s v="Diebold-Opteva 522 Lobby Cash Dispenser"/>
    <s v="1522FH119155"/>
    <s v="8000"/>
    <s v="Székesfehérvár"/>
    <s v="Aszalvölgyi út 1"/>
    <s v="ok"/>
    <n v="2"/>
    <n v="2"/>
    <x v="4"/>
    <n v="1"/>
    <n v="1"/>
    <n v="1"/>
  </r>
  <r>
    <s v="K &amp; H BANK ZRT."/>
    <s v="AKHB2302"/>
    <s v="Diebold-Opteva 520 ATM Indoor"/>
    <s v="1520FH120054"/>
    <s v="8700"/>
    <s v="Marcali"/>
    <s v="Noszlopy út 177."/>
    <s v="ok"/>
    <n v="2"/>
    <n v="2"/>
    <x v="9"/>
    <n v="1"/>
    <n v="1"/>
    <n v="1"/>
  </r>
  <r>
    <s v="K &amp; H BANK ZRT."/>
    <s v="AKHB2304"/>
    <s v="Diebold-Opteva 520 ATM Indoor"/>
    <s v="1520FCF00570"/>
    <s v="6800"/>
    <s v="Hódmezővásárhely"/>
    <s v="Hódtó u. 17-19."/>
    <s v="ok"/>
    <n v="2"/>
    <n v="2"/>
    <x v="3"/>
    <n v="1"/>
    <n v="1"/>
    <n v="1"/>
  </r>
  <r>
    <s v="K &amp; H BANK ZRT."/>
    <s v="AKHB2309"/>
    <s v="Diebold-Opteva 522 Lobby Cash Dispenser"/>
    <s v="1522FH119157"/>
    <s v="7500"/>
    <s v="Nagyatád"/>
    <s v="Szabadsag u. 38."/>
    <s v="ok"/>
    <n v="2"/>
    <n v="2"/>
    <x v="12"/>
    <n v="1"/>
    <n v="1"/>
    <n v="1"/>
  </r>
  <r>
    <s v="K &amp; H BANK ZRT."/>
    <s v="AKHB2310"/>
    <s v="Diebold-Opteva 522 Lobby Cash Dispenser"/>
    <s v="1522FH113857"/>
    <s v="9400"/>
    <s v="Sopron"/>
    <s v="Ipar krt 30"/>
    <s v="ok"/>
    <n v="2"/>
    <n v="2"/>
    <x v="8"/>
    <n v="1"/>
    <n v="1"/>
    <n v="1"/>
  </r>
  <r>
    <s v="K &amp; H BANK ZRT."/>
    <s v="AKHB2317"/>
    <s v="Diebold-Opteva 522 Lobby Cash Dispenser"/>
    <s v="1522FH113848"/>
    <s v="4300"/>
    <s v="Nyírbátor"/>
    <s v="Debreceni út 71."/>
    <s v="ok"/>
    <n v="2"/>
    <n v="2"/>
    <x v="1"/>
    <n v="1"/>
    <n v="1"/>
    <n v="1"/>
  </r>
  <r>
    <s v="K &amp; H BANK ZRT."/>
    <s v="AKHB2327"/>
    <s v="Diebold-Opteva 522 Lobby Cash Dispenser"/>
    <s v="1522FH113847"/>
    <s v="2500"/>
    <s v="Esztergom"/>
    <s v="Schweidel J. u. 52."/>
    <s v="ok"/>
    <n v="2"/>
    <n v="2"/>
    <x v="14"/>
    <e v="#N/A"/>
    <n v="0"/>
    <n v="2"/>
  </r>
  <r>
    <s v="K &amp; H BANK ZRT."/>
    <s v="AKHB2340"/>
    <s v="Diebold-Opteva 522 Lobby Cash Dispenser"/>
    <s v="1522FH119151"/>
    <s v="2700"/>
    <s v="Cegléd"/>
    <s v="Ipartelepi u. 3."/>
    <s v="ok"/>
    <n v="2"/>
    <n v="2"/>
    <x v="6"/>
    <e v="#N/A"/>
    <n v="0"/>
    <n v="2"/>
  </r>
  <r>
    <s v="K &amp; H BANK ZRT."/>
    <s v="AKHB2362"/>
    <s v="Diebold-Opteva 522 Lobby Cash Dispenser"/>
    <s v="1522FH113837"/>
    <s v="9600"/>
    <s v="Sárvár"/>
    <s v="Rákóczi u. 83."/>
    <s v="ok"/>
    <n v="2"/>
    <n v="2"/>
    <x v="8"/>
    <n v="1"/>
    <n v="1"/>
    <n v="1"/>
  </r>
  <r>
    <s v="K &amp; H BANK ZRT."/>
    <s v="AKHB2388"/>
    <s v="Diebold-Opteva 520 ATM Indoor"/>
    <s v="1520FCF00288"/>
    <s v="3508"/>
    <s v="Miskolc"/>
    <s v="Mésztelep u. 1/a"/>
    <s v="ok"/>
    <n v="2"/>
    <n v="2"/>
    <x v="2"/>
    <n v="1"/>
    <n v="1"/>
    <n v="1"/>
  </r>
  <r>
    <s v="K &amp; H BANK ZRT."/>
    <s v="AKHB2402"/>
    <s v="Diebold-Opteva 520 ATM Indoor"/>
    <s v="1520FH120044"/>
    <s v="8730"/>
    <s v="Kőszeg"/>
    <s v="Rákóczi F. u."/>
    <s v="ok"/>
    <n v="2"/>
    <n v="2"/>
    <x v="8"/>
    <n v="1"/>
    <n v="1"/>
    <n v="1"/>
  </r>
  <r>
    <s v="K &amp; H BANK ZRT."/>
    <s v="AKHB2416"/>
    <s v="Diebold-Opteva 520 ATM Indoor"/>
    <s v="1520FH120051"/>
    <s v="6724"/>
    <s v="Szeged"/>
    <s v="Rókusi krt. 42-64."/>
    <s v="ok"/>
    <n v="2"/>
    <n v="2"/>
    <x v="3"/>
    <n v="1"/>
    <n v="1"/>
    <n v="1"/>
  </r>
  <r>
    <s v="K &amp; H BANK ZRT."/>
    <s v="AKHB2423"/>
    <s v="Diebold-Opteva 720 ATM Indoor"/>
    <s v="1720F3301172"/>
    <s v="8800"/>
    <s v="Nagykanizsa"/>
    <s v="Táborhely u. 4."/>
    <s v="ok"/>
    <n v="2"/>
    <n v="2"/>
    <x v="9"/>
    <n v="1"/>
    <n v="1"/>
    <n v="1"/>
  </r>
  <r>
    <s v="K &amp; H BANK ZRT."/>
    <s v="AKHB2427"/>
    <s v="Diebold-Opteva 520 ATM Indoor"/>
    <s v="1520FCF00283"/>
    <s v="1149"/>
    <s v="Budapest"/>
    <s v="Pillangó u. 15."/>
    <s v="ok"/>
    <n v="2"/>
    <n v="2"/>
    <x v="14"/>
    <e v="#N/A"/>
    <n v="0"/>
    <n v="2"/>
  </r>
  <r>
    <s v="K &amp; H BANK ZRT."/>
    <s v="AKHB2438"/>
    <s v="Diebold-Opteva 520 ATM Indoor"/>
    <s v="1520FH120031"/>
    <s v="2536"/>
    <s v="Nyergesújfalu"/>
    <s v="Kossuth L. u. 80."/>
    <s v="ok"/>
    <n v="2"/>
    <n v="2"/>
    <x v="0"/>
    <n v="1"/>
    <n v="1"/>
    <n v="1"/>
  </r>
  <r>
    <s v="K &amp; H BANK ZRT."/>
    <s v="AKHB2442"/>
    <s v="Diebold-Opteva 522 Lobby Cash Dispenser"/>
    <s v="1522FH113851"/>
    <s v="4625"/>
    <s v="Záhony"/>
    <s v="Ady E. u. 37/b"/>
    <s v="ok"/>
    <n v="2"/>
    <n v="2"/>
    <x v="1"/>
    <n v="1"/>
    <n v="1"/>
    <n v="1"/>
  </r>
  <r>
    <s v="K &amp; H BANK ZRT."/>
    <s v="AKHB2443"/>
    <s v="Diebold-Opteva 522 Lobby Cash Dispenser"/>
    <s v="1522FH113859"/>
    <s v="4002"/>
    <s v="Debrecen"/>
    <s v="Petőfi tér 12."/>
    <s v="ok"/>
    <n v="2"/>
    <n v="2"/>
    <x v="16"/>
    <n v="1"/>
    <n v="1"/>
    <n v="1"/>
  </r>
  <r>
    <s v="K &amp; H BANK ZRT."/>
    <s v="AKHB2456"/>
    <s v="Diebold-Opteva 520 ATM Indoor"/>
    <s v="1520FH120037"/>
    <s v="4032"/>
    <s v="Debrecen"/>
    <s v="Vezér u."/>
    <s v="ok"/>
    <n v="2"/>
    <n v="2"/>
    <x v="16"/>
    <n v="1"/>
    <n v="1"/>
    <n v="1"/>
  </r>
  <r>
    <s v="K &amp; H BANK ZRT."/>
    <s v="AKHB2463"/>
    <s v="Diebold-Opteva 522 Lobby Cash Dispenser"/>
    <s v="1522FH113832"/>
    <s v="2316"/>
    <s v="Tököl"/>
    <s v="Hermina u. 1-3."/>
    <s v="ok"/>
    <n v="2"/>
    <n v="2"/>
    <x v="15"/>
    <n v="1"/>
    <n v="1"/>
    <n v="1"/>
  </r>
  <r>
    <s v="K &amp; H BANK ZRT."/>
    <s v="AKHB2469"/>
    <s v="Diebold-Opteva 522 Lobby Cash Dispenser"/>
    <s v="1522FH113854"/>
    <s v="2040"/>
    <s v="Budaörs"/>
    <s v="Sport u. 2-4."/>
    <s v="ok"/>
    <n v="2"/>
    <n v="2"/>
    <x v="17"/>
    <n v="1"/>
    <n v="1"/>
    <n v="1"/>
  </r>
  <r>
    <s v="K &amp; H BANK ZRT."/>
    <s v="AKHB2470"/>
    <s v="Diebold-Opteva 522 Lobby Cash Dispenser"/>
    <s v="1522FH119145"/>
    <s v="1087"/>
    <s v="Budapest"/>
    <s v="Kerepesi út 9."/>
    <s v="ok"/>
    <n v="2"/>
    <n v="2"/>
    <x v="13"/>
    <e v="#N/A"/>
    <n v="0"/>
    <n v="2"/>
  </r>
  <r>
    <s v="K &amp; H BANK ZRT."/>
    <s v="AKHB2471"/>
    <s v="Diebold-Opteva 522 Lobby Cash Dispenser"/>
    <s v="1522FH119146"/>
    <s v="2100"/>
    <s v="Gödöllő"/>
    <s v="Thegze L. u. 2."/>
    <s v="ok"/>
    <n v="2"/>
    <n v="2"/>
    <x v="10"/>
    <n v="1"/>
    <n v="1"/>
    <n v="1"/>
  </r>
  <r>
    <s v="K &amp; H BANK ZRT."/>
    <s v="AKHB2472"/>
    <s v="Diebold-Opteva 522 Lobby Cash Dispenser"/>
    <s v="1522FH119148"/>
    <s v="1214"/>
    <s v="Budapest"/>
    <s v="Salak út 12."/>
    <s v="ok"/>
    <n v="2"/>
    <n v="2"/>
    <x v="15"/>
    <n v="1"/>
    <n v="1"/>
    <n v="1"/>
  </r>
  <r>
    <s v="K &amp; H BANK ZRT."/>
    <s v="AKHB2475"/>
    <s v="Diebold-Opteva 522 Lobby Cash Dispenser"/>
    <s v="1522FH119152"/>
    <s v="7200"/>
    <s v="Dombóvár"/>
    <s v="Köztársaság u. 7."/>
    <s v="ok"/>
    <n v="2"/>
    <n v="2"/>
    <x v="12"/>
    <n v="1"/>
    <n v="1"/>
    <n v="1"/>
  </r>
  <r>
    <s v="K &amp; H BANK ZRT."/>
    <s v="AKHB2476"/>
    <s v="Diebold-Opteva 522 Lobby Cash Dispenser"/>
    <s v="1522FH119154"/>
    <s v="7150"/>
    <s v="Bonyhád"/>
    <s v="Völgység u. 8."/>
    <s v="ok"/>
    <n v="2"/>
    <n v="2"/>
    <x v="12"/>
    <n v="1"/>
    <n v="1"/>
    <n v="1"/>
  </r>
  <r>
    <s v="K &amp; H BANK ZRT."/>
    <s v="AKHB2477"/>
    <s v="Diebold-Opteva 522 Lobby Cash Dispenser"/>
    <s v="1522FH119156"/>
    <s v="8400"/>
    <s v="Ajka"/>
    <s v="Fő út 66."/>
    <s v="ok"/>
    <n v="2"/>
    <n v="2"/>
    <x v="4"/>
    <n v="1"/>
    <n v="1"/>
    <n v="1"/>
  </r>
  <r>
    <s v="K &amp; H BANK ZRT."/>
    <s v="AKHB2488"/>
    <s v="Diebold-Opteva 522 Lobby Cash Dispenser"/>
    <s v="1522FH113846"/>
    <s v="3700"/>
    <s v="Kazincbarcika"/>
    <s v="Attila u. 10/b"/>
    <s v="ok"/>
    <n v="2"/>
    <n v="2"/>
    <x v="2"/>
    <n v="1"/>
    <n v="1"/>
    <n v="1"/>
  </r>
  <r>
    <s v="K &amp; H BANK ZRT."/>
    <s v="AKHB2505"/>
    <s v="Diebold-Opteva 522 Lobby Cash Dispenser"/>
    <s v="1522FH119158"/>
    <s v="6100"/>
    <s v="Kiskunfélegyháza"/>
    <s v="IX. körzet 8/b"/>
    <s v="ok"/>
    <n v="2"/>
    <n v="2"/>
    <x v="11"/>
    <n v="1"/>
    <n v="1"/>
    <n v="1"/>
  </r>
  <r>
    <s v="K &amp; H BANK ZRT."/>
    <s v="AKHB2507"/>
    <s v="Diebold-Opteva 522 Lobby Cash Dispenser"/>
    <s v="1522FH113850"/>
    <s v="2840"/>
    <s v="Oroszlány"/>
    <s v="Környei u. 3-5."/>
    <s v="ok"/>
    <n v="2"/>
    <n v="2"/>
    <x v="19"/>
    <e v="#N/A"/>
    <n v="0"/>
    <n v="2"/>
  </r>
  <r>
    <s v="K &amp; H BANK ZRT."/>
    <s v="AKHB2570"/>
    <s v="Diebold-Opteva 522 Lobby Cash Dispenser"/>
    <s v="1522FH119114"/>
    <s v="2040"/>
    <s v="Budaörs"/>
    <s v="Kinizsi út 1-3."/>
    <s v="ok"/>
    <n v="2"/>
    <n v="2"/>
    <x v="17"/>
    <n v="1"/>
    <n v="1"/>
    <n v="1"/>
  </r>
  <r>
    <s v="K &amp; H BANK ZRT."/>
    <s v="AKHB2571"/>
    <s v="Diebold-Opteva 522 Lobby Cash Dispenser"/>
    <s v="1522FH113838"/>
    <s v="8900"/>
    <s v="Zalaegerszeg"/>
    <s v="Posta u. 63."/>
    <s v="ok"/>
    <n v="2"/>
    <n v="2"/>
    <x v="9"/>
    <n v="1"/>
    <n v="1"/>
    <n v="1"/>
  </r>
  <r>
    <s v="K &amp; H BANK ZRT."/>
    <s v="AKHB2577"/>
    <s v="Diebold-Opteva 720 ATM Indoor"/>
    <s v="1720F3301953"/>
    <s v="6100"/>
    <s v="Kiskunfélegyháza"/>
    <s v="Kossuth Lajos u. 37."/>
    <s v="ok"/>
    <n v="2"/>
    <n v="2"/>
    <x v="11"/>
    <n v="1"/>
    <n v="1"/>
    <n v="1"/>
  </r>
  <r>
    <s v="K &amp; H BANK ZRT."/>
    <s v="AKHB2591"/>
    <s v="OPT562 1GIG-DVD-UPS-LAN-A6-CEN3(4HIGH)"/>
    <s v="1562RH153249"/>
    <s v="8000"/>
    <s v="Székesfehérvár"/>
    <s v="Dózsa Gy. u.5."/>
    <s v="ok"/>
    <n v="2"/>
    <n v="2"/>
    <x v="4"/>
    <e v="#N/A"/>
    <n v="0"/>
    <n v="2"/>
  </r>
  <r>
    <s v="K &amp; H BANK ZRT."/>
    <s v="AKHB2592"/>
    <s v="Diebold-Opteva 520 ATM Indoor"/>
    <s v="1520FCF00937"/>
    <s v="1097"/>
    <s v="Budapest"/>
    <s v="Koppány u. 2-4."/>
    <s v="ok"/>
    <n v="2"/>
    <n v="2"/>
    <x v="17"/>
    <n v="1"/>
    <n v="1"/>
    <n v="1"/>
  </r>
  <r>
    <s v="K &amp; H BANK ZRT."/>
    <s v="AKHB2596"/>
    <s v="Diebold-Opteva 522 Lobby Cash Dispenser"/>
    <s v="1522FH113833"/>
    <s v="3900"/>
    <s v="Szerencs"/>
    <s v="Gyár u. 40."/>
    <s v="ok"/>
    <n v="2"/>
    <n v="2"/>
    <x v="1"/>
    <n v="1"/>
    <n v="1"/>
    <n v="1"/>
  </r>
  <r>
    <s v="K &amp; H BANK ZRT."/>
    <s v="AKHB2597"/>
    <s v="Diebold-Opteva 522 Lobby Cash Dispenser"/>
    <s v="1522FH113834"/>
    <s v="1152"/>
    <s v="Budapest"/>
    <s v="Szentmihályi út 131"/>
    <s v="ok"/>
    <n v="2"/>
    <n v="2"/>
    <x v="14"/>
    <n v="1"/>
    <n v="1"/>
    <n v="1"/>
  </r>
  <r>
    <s v="K &amp; H BANK ZRT."/>
    <s v="AKHB2605"/>
    <s v="Diebold-Opteva 520 ATM Indoor"/>
    <s v="1520FCF00564"/>
    <s v="5600"/>
    <s v="Békéscsaba"/>
    <s v="Andrássy út 37-43."/>
    <s v="ok"/>
    <n v="2"/>
    <n v="2"/>
    <x v="3"/>
    <n v="1"/>
    <n v="1"/>
    <n v="1"/>
  </r>
  <r>
    <s v="K &amp; H BANK ZRT."/>
    <s v="AKHB2609"/>
    <s v="Diebold-Opteva 522 Lobby Cash Dispenser"/>
    <s v="1522FH113844"/>
    <s v="2760"/>
    <s v="Nagykáta"/>
    <s v="Dózsa Gy. u. 4."/>
    <s v="ok"/>
    <n v="2"/>
    <n v="2"/>
    <x v="10"/>
    <n v="1"/>
    <n v="1"/>
    <n v="1"/>
  </r>
  <r>
    <s v="K &amp; H BANK ZRT."/>
    <s v="AKHB2622"/>
    <s v="OPT562 1GIG-DVD-UPS-LAN-A6-CEN3(4HIGH)"/>
    <s v="1562RH153236"/>
    <s v="9022"/>
    <s v="Győr"/>
    <s v="Szent István u. 29-31."/>
    <s v="ok"/>
    <n v="2"/>
    <n v="2"/>
    <x v="19"/>
    <n v="1"/>
    <n v="1"/>
    <n v="1"/>
  </r>
  <r>
    <s v="K &amp; H BANK ZRT."/>
    <s v="AKHB2631"/>
    <s v="Diebold-Opteva 522 Lobby Cash Dispenser"/>
    <s v="1522FH105400"/>
    <s v="1204"/>
    <s v="Budapest"/>
    <s v="Mártírok útja 281"/>
    <s v="ok"/>
    <n v="2"/>
    <n v="2"/>
    <x v="15"/>
    <n v="1"/>
    <n v="1"/>
    <n v="1"/>
  </r>
  <r>
    <s v="K &amp; H BANK ZRT."/>
    <s v="AKHB2659"/>
    <s v="Diebold-Opteva 522 Lobby Cash Dispenser"/>
    <s v="1522FH119153"/>
    <s v="1152"/>
    <s v="Budapest"/>
    <s v="Szentmihályi u. 167-169."/>
    <s v="ok"/>
    <n v="2"/>
    <n v="2"/>
    <x v="14"/>
    <e v="#N/A"/>
    <n v="0"/>
    <n v="2"/>
  </r>
  <r>
    <s v="K &amp; H BANK ZRT."/>
    <s v="AKHB2670"/>
    <s v="Diebold-Opteva 520 ATM Indoor"/>
    <s v="1520FCF00561"/>
    <s v="4400"/>
    <s v="Nyíregyháza"/>
    <s v="Állomás tér 3."/>
    <s v="ok"/>
    <n v="2"/>
    <n v="2"/>
    <x v="1"/>
    <n v="1"/>
    <n v="1"/>
    <n v="1"/>
  </r>
  <r>
    <s v="K &amp; H BANK ZRT."/>
    <s v="AKHB2707"/>
    <s v="Diebold-Opteva 520 ATM Indoor"/>
    <s v="1520FH120042"/>
    <s v="1091"/>
    <s v="Budapest"/>
    <s v="Ülloi út 131."/>
    <s v="ok"/>
    <n v="2"/>
    <n v="2"/>
    <x v="17"/>
    <n v="1"/>
    <n v="1"/>
    <n v="1"/>
  </r>
  <r>
    <s v="K &amp; H BANK ZRT."/>
    <s v="AKHB2710"/>
    <s v="OPT562 1GIG-DVD-UPS-LAN-A6-CEN3(4HIGH)"/>
    <s v="1562RH153240"/>
    <s v="1133"/>
    <s v="Budapest"/>
    <s v="Váci út 76."/>
    <s v="ok"/>
    <n v="2"/>
    <n v="2"/>
    <x v="14"/>
    <e v="#N/A"/>
    <n v="0"/>
    <n v="2"/>
  </r>
  <r>
    <s v="K &amp; H BANK ZRT."/>
    <s v="AKHB2713"/>
    <s v="Diebold-Opteva 520 ATM Indoor"/>
    <s v="1520FCF00876"/>
    <s v="6200"/>
    <s v="Kiskőrös"/>
    <s v="Kossuth L. u. 61."/>
    <s v="ok"/>
    <n v="2"/>
    <n v="2"/>
    <x v="7"/>
    <e v="#N/A"/>
    <n v="0"/>
    <n v="2"/>
  </r>
  <r>
    <s v="K &amp; H BANK ZRT."/>
    <s v="AKHB2714"/>
    <s v="Diebold-Opteva 522 Lobby Cash Dispenser"/>
    <s v="1522FH113860"/>
    <s v="5700"/>
    <s v="Gyula"/>
    <s v="Városház u. 17-19."/>
    <s v="ok"/>
    <n v="2"/>
    <n v="2"/>
    <x v="3"/>
    <n v="1"/>
    <n v="1"/>
    <n v="1"/>
  </r>
  <r>
    <s v="K &amp; H BANK ZRT."/>
    <s v="AKHB2715"/>
    <s v="Diebold-Opteva 520 ATM Indoor"/>
    <s v="1520FCF00884"/>
    <s v="5540"/>
    <s v="Szarvas"/>
    <s v="Csabai út 9."/>
    <s v="ok"/>
    <n v="2"/>
    <n v="2"/>
    <x v="11"/>
    <e v="#N/A"/>
    <n v="0"/>
    <n v="2"/>
  </r>
  <r>
    <s v="K &amp; H BANK ZRT."/>
    <s v="AKHB2716"/>
    <s v="Diebold-Opteva 520 ATM Indoor"/>
    <s v="1520FCF00885"/>
    <s v="6600"/>
    <s v="Szentes"/>
    <s v="Alsórét 258."/>
    <s v="ok"/>
    <n v="2"/>
    <n v="2"/>
    <x v="11"/>
    <e v="#N/A"/>
    <n v="0"/>
    <n v="2"/>
  </r>
  <r>
    <s v="K &amp; H BANK ZRT."/>
    <s v="AKHB2717"/>
    <s v="Diebold-Opteva 520 ATM Indoor"/>
    <s v="1520FCF00882"/>
    <s v="2900"/>
    <s v="Komárom"/>
    <s v="Gyár u. 2."/>
    <s v="ok"/>
    <n v="2"/>
    <n v="2"/>
    <x v="19"/>
    <e v="#N/A"/>
    <n v="0"/>
    <n v="2"/>
  </r>
  <r>
    <s v="K &amp; H BANK ZRT."/>
    <s v="AKHB2719"/>
    <s v="Diebold-Opteva 520 ATM Indoor"/>
    <s v="1520FCF00883"/>
    <s v="3100"/>
    <s v="Salgótarján"/>
    <s v="Rákóczi út 143."/>
    <s v="ok"/>
    <n v="2"/>
    <n v="2"/>
    <x v="6"/>
    <e v="#N/A"/>
    <n v="0"/>
    <n v="2"/>
  </r>
  <r>
    <s v="K &amp; H BANK ZRT."/>
    <s v="AKHB2720"/>
    <s v="Diebold-Opteva 520 ATM Indoor"/>
    <s v="1520FCF00878"/>
    <s v="8800"/>
    <s v="Nagykanizsa"/>
    <s v="Boszorkány u 2."/>
    <s v="ok"/>
    <n v="2"/>
    <n v="2"/>
    <x v="9"/>
    <n v="1"/>
    <n v="1"/>
    <n v="1"/>
  </r>
  <r>
    <s v="K &amp; H BANK ZRT."/>
    <s v="AKHB2721"/>
    <s v="Diebold-Opteva 520 ATM Indoor"/>
    <s v="1520FCF00877"/>
    <s v="8300"/>
    <s v="Tapolca"/>
    <s v="Veszprémi út 5."/>
    <s v="ok"/>
    <n v="2"/>
    <n v="2"/>
    <x v="9"/>
    <n v="1"/>
    <n v="1"/>
    <n v="1"/>
  </r>
  <r>
    <s v="K &amp; H BANK ZRT."/>
    <s v="AKHB2722"/>
    <s v="Diebold-Opteva 520 ATM Indoor"/>
    <s v="1520FCF00888"/>
    <s v="8500"/>
    <s v="Pápa"/>
    <s v="Celli út 92."/>
    <s v="ok"/>
    <n v="2"/>
    <n v="2"/>
    <x v="8"/>
    <n v="1"/>
    <n v="1"/>
    <n v="1"/>
  </r>
  <r>
    <s v="K &amp; H BANK ZRT."/>
    <s v="AKHB2723"/>
    <s v="Diebold-Opteva 520 ATM Indoor"/>
    <s v="1520FCF00887"/>
    <s v="5900"/>
    <s v="Orosháza"/>
    <s v="Vásárhelyi út 23/a"/>
    <s v="ok"/>
    <n v="2"/>
    <n v="2"/>
    <x v="3"/>
    <n v="1"/>
    <n v="1"/>
    <n v="1"/>
  </r>
  <r>
    <s v="K &amp; H BANK ZRT."/>
    <s v="AKHB2725"/>
    <s v="Diebold-Opteva 520 ATM Indoor"/>
    <s v="1520FCF00889"/>
    <s v="4700"/>
    <s v="Mátészalka"/>
    <s v="Alkotmány u. 1/a"/>
    <s v="ok"/>
    <n v="2"/>
    <n v="2"/>
    <x v="1"/>
    <n v="1"/>
    <n v="1"/>
    <n v="1"/>
  </r>
  <r>
    <s v="K &amp; H BANK ZRT."/>
    <s v="AKHB2734"/>
    <s v="Diebold-Opteva 520 ATM Indoor"/>
    <s v="1520FCF00890"/>
    <s v="8360"/>
    <s v="Keszthely"/>
    <s v="Csapás u. 27."/>
    <s v="ok"/>
    <n v="2"/>
    <n v="2"/>
    <x v="9"/>
    <n v="1"/>
    <n v="1"/>
    <n v="1"/>
  </r>
  <r>
    <s v="K &amp; H BANK ZRT."/>
    <s v="AKHB2735"/>
    <s v="Diebold-Opteva 520 ATM Indoor"/>
    <s v="1520FCF00886"/>
    <s v="3980"/>
    <s v="Sátoraljaújhely"/>
    <s v="Kazinczy F. u. 105."/>
    <s v="ok"/>
    <n v="2"/>
    <n v="2"/>
    <x v="1"/>
    <n v="1"/>
    <n v="1"/>
    <n v="1"/>
  </r>
  <r>
    <s v="K &amp; H BANK ZRT."/>
    <s v="AKHB2736"/>
    <s v="Diebold-Opteva 520 ATM Indoor"/>
    <s v="1520FCF00933"/>
    <s v="1239"/>
    <s v="Budapest"/>
    <s v="Bevásárló u. 2."/>
    <s v="ok"/>
    <n v="2"/>
    <n v="2"/>
    <x v="15"/>
    <n v="1"/>
    <n v="1"/>
    <n v="1"/>
  </r>
  <r>
    <s v="K &amp; H BANK ZRT."/>
    <s v="AKHB2746"/>
    <s v="Diebold-Opteva 520 ATM Indoor"/>
    <s v="1520FCF00928"/>
    <s v="8100"/>
    <s v="Várpalota"/>
    <s v="Fehérvári u.17."/>
    <s v="ok"/>
    <n v="2"/>
    <n v="2"/>
    <x v="4"/>
    <n v="1"/>
    <n v="1"/>
    <n v="1"/>
  </r>
  <r>
    <s v="K &amp; H BANK ZRT."/>
    <s v="AKHB2749"/>
    <s v="Diebold-Opteva 520 ATM Indoor"/>
    <s v="1520FH120033"/>
    <s v="8749"/>
    <s v="Zalakaros"/>
    <s v="Gyógyfürdő tér 4."/>
    <s v="ok"/>
    <n v="2"/>
    <n v="2"/>
    <x v="9"/>
    <n v="1"/>
    <n v="1"/>
    <n v="1"/>
  </r>
  <r>
    <s v="K &amp; H BANK ZRT."/>
    <s v="AKHB2750"/>
    <s v="Diebold-Opteva 720 ATM Indoor"/>
    <s v="1720F3301939"/>
    <s v="7000"/>
    <s v="Sárbogárd"/>
    <s v="Ady Endre u. 19 ."/>
    <s v="ok"/>
    <n v="2"/>
    <n v="2"/>
    <x v="7"/>
    <n v="1"/>
    <n v="1"/>
    <n v="1"/>
  </r>
  <r>
    <s v="K &amp; H BANK ZRT."/>
    <s v="AKHB2770"/>
    <s v="Diebold-Opteva 520 ATM Indoor"/>
    <s v="1520FCF00164"/>
    <s v="1055"/>
    <s v="Budapest"/>
    <s v="Nyugati tér 9."/>
    <s v="ok"/>
    <n v="2"/>
    <n v="2"/>
    <x v="13"/>
    <e v="#N/A"/>
    <n v="0"/>
    <n v="2"/>
  </r>
  <r>
    <s v="K &amp; H BANK ZRT."/>
    <s v="AKHB2775"/>
    <s v="Diebold-Opteva 522 Lobby Cash Dispenser"/>
    <s v="1522FH105401"/>
    <s v="3200"/>
    <s v="Gyöngyös"/>
    <s v="Vásár u.2."/>
    <s v="ok"/>
    <n v="2"/>
    <n v="2"/>
    <x v="10"/>
    <n v="1"/>
    <n v="1"/>
    <n v="1"/>
  </r>
  <r>
    <s v="K &amp; H BANK ZRT."/>
    <s v="AKHB2778"/>
    <s v="Diebold-Opteva 522 Lobby Cash Dispenser"/>
    <s v="1522FH105402"/>
    <s v="3400"/>
    <s v="Mezőkövesd"/>
    <s v="Egri út 51"/>
    <s v="ok"/>
    <n v="2"/>
    <n v="2"/>
    <x v="2"/>
    <e v="#N/A"/>
    <n v="0"/>
    <n v="2"/>
  </r>
  <r>
    <s v="K &amp; H BANK ZRT."/>
    <s v="AKHB2785"/>
    <s v="Diebold-Opteva 520 ATM Indoor"/>
    <s v="1520FH120050"/>
    <s v="5100"/>
    <s v="Jászberény"/>
    <s v="Nagykátai u.2/a"/>
    <s v="ok"/>
    <n v="2"/>
    <n v="2"/>
    <x v="10"/>
    <n v="1"/>
    <n v="1"/>
    <n v="1"/>
  </r>
  <r>
    <s v="K &amp; H BANK ZRT."/>
    <s v="AKHB2796"/>
    <s v="Diebold-Opteva 520 ATM Indoor"/>
    <s v="1520FH120060"/>
    <s v="2800"/>
    <s v="Tatabánya"/>
    <s v="Bláthy O. u. 1."/>
    <s v="ok"/>
    <n v="2"/>
    <n v="2"/>
    <x v="19"/>
    <e v="#N/A"/>
    <n v="0"/>
    <n v="2"/>
  </r>
  <r>
    <s v="K &amp; H BANK ZRT."/>
    <s v="AKHB2818"/>
    <s v="Diebold-Opteva 520 ATM Indoor"/>
    <s v="1520FCF00893"/>
    <s v="2890"/>
    <s v="Tata"/>
    <s v="Ring u. 1."/>
    <s v="ok"/>
    <n v="2"/>
    <n v="2"/>
    <x v="19"/>
    <n v="1"/>
    <n v="1"/>
    <n v="1"/>
  </r>
  <r>
    <s v="K &amp; H BANK ZRT."/>
    <s v="AKHB2819"/>
    <s v="Diebold-Opteva 520 ATM Indoor"/>
    <s v="1520FH120036"/>
    <s v="9300"/>
    <s v="Csorna"/>
    <s v="Bartók B. út 3/c"/>
    <s v="ok"/>
    <n v="2"/>
    <n v="2"/>
    <x v="8"/>
    <n v="1"/>
    <n v="1"/>
    <n v="1"/>
  </r>
  <r>
    <s v="K &amp; H BANK ZRT."/>
    <s v="AKHB2820"/>
    <s v="Diebold-Opteva 520 ATM Indoor"/>
    <s v="1520FH120034"/>
    <s v="2750"/>
    <s v="Nagykőrös"/>
    <s v="Ceglédi u. 32."/>
    <s v="ok"/>
    <n v="2"/>
    <n v="2"/>
    <x v="11"/>
    <e v="#N/A"/>
    <n v="0"/>
    <n v="2"/>
  </r>
  <r>
    <s v="K &amp; H BANK ZRT."/>
    <s v="AKHB2821"/>
    <s v="Diebold-Opteva 520 ATM Indoor"/>
    <s v="1520FH120035"/>
    <s v="9900"/>
    <s v="Körmend"/>
    <s v="Sport u. 5."/>
    <s v="ok"/>
    <n v="2"/>
    <n v="2"/>
    <x v="8"/>
    <n v="1"/>
    <n v="1"/>
    <n v="1"/>
  </r>
  <r>
    <s v="K &amp; H BANK ZRT."/>
    <s v="AKHB2830"/>
    <s v="Diebold-Opteva 520 ATM Indoor"/>
    <s v="1520FH120053"/>
    <s v="5126"/>
    <s v="Jászfényszaru"/>
    <s v="Samsung tér 1."/>
    <s v="ok"/>
    <n v="2"/>
    <n v="2"/>
    <x v="10"/>
    <n v="1"/>
    <n v="1"/>
    <n v="1"/>
  </r>
  <r>
    <s v="K &amp; H BANK ZRT."/>
    <s v="AKHB2833"/>
    <s v="Diebold-Opteva 520 ATM Indoor"/>
    <s v="1520FH120038"/>
    <s v="5300"/>
    <s v="Karcag"/>
    <s v="Kisújszállás u. 34."/>
    <s v="ok"/>
    <n v="2"/>
    <n v="2"/>
    <x v="16"/>
    <n v="1"/>
    <n v="1"/>
    <n v="1"/>
  </r>
  <r>
    <s v="K &amp; H BANK ZRT."/>
    <s v="AKHB2841"/>
    <s v="Diebold-Opteva 522 Lobby Cash Dispenser"/>
    <s v="1522FH105403"/>
    <s v="9024"/>
    <s v="Győr"/>
    <s v="Vasvári Pál út 1/a ( Pláza )"/>
    <s v="ok"/>
    <n v="2"/>
    <n v="2"/>
    <x v="19"/>
    <n v="1"/>
    <n v="1"/>
    <n v="1"/>
  </r>
  <r>
    <s v="K &amp; H BANK ZRT."/>
    <s v="AKHB2850"/>
    <s v="Diebold-Opteva 522 Lobby Cash Dispenser"/>
    <s v="1522FH113835"/>
    <s v="9501"/>
    <s v="Celldömölk"/>
    <s v="Dr. Géfin L. tér 13."/>
    <s v="ok"/>
    <n v="2"/>
    <n v="2"/>
    <x v="8"/>
    <e v="#N/A"/>
    <n v="0"/>
    <n v="2"/>
  </r>
  <r>
    <s v="K &amp; H BANK ZRT."/>
    <s v="AKHB2858"/>
    <s v="Diebold-Opteva 720 ATM Indoor"/>
    <s v="1720F3301184"/>
    <s v="8460"/>
    <s v="Devecser"/>
    <s v="Petőfi Sándor tér 3."/>
    <s v="ok"/>
    <n v="2"/>
    <n v="2"/>
    <x v="9"/>
    <n v="1"/>
    <n v="1"/>
    <n v="1"/>
  </r>
  <r>
    <s v="K &amp; H BANK ZRT."/>
    <s v="AKHB2867"/>
    <s v="Diebold-Opteva 520 ATM Indoor"/>
    <s v="1520FH120056"/>
    <s v="5440"/>
    <s v="Kunszentmárton"/>
    <s v="Kossuth L.u.1/b."/>
    <s v="ok"/>
    <n v="2"/>
    <n v="2"/>
    <x v="11"/>
    <n v="1"/>
    <n v="1"/>
    <n v="1"/>
  </r>
  <r>
    <s v="K &amp; H BANK ZRT."/>
    <s v="AKHB2893"/>
    <s v="Diebold-Opteva 520 ATM Indoor"/>
    <s v="1520FH120048"/>
    <s v="6726"/>
    <s v="Szeged"/>
    <s v="Szőregi út 80."/>
    <s v="ok"/>
    <n v="2"/>
    <n v="2"/>
    <x v="3"/>
    <n v="1"/>
    <n v="1"/>
    <n v="1"/>
  </r>
  <r>
    <s v="K &amp; H BANK ZRT."/>
    <s v="AKHB2925"/>
    <s v="Diebold-Opteva 522 Lobby Cash Dispenser"/>
    <s v="1522FH113840"/>
    <s v="8200"/>
    <s v="Veszprém"/>
    <s v="Budapest u. 6."/>
    <s v="ok"/>
    <n v="2"/>
    <n v="2"/>
    <x v="4"/>
    <e v="#N/A"/>
    <n v="0"/>
    <n v="2"/>
  </r>
  <r>
    <s v="K &amp; H BANK ZRT."/>
    <s v="AKHB2929"/>
    <s v="Diebold-Opteva 522 Lobby Cash Dispenser"/>
    <s v="1522FH113839"/>
    <s v="4400"/>
    <s v="Nyíregyháza"/>
    <s v="Lego u. 15."/>
    <s v="ok"/>
    <n v="2"/>
    <n v="2"/>
    <x v="1"/>
    <n v="1"/>
    <n v="1"/>
    <n v="1"/>
  </r>
  <r>
    <s v="K &amp; H BANK ZRT."/>
    <s v="AKHB2945"/>
    <s v="Diebold-Opteva 522 Lobby Cash Dispenser"/>
    <s v="1522FH113841"/>
    <s v="1095"/>
    <s v="Budapest"/>
    <s v="Lechner Ödön fasor 9. K épület"/>
    <s v="ok"/>
    <n v="2"/>
    <n v="2"/>
    <x v="17"/>
    <n v="1"/>
    <n v="1"/>
    <n v="1"/>
  </r>
  <r>
    <s v="K &amp; H BANK ZRT."/>
    <s v="AKHB2946"/>
    <s v="Diebold-Opteva 522 Lobby Cash Dispenser"/>
    <s v="1522FH113836"/>
    <s v="1095"/>
    <s v="Budapest"/>
    <s v="Lechner Ödön fasor 9. K épület"/>
    <s v="ok"/>
    <n v="2"/>
    <n v="2"/>
    <x v="17"/>
    <n v="1"/>
    <n v="1"/>
    <n v="1"/>
  </r>
  <r>
    <s v="K &amp; H BANK ZRT."/>
    <s v="AKHB2947"/>
    <s v="Diebold-Opteva 522 Lobby Cash Dispenser"/>
    <s v="1522FH113843"/>
    <s v="6430"/>
    <s v="Bácsalmás"/>
    <s v="Szent János u. 11."/>
    <s v="ok"/>
    <n v="2"/>
    <n v="2"/>
    <x v="7"/>
    <n v="1"/>
    <n v="1"/>
    <n v="1"/>
  </r>
  <r>
    <s v="K &amp; H BANK ZRT."/>
    <s v="AKHB2967"/>
    <s v="Diebold-Opteva 522 Lobby Cash Dispenser"/>
    <s v="1522FH113852"/>
    <s v="8237"/>
    <s v="Tihany"/>
    <s v="Rév u.3."/>
    <s v="ok"/>
    <n v="2"/>
    <n v="2"/>
    <x v="4"/>
    <e v="#N/A"/>
    <n v="0"/>
    <n v="2"/>
  </r>
  <r>
    <s v="K &amp; H BANK ZRT."/>
    <s v="AKHB2972"/>
    <s v="Diebold-Opteva 522 Lobby Cash Dispenser"/>
    <s v="1522FH113858"/>
    <s v="1052"/>
    <s v="Budapest"/>
    <s v="Apáczai Csere János u.12-14."/>
    <s v="ok"/>
    <n v="2"/>
    <n v="2"/>
    <x v="13"/>
    <e v="#N/A"/>
    <n v="0"/>
    <n v="2"/>
  </r>
  <r>
    <s v="K &amp; H BANK ZRT."/>
    <s v="AKHB2973"/>
    <s v="Diebold-Opteva 520 ATM Indoor"/>
    <s v="1520FH120045"/>
    <s v="1138"/>
    <s v="Budapest"/>
    <s v="Gács u. 3."/>
    <s v="ok"/>
    <n v="2"/>
    <n v="2"/>
    <x v="14"/>
    <e v="#N/A"/>
    <n v="0"/>
    <n v="2"/>
  </r>
  <r>
    <s v="K &amp; H BANK ZRT."/>
    <s v="AKHB2974"/>
    <s v="Diebold-Opteva 520 ATM Indoor"/>
    <s v="1520FCF00569"/>
    <s v="1037"/>
    <s v="Budapest"/>
    <s v="Bécsi út 258."/>
    <s v="ok"/>
    <n v="2"/>
    <n v="2"/>
    <x v="0"/>
    <e v="#N/A"/>
    <n v="0"/>
    <n v="2"/>
  </r>
  <r>
    <s v="K &amp; H BANK ZRT."/>
    <s v="AKHB2975"/>
    <s v="Diebold-Opteva 520 ATM Indoor"/>
    <s v="1520FH120061"/>
    <s v="2600"/>
    <s v="Vác"/>
    <s v="Deres u. 2."/>
    <s v="ok"/>
    <n v="2"/>
    <n v="2"/>
    <x v="6"/>
    <e v="#N/A"/>
    <n v="0"/>
    <n v="2"/>
  </r>
  <r>
    <s v="K &amp; H BANK ZRT."/>
    <s v="AKHB2976"/>
    <s v="Diebold-Opteva 520 ATM Indoor"/>
    <s v="1520FCF00223"/>
    <s v="4200"/>
    <s v="Hajdúszoboszló"/>
    <s v="Kabai útfél"/>
    <s v="ok"/>
    <n v="2"/>
    <n v="2"/>
    <x v="16"/>
    <n v="1"/>
    <n v="1"/>
    <n v="1"/>
  </r>
  <r>
    <s v="K &amp; H BANK ZRT."/>
    <s v="AKHB2977"/>
    <s v="Diebold-Opteva 520 ATM Indoor"/>
    <s v="1520FCF00222"/>
    <s v="4100"/>
    <s v="Berettyóújfalu"/>
    <s v="Honvéd u. 13."/>
    <s v="ok"/>
    <n v="2"/>
    <n v="2"/>
    <x v="16"/>
    <n v="1"/>
    <n v="1"/>
    <n v="1"/>
  </r>
  <r>
    <s v="K &amp; H BANK ZRT."/>
    <s v="AKHB2978"/>
    <s v="Diebold-Opteva 520 ATM Indoor"/>
    <s v="1520FCF00568"/>
    <s v="2120"/>
    <s v="Dunakeszi"/>
    <s v="Fóti út 120."/>
    <s v="ok"/>
    <n v="2"/>
    <n v="2"/>
    <x v="14"/>
    <n v="1"/>
    <n v="1"/>
    <n v="1"/>
  </r>
  <r>
    <s v="K &amp; H BANK ZRT."/>
    <s v="AKHB2979"/>
    <s v="Diebold-Opteva 520 ATM Indoor"/>
    <s v="1520FCF00566"/>
    <s v="3300"/>
    <s v="Eger"/>
    <s v="Rákóczi u. 100."/>
    <s v="ok"/>
    <n v="2"/>
    <n v="2"/>
    <x v="2"/>
    <n v="1"/>
    <n v="1"/>
    <n v="1"/>
  </r>
  <r>
    <s v="K &amp; H BANK ZRT."/>
    <s v="AKHB2985"/>
    <s v="Diebold-Opteva 520 ATM Indoor"/>
    <s v="1520FCF00880"/>
    <s v="2060"/>
    <s v="Bicske"/>
    <s v="Csabdi u. 4."/>
    <s v="ok"/>
    <n v="2"/>
    <n v="2"/>
    <x v="19"/>
    <n v="1"/>
    <n v="1"/>
    <n v="1"/>
  </r>
  <r>
    <s v="K &amp; H BANK ZRT."/>
    <s v="AKHB4141"/>
    <s v="ProCash 280 Frontload"/>
    <s v="56DW3000057"/>
    <s v="8230"/>
    <s v="Balatonfüred"/>
    <s v="Fürdő u.34"/>
    <s v="ok"/>
    <n v="2"/>
    <n v="2"/>
    <x v="4"/>
    <n v="1"/>
    <n v="1"/>
    <n v="1"/>
  </r>
  <r>
    <s v="K &amp; H BANK ZRT."/>
    <s v="AKHB4315"/>
    <s v="ProCash 280 Frontload"/>
    <s v="56DW3000054"/>
    <s v="1222"/>
    <s v="Budapest"/>
    <s v="Nagytétényi út 35"/>
    <s v="ok"/>
    <n v="2"/>
    <n v="2"/>
    <x v="5"/>
    <e v="#N/A"/>
    <n v="0"/>
    <n v="2"/>
  </r>
  <r>
    <s v="K &amp; H BANK ZRT."/>
    <s v="AKHB4316"/>
    <s v="ProCash 280 Frontload"/>
    <s v="56DW3000055"/>
    <s v="3527"/>
    <s v="Miskolc"/>
    <s v="József A.u.87"/>
    <s v="ok"/>
    <n v="2"/>
    <n v="2"/>
    <x v="2"/>
    <n v="1"/>
    <n v="1"/>
    <n v="1"/>
  </r>
  <r>
    <s v="K &amp; H BANK ZRT."/>
    <s v="AKHB4321"/>
    <s v="ProCash 280 Frontload"/>
    <s v="56DW3000056"/>
    <s v="2234"/>
    <s v="Maglód"/>
    <s v="Eszterházy J. u .1"/>
    <s v="ok"/>
    <n v="2"/>
    <n v="2"/>
    <x v="6"/>
    <e v="#N/A"/>
    <n v="0"/>
    <n v="2"/>
  </r>
  <r>
    <s v="K &amp; H BANK ZRT."/>
    <s v="AKHB4342"/>
    <s v="ProCash 2100xe USB Frontload"/>
    <s v="5300280051"/>
    <s v="9444"/>
    <s v="Fertőszentmiklós"/>
    <s v="Petőfi S. u.2"/>
    <s v="ok"/>
    <n v="2"/>
    <n v="2"/>
    <x v="8"/>
    <e v="#N/A"/>
    <n v="0"/>
    <n v="2"/>
  </r>
  <r>
    <s v="K &amp; H BANK ZRT."/>
    <s v="AKHB4355"/>
    <s v="ProCash 2100xe USB Frontload"/>
    <s v="5300280265"/>
    <s v="4400"/>
    <s v="Nyíregyháza"/>
    <s v="Pazonyi út 36-2"/>
    <s v="ok"/>
    <n v="2"/>
    <n v="2"/>
    <x v="1"/>
    <n v="1"/>
    <n v="1"/>
    <n v="1"/>
  </r>
  <r>
    <s v="K &amp; H BANK ZRT."/>
    <s v="AKHB4415"/>
    <s v="ProCash 2100xe USB Frontload"/>
    <s v="5300279234"/>
    <s v="7900"/>
    <s v="Szigetvár"/>
    <s v="Almáspatak u.7"/>
    <s v="ok"/>
    <n v="2"/>
    <n v="2"/>
    <x v="12"/>
    <n v="1"/>
    <n v="1"/>
    <n v="1"/>
  </r>
  <r>
    <s v="K &amp; H BANK ZRT."/>
    <s v="AKHB4417"/>
    <s v="ProCash 2100xe USB Frontload"/>
    <s v="5300279083"/>
    <s v="5350"/>
    <s v="Tiszafüred"/>
    <s v="Madács I.u.2"/>
    <s v="ok"/>
    <n v="2"/>
    <n v="2"/>
    <x v="16"/>
    <n v="1"/>
    <n v="1"/>
    <n v="1"/>
  </r>
  <r>
    <s v="K &amp; H BANK ZRT."/>
    <s v="AKHB4418"/>
    <s v="ProCash 2100xe USB Frontload"/>
    <s v="5300280078"/>
    <s v="7700"/>
    <s v="Mohács"/>
    <s v="Pécsi út 61"/>
    <s v="ok"/>
    <n v="2"/>
    <n v="2"/>
    <x v="12"/>
    <n v="1"/>
    <n v="1"/>
    <n v="1"/>
  </r>
  <r>
    <s v="K &amp; H BANK ZRT."/>
    <s v="AKHB4424"/>
    <s v="ProCash 2100xe USB Frontload"/>
    <s v="5300279433"/>
    <s v="6300"/>
    <s v="Kalocsa"/>
    <s v="Bányai út 8-10"/>
    <s v="ok"/>
    <n v="2"/>
    <n v="2"/>
    <x v="7"/>
    <e v="#N/A"/>
    <n v="0"/>
    <n v="2"/>
  </r>
  <r>
    <s v="K &amp; H BANK ZRT."/>
    <s v="AKHB4425"/>
    <s v="ProCash 2100xe USB Frontload"/>
    <s v="5300280365"/>
    <s v="6000"/>
    <s v="Kecskemét"/>
    <s v="Izsáki út 12/b"/>
    <s v="ok"/>
    <n v="2"/>
    <n v="2"/>
    <x v="11"/>
    <n v="1"/>
    <n v="1"/>
    <n v="1"/>
  </r>
  <r>
    <s v="K &amp; H BANK ZRT."/>
    <s v="AKHB4436"/>
    <s v="ProCash 2100xe USB Frontload"/>
    <s v="5300280210"/>
    <s v="8181"/>
    <s v="Berhida"/>
    <s v="Veszprémi út 2"/>
    <s v="ok"/>
    <n v="2"/>
    <n v="2"/>
    <x v="4"/>
    <e v="#N/A"/>
    <n v="0"/>
    <n v="2"/>
  </r>
  <r>
    <s v="K &amp; H BANK ZRT."/>
    <s v="AKHB4587"/>
    <s v="ProCash 2100xe USB Frontload"/>
    <s v="5300280196"/>
    <s v="1117"/>
    <s v="Budapest"/>
    <s v="Pázmány Péter sétány 1."/>
    <s v="ok"/>
    <n v="2"/>
    <n v="2"/>
    <x v="5"/>
    <e v="#N/A"/>
    <n v="0"/>
    <n v="2"/>
  </r>
  <r>
    <s v="K &amp; H BANK ZRT."/>
    <s v="AKHB4632"/>
    <s v="ProCash 2100xe USB Frontload"/>
    <s v="5300280434"/>
    <s v="3600"/>
    <s v="Ózd"/>
    <s v="Brassói u.3"/>
    <s v="ok"/>
    <n v="2"/>
    <n v="2"/>
    <x v="2"/>
    <n v="1"/>
    <n v="1"/>
    <n v="1"/>
  </r>
  <r>
    <s v="K &amp; H BANK ZRT."/>
    <s v="AKHB4642"/>
    <s v="ProCash 2100xe USB Frontload"/>
    <s v="5300280455"/>
    <s v="6400"/>
    <s v="Kiskunhalas"/>
    <s v="Fejérföld u.24"/>
    <s v="ok"/>
    <n v="2"/>
    <n v="2"/>
    <x v="7"/>
    <e v="#N/A"/>
    <n v="0"/>
    <n v="2"/>
  </r>
  <r>
    <s v="K &amp; H BANK ZRT."/>
    <s v="AKHK2074"/>
    <s v="Diebold-Opteva 760 ATM Outdoor"/>
    <s v="1760R3302647"/>
    <s v="3001"/>
    <s v="Hatvan"/>
    <s v="Ring Kálmán u. 5."/>
    <s v="ok"/>
    <n v="2"/>
    <n v="2"/>
    <x v="10"/>
    <n v="1"/>
    <n v="1"/>
    <n v="1"/>
  </r>
  <r>
    <s v="K &amp; H BANK ZRT."/>
    <s v="AKHK2086"/>
    <s v="OPT562 1GIG-DVD-UPS-LAN-A6-CEN3(4HIGH)"/>
    <s v="1562RH153191"/>
    <s v="4142"/>
    <s v="Zsáka"/>
    <s v="Szabadság tér 3."/>
    <s v="ok"/>
    <n v="2"/>
    <n v="2"/>
    <x v="16"/>
    <n v="1"/>
    <n v="1"/>
    <n v="1"/>
  </r>
  <r>
    <s v="K &amp; H BANK ZRT."/>
    <s v="AKHK2148"/>
    <s v="OPT562 1GIG-DVD-UPS-LAN-A6-CEN3(4HIGH)"/>
    <s v="1562RH153216"/>
    <s v="3032"/>
    <s v="Apc"/>
    <s v="Mária u. 2."/>
    <s v="ok"/>
    <n v="2"/>
    <n v="2"/>
    <x v="10"/>
    <n v="1"/>
    <n v="1"/>
    <n v="1"/>
  </r>
  <r>
    <s v="K &amp; H BANK ZRT."/>
    <s v="AKHK2155"/>
    <s v="OPT562 1GIG-DVD-UPS-LAN-A6-CEN3(4HIGH)"/>
    <s v="1562RH153179"/>
    <s v="1061"/>
    <s v="Budapest"/>
    <s v="Andrássy út 49."/>
    <s v="ok"/>
    <n v="2"/>
    <n v="2"/>
    <x v="13"/>
    <e v="#N/A"/>
    <n v="0"/>
    <n v="2"/>
  </r>
  <r>
    <s v="K &amp; H BANK ZRT."/>
    <s v="AKHK2169"/>
    <s v="Diebold-Opteva 760 ATM Outdoor"/>
    <s v="1760R3320141"/>
    <s v="2310"/>
    <s v="Szigetszentmiklós"/>
    <s v="M0 lejáró mellett"/>
    <s v="ok"/>
    <n v="2"/>
    <n v="2"/>
    <x v="15"/>
    <n v="1"/>
    <n v="1"/>
    <n v="1"/>
  </r>
  <r>
    <s v="K &amp; H BANK ZRT."/>
    <s v="AKHK2170"/>
    <s v="Diebold-Opteva 760 ATM Outdoor"/>
    <s v="1760R3320133"/>
    <s v="4600"/>
    <s v="Kisvárda"/>
    <s v="Árpád út 123."/>
    <s v="ok"/>
    <n v="2"/>
    <n v="2"/>
    <x v="1"/>
    <n v="1"/>
    <n v="1"/>
    <n v="1"/>
  </r>
  <r>
    <s v="K &amp; H BANK ZRT."/>
    <s v="AKHK2171"/>
    <s v="Diebold-Opteva 760 ATM Outdoor"/>
    <s v="1760R3320420"/>
    <s v="2194"/>
    <s v="Tura"/>
    <s v="Petőfi S. tér"/>
    <s v="ok"/>
    <n v="2"/>
    <n v="2"/>
    <x v="10"/>
    <e v="#N/A"/>
    <n v="0"/>
    <n v="2"/>
  </r>
  <r>
    <s v="K &amp; H BANK ZRT."/>
    <s v="AKHK2189"/>
    <s v="OPT562 1GIG-DVD-UPS-LAN-A6-CEN3(4HIGH)"/>
    <s v="1562RH153231"/>
    <s v="8999"/>
    <s v="Zalalövő"/>
    <s v="Kossuth u. 2."/>
    <s v="ok"/>
    <n v="2"/>
    <n v="2"/>
    <x v="9"/>
    <e v="#N/A"/>
    <n v="0"/>
    <n v="2"/>
  </r>
  <r>
    <s v="K &amp; H BANK ZRT."/>
    <s v="AKHK2212"/>
    <s v="OPT562 1GIG-DVD-UPS-LAN-A6-CEN3(4HIGH)"/>
    <s v="1562RH153247"/>
    <s v="6600"/>
    <s v="Szentes"/>
    <s v="Kossuth L. u. 13."/>
    <s v="ok"/>
    <n v="2"/>
    <n v="2"/>
    <x v="11"/>
    <e v="#N/A"/>
    <n v="0"/>
    <n v="2"/>
  </r>
  <r>
    <s v="K &amp; H BANK ZRT."/>
    <s v="AKHK2239"/>
    <s v="OPT562 1GIG-DVD-UPS-LAN-A6-CEN3(4HIGH)"/>
    <s v="1562RH153245"/>
    <s v="1026"/>
    <s v="Budapest"/>
    <s v="Pázsit u. 2."/>
    <s v="ok"/>
    <n v="2"/>
    <n v="2"/>
    <x v="0"/>
    <n v="1"/>
    <n v="1"/>
    <n v="1"/>
  </r>
  <r>
    <s v="K &amp; H BANK ZRT."/>
    <s v="AKHK2255"/>
    <s v="OPT562 1GIG-DVD-UPS-LAN-A6-CEN3(4HIGH)"/>
    <s v="1562RH153246"/>
    <s v="1146"/>
    <s v="Budapest"/>
    <s v="Ajtósi Dürer sor 10."/>
    <s v="ok"/>
    <n v="2"/>
    <n v="2"/>
    <x v="14"/>
    <e v="#N/A"/>
    <n v="0"/>
    <n v="2"/>
  </r>
  <r>
    <s v="K &amp; H BANK ZRT."/>
    <s v="AKHK2299"/>
    <s v="OPT562 1GIG-DVD-UPS-LAN-A6-CEN3(4HIGH)"/>
    <s v="1562RH153237"/>
    <s v="1051"/>
    <s v="Budapest"/>
    <s v="Erzsébet tér 9."/>
    <s v="ok"/>
    <n v="2"/>
    <n v="2"/>
    <x v="13"/>
    <e v="#N/A"/>
    <n v="0"/>
    <n v="2"/>
  </r>
  <r>
    <s v="K &amp; H BANK ZRT."/>
    <s v="AKHK2306"/>
    <s v="Diebold-Opteva 750 ATM Outdoor"/>
    <s v="1750F3320020"/>
    <s v="1138"/>
    <s v="Budapest"/>
    <s v="Danubius u. 5."/>
    <s v="ok"/>
    <n v="2"/>
    <n v="2"/>
    <x v="14"/>
    <e v="#N/A"/>
    <n v="0"/>
    <n v="2"/>
  </r>
  <r>
    <s v="K &amp; H BANK ZRT."/>
    <s v="AKHK2313"/>
    <s v="OPT562 1GIG-DVD-UPS-LAN-A6-CEN3(4HIGH)"/>
    <s v="1562RH153244"/>
    <s v="6101"/>
    <s v="Kiskunfélegyháza"/>
    <s v="Petőfi tér 2."/>
    <s v="ok"/>
    <n v="2"/>
    <n v="2"/>
    <x v="11"/>
    <n v="1"/>
    <n v="1"/>
    <n v="1"/>
  </r>
  <r>
    <s v="K &amp; H BANK ZRT."/>
    <s v="AKHK2319"/>
    <s v="OPT562 1GIG-DVD-UPS-LAN-A6-CEN3(4HIGH)"/>
    <s v="1562RH153206"/>
    <s v="2400"/>
    <s v="Dunaújváros"/>
    <s v="Vasmű u. 39."/>
    <s v="ok"/>
    <n v="2"/>
    <n v="2"/>
    <x v="7"/>
    <n v="1"/>
    <n v="1"/>
    <n v="1"/>
  </r>
  <r>
    <s v="K &amp; H BANK ZRT."/>
    <s v="AKHK2360"/>
    <s v="Diebold-Opteva 760 ATM Outdoor"/>
    <s v="1760R3320398"/>
    <s v="2119"/>
    <s v="Pécel"/>
    <s v="Kossuth tér 1."/>
    <s v="ok"/>
    <n v="2"/>
    <n v="2"/>
    <x v="10"/>
    <n v="1"/>
    <n v="1"/>
    <n v="1"/>
  </r>
  <r>
    <s v="K &amp; H BANK ZRT."/>
    <s v="AKHK2396"/>
    <s v="Diebold-Opteva 760 ATM Outdoor"/>
    <s v="1760R3320187"/>
    <s v="8761"/>
    <s v="Pacsa"/>
    <s v="Szent István tér 16."/>
    <s v="ok"/>
    <n v="2"/>
    <n v="2"/>
    <x v="9"/>
    <n v="1"/>
    <n v="1"/>
    <n v="1"/>
  </r>
  <r>
    <s v="K &amp; H BANK ZRT."/>
    <s v="AKHK2403"/>
    <s v="Diebold-Opteva 760 ATM Outdoor"/>
    <s v="1760R3320360"/>
    <s v="5721"/>
    <s v="Sarkad"/>
    <s v="Kossuth u. 14. Fszt 18 sz"/>
    <s v="ok"/>
    <n v="2"/>
    <n v="2"/>
    <x v="3"/>
    <n v="1"/>
    <n v="1"/>
    <n v="1"/>
  </r>
  <r>
    <s v="K &amp; H BANK ZRT."/>
    <s v="AKHK2405"/>
    <s v="OPT562 1GIG-DVD-UPS-LAN-A6-CEN3(4HIGH)"/>
    <s v="1562RH153180"/>
    <s v="3530"/>
    <s v="Miskolc"/>
    <s v="Széchenyi u. 88."/>
    <s v="ok"/>
    <n v="2"/>
    <n v="2"/>
    <x v="2"/>
    <n v="1"/>
    <n v="1"/>
    <n v="1"/>
  </r>
  <r>
    <s v="K &amp; H BANK ZRT."/>
    <s v="AKHK2407"/>
    <s v="OPT562 1GIG-DVD-UPS-LAN-A6-CEN3(4HIGH)"/>
    <s v="1562RH153207"/>
    <s v="3100"/>
    <s v="Salgótarján"/>
    <s v="Fő tér 4."/>
    <s v="ok"/>
    <n v="2"/>
    <n v="2"/>
    <x v="10"/>
    <n v="1"/>
    <n v="1"/>
    <n v="1"/>
  </r>
  <r>
    <s v="K &amp; H BANK ZRT."/>
    <s v="AKHK2421"/>
    <s v="OPT562 1GIG-DVD-UPS-LAN-A6-CEN3(4HIGH)"/>
    <s v="1760R3310794"/>
    <s v="3002"/>
    <s v="Hatvan"/>
    <s v="Boldogi u. 1."/>
    <s v="ok"/>
    <n v="2"/>
    <n v="2"/>
    <x v="10"/>
    <e v="#N/A"/>
    <n v="0"/>
    <n v="2"/>
  </r>
  <r>
    <s v="K &amp; H BANK ZRT."/>
    <s v="AKHK2441"/>
    <s v="Diebold-Opteva 760 ATM Outdoor"/>
    <s v="1760R3320359"/>
    <s v="6720"/>
    <s v="Szeged"/>
    <s v="Mars tér 1-3."/>
    <s v="ok"/>
    <n v="2"/>
    <n v="2"/>
    <x v="3"/>
    <n v="1"/>
    <n v="1"/>
    <n v="1"/>
  </r>
  <r>
    <s v="K &amp; H BANK ZRT."/>
    <s v="AKHK2451"/>
    <s v="OPT562 1GIG-DVD-UPS-LAN-A6-CEN3(4HIGH)"/>
    <s v="1562RH129704"/>
    <s v="8060"/>
    <s v="Mór"/>
    <s v="Wekerle Sándor u. 34/a"/>
    <s v="ok"/>
    <n v="2"/>
    <n v="1"/>
    <x v="4"/>
    <e v="#N/A"/>
    <n v="0"/>
    <n v="1"/>
  </r>
  <r>
    <s v="K &amp; H BANK ZRT."/>
    <s v="AKHK2458"/>
    <s v="OPT562 1GIG-DVD-UPS-LAN-A6-CEN3(4HIGH)"/>
    <s v="1562RH153211"/>
    <s v="2500"/>
    <s v="Esztergom"/>
    <s v="Rákóczi tér 1-3."/>
    <s v="ok"/>
    <n v="2"/>
    <n v="2"/>
    <x v="14"/>
    <e v="#N/A"/>
    <n v="0"/>
    <n v="2"/>
  </r>
  <r>
    <s v="K &amp; H BANK ZRT."/>
    <s v="AKHK2460"/>
    <s v="OPT562 1GIG-DVD-UPS-LAN-A6-CEN3(4HIGH)"/>
    <s v="1562RH153177"/>
    <s v="1042"/>
    <s v="Budapest"/>
    <s v="Árpád út 112."/>
    <s v="ok"/>
    <n v="2"/>
    <n v="2"/>
    <x v="14"/>
    <e v="#N/A"/>
    <n v="0"/>
    <n v="2"/>
  </r>
  <r>
    <s v="K &amp; H BANK ZRT."/>
    <s v="AKHK2466"/>
    <s v="OPT562 1GIG-DVD-UPS-LAN-A6-CEN3(4HIGH)"/>
    <s v="1562RH153208"/>
    <s v="6500"/>
    <s v="Baja"/>
    <s v="Szentháromság tér 8 - 10."/>
    <s v="ok"/>
    <n v="2"/>
    <n v="2"/>
    <x v="12"/>
    <e v="#N/A"/>
    <n v="0"/>
    <n v="2"/>
  </r>
  <r>
    <s v="K &amp; H BANK ZRT."/>
    <s v="AKHK2468"/>
    <s v="OPT562 1GIG-DVD-UPS-LAN-A6-CEN3(4HIGH)"/>
    <s v="1562RH153187"/>
    <s v="4024"/>
    <s v="Debrecen"/>
    <s v="Piac u. 52."/>
    <s v="ok"/>
    <n v="2"/>
    <n v="2"/>
    <x v="16"/>
    <n v="1"/>
    <n v="1"/>
    <n v="1"/>
  </r>
  <r>
    <s v="K &amp; H BANK ZRT."/>
    <s v="AKHK2481"/>
    <s v="Diebold-Opteva 760 ATM Outdoor"/>
    <s v="1760R3304549"/>
    <s v="5100"/>
    <s v="Jászberény"/>
    <s v="Rákóczi út 53."/>
    <s v="ok"/>
    <n v="2"/>
    <n v="2"/>
    <x v="10"/>
    <n v="1"/>
    <n v="1"/>
    <n v="1"/>
  </r>
  <r>
    <s v="K &amp; H BANK ZRT."/>
    <s v="AKHK2493"/>
    <s v="Diebold-Opteva 760 ATM Outdoor"/>
    <s v="1760R3304564"/>
    <s v="1239"/>
    <s v="Budapest"/>
    <s v="Nagykőrösi út 351."/>
    <s v="ok"/>
    <n v="2"/>
    <n v="2"/>
    <x v="15"/>
    <e v="#N/A"/>
    <n v="0"/>
    <n v="2"/>
  </r>
  <r>
    <s v="K &amp; H BANK ZRT."/>
    <s v="AKHK2494"/>
    <s v="Diebold-Opteva 760 ATM Outdoor"/>
    <s v="1760RCF00041"/>
    <s v="7013"/>
    <s v="Cece"/>
    <s v="Szabadság tér 18."/>
    <s v="ok"/>
    <n v="2"/>
    <n v="2"/>
    <x v="7"/>
    <n v="1"/>
    <n v="1"/>
    <n v="1"/>
  </r>
  <r>
    <s v="K &amp; H BANK ZRT."/>
    <s v="AKHK2516"/>
    <s v="OPT562 1GIG-DVD-UPS-LAN-A6-CEN3(4HIGH)"/>
    <s v="1562RH153226"/>
    <s v="1211"/>
    <s v="Budapest"/>
    <s v="Kossuth L. u. 97."/>
    <s v="ok"/>
    <n v="2"/>
    <n v="2"/>
    <x v="15"/>
    <n v="1"/>
    <n v="1"/>
    <n v="1"/>
  </r>
  <r>
    <s v="K &amp; H BANK ZRT."/>
    <s v="AKHK2518"/>
    <s v="OPT562 1GIG-DVD-UPS-LAN-A6-CEN3(4HIGH)"/>
    <s v="1562RH153186"/>
    <s v="2030"/>
    <s v="Érd"/>
    <s v="Budai út 26."/>
    <s v="ok"/>
    <n v="2"/>
    <n v="2"/>
    <x v="15"/>
    <e v="#N/A"/>
    <n v="0"/>
    <n v="2"/>
  </r>
  <r>
    <s v="K &amp; H BANK ZRT."/>
    <s v="AKHK2519"/>
    <s v="OPT562 1GIG-DVD-UPS-LAN-A6-CEN3(4HIGH)"/>
    <s v="1562RH153210"/>
    <s v="9400"/>
    <s v="Sopron"/>
    <s v="Várkerület 41."/>
    <s v="ok"/>
    <n v="2"/>
    <n v="2"/>
    <x v="8"/>
    <n v="1"/>
    <n v="1"/>
    <n v="1"/>
  </r>
  <r>
    <s v="K &amp; H BANK ZRT."/>
    <s v="AKHK2527"/>
    <s v="OPT562 1GIG-DVD-UPS-LAN-A6-CEN3(4HIGH)"/>
    <s v="1562RH153192"/>
    <s v="1193"/>
    <s v="Budapest"/>
    <s v="Üllői út 234."/>
    <s v="ok"/>
    <n v="2"/>
    <n v="2"/>
    <x v="10"/>
    <e v="#N/A"/>
    <n v="0"/>
    <n v="2"/>
  </r>
  <r>
    <s v="K &amp; H BANK ZRT."/>
    <s v="AKHK2533"/>
    <s v="Diebold-Opteva 760 ATM Outdoor"/>
    <s v="1760RCF00080"/>
    <s v="9700"/>
    <s v="Szombathely"/>
    <s v="Kőszegi u. 10"/>
    <s v="ok"/>
    <n v="2"/>
    <n v="2"/>
    <x v="8"/>
    <e v="#N/A"/>
    <n v="0"/>
    <n v="2"/>
  </r>
  <r>
    <s v="K &amp; H BANK ZRT."/>
    <s v="AKHK2538"/>
    <s v="OPT562 1GIG-DVD-UPS-LAN-A6-CEN3(4HIGH)"/>
    <s v="1562RH153188"/>
    <s v="1119"/>
    <s v="Budapest"/>
    <s v="Fehérvári út 79."/>
    <s v="ok"/>
    <n v="2"/>
    <n v="2"/>
    <x v="17"/>
    <e v="#N/A"/>
    <n v="0"/>
    <n v="2"/>
  </r>
  <r>
    <s v="K &amp; H BANK ZRT."/>
    <s v="AKHK2543"/>
    <s v="Diebold-Opteva 760 ATM Outdoor"/>
    <s v="1760R3320160"/>
    <s v="2314"/>
    <s v="Halásztelek"/>
    <s v="Somogyi B. u. 50-52."/>
    <s v="ok"/>
    <n v="2"/>
    <n v="2"/>
    <x v="15"/>
    <n v="1"/>
    <n v="1"/>
    <n v="1"/>
  </r>
  <r>
    <s v="K &amp; H BANK ZRT."/>
    <s v="AKHK2559"/>
    <s v="Diebold-Opteva 760 ATM Outdoor"/>
    <s v="1760R3306867"/>
    <s v="7530"/>
    <s v="Kadarkút"/>
    <s v="Petőfi u. 2."/>
    <s v="ok"/>
    <n v="2"/>
    <n v="2"/>
    <x v="12"/>
    <n v="1"/>
    <n v="1"/>
    <n v="1"/>
  </r>
  <r>
    <s v="K &amp; H BANK ZRT."/>
    <s v="AKHK2561"/>
    <s v="OPT562 1GIG-DVD-UPS-LAN-A6-CEN3(4HIGH)"/>
    <s v="1562RH153242"/>
    <s v="2340"/>
    <s v="Kiskunlacháza"/>
    <s v="Rákóczi út 1-3."/>
    <s v="ok"/>
    <n v="2"/>
    <n v="2"/>
    <x v="15"/>
    <n v="1"/>
    <n v="1"/>
    <n v="1"/>
  </r>
  <r>
    <s v="K &amp; H BANK ZRT."/>
    <s v="AKHK2578"/>
    <s v="Diebold-Opteva 760 ATM Outdoor"/>
    <s v="1760R3320396"/>
    <s v="2083"/>
    <s v="Solymár"/>
    <s v="Mátyás Király út 11."/>
    <s v="ok"/>
    <n v="2"/>
    <n v="2"/>
    <x v="0"/>
    <e v="#N/A"/>
    <n v="0"/>
    <n v="2"/>
  </r>
  <r>
    <s v="K &amp; H BANK ZRT."/>
    <s v="AKHK2581"/>
    <s v="Diebold-Opteva 760 ATM Outdoor"/>
    <s v="1760R3306762"/>
    <s v="1038"/>
    <s v="Budapest"/>
    <s v="Zsirai M. u. 1."/>
    <s v="ok"/>
    <n v="2"/>
    <n v="2"/>
    <x v="0"/>
    <e v="#N/A"/>
    <n v="0"/>
    <n v="2"/>
  </r>
  <r>
    <s v="K &amp; H BANK ZRT."/>
    <s v="AKHK2593"/>
    <s v="OPT562 1GIG-DVD-UPS-LAN-A6-CEN3(4HIGH)"/>
    <s v="1562RH153251"/>
    <s v="6800"/>
    <s v="Hodmezovasarhely"/>
    <s v="Szent László u.153"/>
    <s v="ok"/>
    <n v="2"/>
    <n v="2"/>
    <x v="3"/>
    <n v="1"/>
    <n v="1"/>
    <n v="1"/>
  </r>
  <r>
    <s v="K &amp; H BANK ZRT."/>
    <s v="AKHK2594"/>
    <s v="OPT562 1GIG-DVD-UPS-LAN-A6-CEN3(4HIGH)"/>
    <s v="1562RH153252"/>
    <s v="8700"/>
    <s v="Marcali"/>
    <s v="Városi Kórház"/>
    <s v="ok"/>
    <n v="2"/>
    <n v="2"/>
    <x v="9"/>
    <n v="1"/>
    <n v="1"/>
    <n v="1"/>
  </r>
  <r>
    <s v="K &amp; H BANK ZRT."/>
    <s v="AKHK2595"/>
    <s v="OPT562 1GIG-DVD-UPS-LAN-A6-CEN3(4HIGH)"/>
    <s v="1562FH153235"/>
    <s v="4183"/>
    <s v="Kaba"/>
    <s v="Szabadság tér 9."/>
    <s v="ok"/>
    <n v="2"/>
    <n v="2"/>
    <x v="16"/>
    <n v="1"/>
    <n v="1"/>
    <n v="1"/>
  </r>
  <r>
    <s v="K &amp; H BANK ZRT."/>
    <s v="AKHK2599"/>
    <s v="OPT562 1GIG-DVD-UPS-LAN-A6-CEN3(4HIGH)"/>
    <s v="1562FH153234"/>
    <s v="6630"/>
    <s v="Mindszent"/>
    <s v="Köztársaság tér 9."/>
    <s v="ok"/>
    <n v="2"/>
    <n v="2"/>
    <x v="3"/>
    <n v="1"/>
    <n v="1"/>
    <n v="1"/>
  </r>
  <r>
    <s v="K &amp; H BANK ZRT."/>
    <s v="AKHK2608"/>
    <s v="OPT562 1GIG-DVD-UPS-LAN-A6-CEN3(4HIGH)"/>
    <s v="1562RH153174"/>
    <s v="5600"/>
    <s v="Békéscsaba"/>
    <s v="Szent István Tér 5."/>
    <s v="ok"/>
    <n v="2"/>
    <n v="2"/>
    <x v="3"/>
    <n v="1"/>
    <n v="1"/>
    <n v="1"/>
  </r>
  <r>
    <s v="K &amp; H BANK ZRT."/>
    <s v="AKHK2612"/>
    <s v="OPT562 1GIG-DVD-UPS-LAN-A6-CEN3(4HIGH)"/>
    <s v="1562RH153250"/>
    <s v="2900"/>
    <s v="Komárom"/>
    <s v="Bánki D. u. 1."/>
    <s v="ok"/>
    <n v="2"/>
    <n v="2"/>
    <x v="19"/>
    <e v="#N/A"/>
    <n v="0"/>
    <n v="2"/>
  </r>
  <r>
    <s v="K &amp; H BANK ZRT."/>
    <s v="AKHK2613"/>
    <s v="OPT562 1GIG-DVD-UPS-LAN-A6-CEN3(4HIGH)"/>
    <s v="1562RH153238"/>
    <s v="9483"/>
    <s v="Sopronkövesd"/>
    <s v="Kossuth L. u. 77."/>
    <s v="ok"/>
    <n v="2"/>
    <n v="2"/>
    <x v="8"/>
    <e v="#N/A"/>
    <n v="0"/>
    <n v="2"/>
  </r>
  <r>
    <s v="K &amp; H BANK ZRT."/>
    <s v="AKHK2625"/>
    <s v="Diebold-Opteva 760 ATM Outdoor"/>
    <s v="1760R3320158"/>
    <s v="1051"/>
    <s v="Budapest"/>
    <s v="Széchenyi tér 2"/>
    <s v="ok"/>
    <n v="2"/>
    <n v="2"/>
    <x v="13"/>
    <e v="#N/A"/>
    <n v="0"/>
    <n v="2"/>
  </r>
  <r>
    <s v="K &amp; H BANK ZRT."/>
    <s v="AKHK2627"/>
    <s v="OPT562 1GIG-DVD-UPS-LAN-A6-CEN3(4HIGH)"/>
    <s v="1562RH153253"/>
    <s v="6034"/>
    <s v="Helvécia"/>
    <s v="Petőfi Sándor u. 24."/>
    <s v="ok"/>
    <n v="2"/>
    <n v="2"/>
    <x v="11"/>
    <n v="1"/>
    <n v="1"/>
    <n v="1"/>
  </r>
  <r>
    <s v="K &amp; H BANK ZRT."/>
    <s v="AKHK2630"/>
    <s v="Diebold-Opteva 760 ATM Outdoor"/>
    <s v="1760R3320153"/>
    <s v="1052"/>
    <s v="Budapest"/>
    <s v="Városház u. 9-11"/>
    <s v="ok"/>
    <n v="2"/>
    <n v="2"/>
    <x v="13"/>
    <e v="#N/A"/>
    <n v="0"/>
    <n v="2"/>
  </r>
  <r>
    <s v="K &amp; H BANK ZRT."/>
    <s v="AKHK2635"/>
    <s v="OPT562 1GIG-DVD-UPS-LAN-A6-CEN3(4HIGH)"/>
    <s v="1562RH153182"/>
    <s v="3300"/>
    <s v="Eger"/>
    <s v="Barkóczy u. 3."/>
    <s v="ok"/>
    <n v="2"/>
    <n v="2"/>
    <x v="2"/>
    <n v="1"/>
    <n v="1"/>
    <n v="1"/>
  </r>
  <r>
    <s v="K &amp; H BANK ZRT."/>
    <s v="AKHK2636"/>
    <s v="Diebold-Opteva 760 ATM Outdoor"/>
    <s v="1760R3310771"/>
    <s v="3300"/>
    <s v="Eger"/>
    <s v="Egészségház u. 4."/>
    <s v="ok"/>
    <n v="2"/>
    <n v="2"/>
    <x v="2"/>
    <n v="1"/>
    <n v="1"/>
    <n v="1"/>
  </r>
  <r>
    <s v="K &amp; H BANK ZRT."/>
    <s v="AKHK2638"/>
    <s v="Diebold-Opteva 750 ATM Outdoor"/>
    <s v="1750F3320011"/>
    <s v="8640"/>
    <s v="Fonyód"/>
    <s v="Ady Endre u. 7."/>
    <s v="ok"/>
    <n v="2"/>
    <n v="2"/>
    <x v="9"/>
    <n v="1"/>
    <n v="1"/>
    <n v="1"/>
  </r>
  <r>
    <s v="K &amp; H BANK ZRT."/>
    <s v="AKHK2645"/>
    <s v="Diebold-Opteva 760 ATM Outdoor"/>
    <s v="1760R3310789"/>
    <s v="4085"/>
    <s v="Hajdúnánás-Tedej"/>
    <s v="Fő u. 9."/>
    <s v="ok"/>
    <n v="2"/>
    <n v="2"/>
    <x v="16"/>
    <n v="1"/>
    <n v="1"/>
    <n v="1"/>
  </r>
  <r>
    <s v="K &amp; H BANK ZRT."/>
    <s v="AKHK2646"/>
    <s v="Diebold-Opteva 760 ATM Outdoor"/>
    <s v="1760R3320194"/>
    <s v="7815"/>
    <s v="Harkány"/>
    <s v="Bajcsy Zs. u.5."/>
    <s v="ok"/>
    <n v="2"/>
    <n v="2"/>
    <x v="12"/>
    <n v="1"/>
    <n v="1"/>
    <n v="1"/>
  </r>
  <r>
    <s v="K &amp; H BANK ZRT."/>
    <s v="AKHK2650"/>
    <s v="Diebold-Opteva 760 ATM Outdoor"/>
    <s v="1760R3320156"/>
    <s v="7400"/>
    <s v="Kaposvár"/>
    <s v="Széchenyi tér 8."/>
    <s v="ok"/>
    <n v="2"/>
    <n v="2"/>
    <x v="12"/>
    <n v="1"/>
    <n v="1"/>
    <n v="1"/>
  </r>
  <r>
    <s v="K &amp; H BANK ZRT."/>
    <s v="AKHK2652"/>
    <s v="Diebold-Opteva 760 ATM Outdoor"/>
    <s v="1760R3320148"/>
    <s v="6000"/>
    <s v="Kecskemét"/>
    <s v="Aradi Vértanúk tere 4"/>
    <s v="ok"/>
    <n v="2"/>
    <n v="2"/>
    <x v="11"/>
    <n v="1"/>
    <n v="1"/>
    <n v="1"/>
  </r>
  <r>
    <s v="K &amp; H BANK ZRT."/>
    <s v="AKHK2653"/>
    <s v="OPT562 1GIG-DVD-UPS-LAN-A6-CEN3(4HIGH)"/>
    <s v="1562RH153222"/>
    <s v="6000"/>
    <s v="Kecskemét"/>
    <s v="Nagykőrösi út 9/a"/>
    <s v="ok"/>
    <n v="2"/>
    <n v="2"/>
    <x v="11"/>
    <n v="1"/>
    <n v="1"/>
    <n v="1"/>
  </r>
  <r>
    <s v="K &amp; H BANK ZRT."/>
    <s v="AKHK2654"/>
    <s v="OPT562 1GIG-DVD-UPS-LAN-A6-CEN3(4HIGH)"/>
    <s v="1562RH153248"/>
    <s v="6765"/>
    <s v="Csengele"/>
    <s v="Deák Ferenc u. 25."/>
    <s v="ok"/>
    <n v="2"/>
    <n v="2"/>
    <x v="3"/>
    <n v="1"/>
    <n v="1"/>
    <n v="1"/>
  </r>
  <r>
    <s v="K &amp; H BANK ZRT."/>
    <s v="AKHK2655"/>
    <s v="OPT562 1GIG-DVD-UPS-LAN-A6-CEN3(4HIGH)"/>
    <s v="1562RH153184"/>
    <s v="8360"/>
    <s v="Keszthely"/>
    <s v="Fő tér 6-8."/>
    <s v="ok"/>
    <n v="2"/>
    <n v="2"/>
    <x v="9"/>
    <n v="1"/>
    <n v="1"/>
    <n v="1"/>
  </r>
  <r>
    <s v="K &amp; H BANK ZRT."/>
    <s v="AKHK2656"/>
    <s v="Diebold-Opteva 760 ATM Outdoor"/>
    <s v="1760R3320185"/>
    <s v="8360"/>
    <s v="Keszthely"/>
    <s v="Rákoczi tér 18-20."/>
    <s v="ok"/>
    <n v="2"/>
    <n v="2"/>
    <x v="9"/>
    <n v="1"/>
    <n v="1"/>
    <n v="1"/>
  </r>
  <r>
    <s v="K &amp; H BANK ZRT."/>
    <s v="AKHK2657"/>
    <s v="Diebold-Opteva 760 ATM Outdoor"/>
    <s v="1760R3320184"/>
    <s v="8360"/>
    <s v="Keszthely"/>
    <s v="Vaszary u 5."/>
    <s v="ok"/>
    <n v="2"/>
    <n v="2"/>
    <x v="9"/>
    <n v="1"/>
    <n v="1"/>
    <n v="1"/>
  </r>
  <r>
    <s v="K &amp; H BANK ZRT."/>
    <s v="AKHK2661"/>
    <s v="OPT562 1GIG-DVD-UPS-LAN-A6-CEN3(4HIGH)"/>
    <s v="1562RH153225"/>
    <s v="9021"/>
    <s v="Győr"/>
    <s v="Szent István u. 13."/>
    <s v="ok"/>
    <n v="2"/>
    <n v="2"/>
    <x v="19"/>
    <e v="#N/A"/>
    <n v="0"/>
    <n v="2"/>
  </r>
  <r>
    <s v="K &amp; H BANK ZRT."/>
    <s v="AKHK2671"/>
    <s v="OPT562 1GIG-DVD-UPS-LAN-A6-CEN3(4HIGH)"/>
    <s v="1562RH153183"/>
    <s v="4400"/>
    <s v="Nyíregyháza"/>
    <s v="Luther u. 3."/>
    <s v="ok"/>
    <n v="2"/>
    <n v="2"/>
    <x v="1"/>
    <n v="1"/>
    <n v="1"/>
    <n v="1"/>
  </r>
  <r>
    <s v="K &amp; H BANK ZRT."/>
    <s v="AKHK2674"/>
    <s v="Diebold-Opteva 760 ATM Outdoor"/>
    <s v="1760R3320397"/>
    <s v="6320"/>
    <s v="Solt"/>
    <s v="Béke tér 4."/>
    <s v="ok"/>
    <n v="2"/>
    <n v="2"/>
    <x v="7"/>
    <n v="1"/>
    <n v="1"/>
    <n v="1"/>
  </r>
  <r>
    <s v="K &amp; H BANK ZRT."/>
    <s v="AKHK2677"/>
    <s v="OPT562 1GIG-DVD-UPS-LAN-A6-CEN3(4HIGH)"/>
    <s v="1562RH153214"/>
    <s v="6754"/>
    <s v="Újszentiván"/>
    <s v="Felszabadulás u. 7."/>
    <s v="ok"/>
    <n v="2"/>
    <n v="2"/>
    <x v="3"/>
    <n v="1"/>
    <n v="1"/>
    <n v="1"/>
  </r>
  <r>
    <s v="K &amp; H BANK ZRT."/>
    <s v="AKHK2683"/>
    <s v="OPT562 1GIG-DVD-UPS-LAN-A6-CEN3(4HIGH)"/>
    <s v="1562RH153218"/>
    <s v="8600"/>
    <s v="Siófok"/>
    <s v="Fő tér 8."/>
    <s v="ok"/>
    <n v="2"/>
    <n v="2"/>
    <x v="4"/>
    <n v="1"/>
    <n v="1"/>
    <n v="1"/>
  </r>
  <r>
    <s v="K &amp; H BANK ZRT."/>
    <s v="AKHK2687"/>
    <s v="OPT562 1GIG-DVD-UPS-LAN-A6-CEN3(4HIGH)"/>
    <s v="1562RH153243"/>
    <s v="2932"/>
    <s v="Almásfüzitő"/>
    <s v="Petőfi tér 1."/>
    <s v="ok"/>
    <n v="2"/>
    <n v="2"/>
    <x v="19"/>
    <e v="#N/A"/>
    <n v="0"/>
    <n v="2"/>
  </r>
  <r>
    <s v="K &amp; H BANK ZRT."/>
    <s v="AKHK2688"/>
    <s v="OPT562 1GIG-DVD-UPS-LAN-A6-CEN3(4HIGH)"/>
    <s v="1562RH153219"/>
    <s v="8600"/>
    <s v="Siófok"/>
    <s v="Semmelweis u. 1."/>
    <s v="ok"/>
    <n v="2"/>
    <n v="2"/>
    <x v="4"/>
    <n v="1"/>
    <n v="1"/>
    <n v="1"/>
  </r>
  <r>
    <s v="K &amp; H BANK ZRT."/>
    <s v="AKHK2694"/>
    <s v="OPT562 1GIG-DVD-UPS-LAN-A6-CEN3(4HIGH)"/>
    <s v="1562RH153181"/>
    <s v="7100"/>
    <s v="Szekszárd"/>
    <s v="Széchenyi u. 18-20."/>
    <s v="ok"/>
    <n v="2"/>
    <n v="2"/>
    <x v="7"/>
    <e v="#N/A"/>
    <n v="0"/>
    <n v="2"/>
  </r>
  <r>
    <s v="K &amp; H BANK ZRT."/>
    <s v="AKHK2698"/>
    <s v="OPT562 1GIG-DVD-UPS-LAN-A6-CEN3(4HIGH)"/>
    <s v="1562RH153241"/>
    <s v="5000"/>
    <s v="Szolnok"/>
    <s v="Kossuth L. u. 18."/>
    <s v="ok"/>
    <n v="2"/>
    <n v="2"/>
    <x v="11"/>
    <n v="1"/>
    <n v="1"/>
    <n v="1"/>
  </r>
  <r>
    <s v="K &amp; H BANK ZRT."/>
    <s v="AKHK2699"/>
    <s v="Diebold-Opteva 760 ATM Outdoor"/>
    <s v="1760RCF00084"/>
    <s v="5000"/>
    <s v="Szolnok"/>
    <s v="Vízmű u. 1."/>
    <s v="ok"/>
    <n v="2"/>
    <n v="2"/>
    <x v="11"/>
    <e v="#N/A"/>
    <n v="0"/>
    <n v="2"/>
  </r>
  <r>
    <s v="K &amp; H BANK ZRT."/>
    <s v="AKHK2706"/>
    <s v="OPT562 1GIG-DVD-UPS-LAN-A6-CEN3(4HIGH)"/>
    <s v="1562RH153217"/>
    <s v="3127"/>
    <s v="Kazár"/>
    <s v="Kossuth Lajos út 17."/>
    <s v="ok"/>
    <n v="2"/>
    <n v="2"/>
    <x v="6"/>
    <e v="#N/A"/>
    <n v="0"/>
    <n v="2"/>
  </r>
  <r>
    <s v="K &amp; H BANK ZRT."/>
    <s v="AKHK2708"/>
    <s v="Diebold-Opteva 760 ATM Outdoor"/>
    <s v="1760R3320405"/>
    <s v="8200"/>
    <s v="Veszprém"/>
    <s v="Március 15. u. 15."/>
    <s v="ok"/>
    <n v="2"/>
    <n v="2"/>
    <x v="4"/>
    <n v="1"/>
    <n v="1"/>
    <n v="1"/>
  </r>
  <r>
    <s v="K &amp; H BANK ZRT."/>
    <s v="AKHK2731"/>
    <s v="OPT562 1GIG-DVD-UPS-LAN-A6-CEN3(4HIGH)"/>
    <s v="1562RH153221"/>
    <s v="7228"/>
    <s v="Döbrököz"/>
    <s v="Páhy u. 21/b"/>
    <s v="ok"/>
    <n v="2"/>
    <n v="2"/>
    <x v="12"/>
    <n v="1"/>
    <n v="1"/>
    <n v="1"/>
  </r>
  <r>
    <s v="K &amp; H BANK ZRT."/>
    <s v="AKHK2732"/>
    <s v="Diebold-Opteva 760 ATM Outdoor"/>
    <s v="1760R3320355"/>
    <s v="3715"/>
    <s v="Gesztely"/>
    <s v="Szabadság tér 7."/>
    <s v="ok"/>
    <n v="2"/>
    <n v="2"/>
    <x v="2"/>
    <n v="1"/>
    <n v="1"/>
    <n v="1"/>
  </r>
  <r>
    <s v="K &amp; H BANK ZRT."/>
    <s v="AKHK2744"/>
    <s v="Diebold-Opteva 760 ATM Outdoor"/>
    <s v="1760R3320407"/>
    <s v="8900"/>
    <s v="Zalaegerszeg"/>
    <s v="Zrínyi út 38"/>
    <s v="ok"/>
    <n v="2"/>
    <n v="2"/>
    <x v="9"/>
    <e v="#N/A"/>
    <n v="0"/>
    <n v="2"/>
  </r>
  <r>
    <s v="K &amp; H BANK ZRT."/>
    <s v="AKHK2748"/>
    <s v="OPT562 1GIG-DVD-UPS-LAN-A6-CEN3(4HIGH)"/>
    <s v="1562RH153215"/>
    <s v="5945"/>
    <s v="Kardoskút"/>
    <s v="Március 15. tér 1."/>
    <s v="ok"/>
    <n v="2"/>
    <n v="2"/>
    <x v="3"/>
    <n v="1"/>
    <n v="1"/>
    <n v="1"/>
  </r>
  <r>
    <s v="K &amp; H BANK ZRT."/>
    <s v="AKHK2755"/>
    <s v="OPT562 1GIG-DVD-UPS-LAN-A6-CEN3(4HIGH)"/>
    <s v="1562RH153228"/>
    <s v="1051"/>
    <s v="Budapest"/>
    <s v="Arany János u. 20."/>
    <s v="ok"/>
    <n v="2"/>
    <n v="2"/>
    <x v="13"/>
    <n v="1"/>
    <n v="1"/>
    <n v="1"/>
  </r>
  <r>
    <s v="K &amp; H BANK ZRT."/>
    <s v="AKHK2759"/>
    <s v="OPT562 1GIG-DVD-UPS-LAN-A6-CEN3(4HIGH)"/>
    <s v="1562RH153190"/>
    <s v="4161"/>
    <s v="Báránd"/>
    <s v="Kossuth tér 11."/>
    <s v="ok"/>
    <n v="2"/>
    <n v="2"/>
    <x v="16"/>
    <n v="1"/>
    <n v="1"/>
    <n v="1"/>
  </r>
  <r>
    <s v="K &amp; H BANK ZRT."/>
    <s v="AKHK2761"/>
    <s v="OPT562 1GIG-DVD-UPS-LAN-A6-CEN3(4HIGH)"/>
    <s v="1562RH153205"/>
    <s v="6000"/>
    <s v="Kecskemét"/>
    <s v="Dobó krt. 9"/>
    <s v="ok"/>
    <n v="2"/>
    <n v="2"/>
    <x v="11"/>
    <n v="1"/>
    <n v="1"/>
    <n v="1"/>
  </r>
  <r>
    <s v="K &amp; H BANK ZRT."/>
    <s v="AKHK2765"/>
    <s v="OPT562 1GIG-DVD-UPS-LAN-A6-CEN3(4HIGH)"/>
    <s v="1562RH153213"/>
    <s v="9740"/>
    <s v="Bükfürdő"/>
    <s v="Thermál krt. 27."/>
    <s v="ok"/>
    <n v="2"/>
    <n v="2"/>
    <x v="8"/>
    <n v="1"/>
    <n v="1"/>
    <n v="1"/>
  </r>
  <r>
    <s v="K &amp; H BANK ZRT."/>
    <s v="AKHK2773"/>
    <s v="Diebold-Opteva 760 ATM Outdoor"/>
    <s v="1760R3320408"/>
    <s v="9019"/>
    <s v="Győr"/>
    <s v="Reptéri út porta"/>
    <s v="ok"/>
    <n v="2"/>
    <n v="2"/>
    <x v="19"/>
    <n v="1"/>
    <n v="1"/>
    <n v="1"/>
  </r>
  <r>
    <s v="K &amp; H BANK ZRT."/>
    <s v="AKHK2792"/>
    <s v="OPT562 1GIG-DVD-UPS-LAN-A6-CEN3(4HIGH)"/>
    <s v="1562RH153232"/>
    <s v="8800"/>
    <s v="Nagykanizsa"/>
    <s v="Fő u. 2."/>
    <s v="ok"/>
    <n v="2"/>
    <n v="2"/>
    <x v="9"/>
    <n v="1"/>
    <n v="1"/>
    <n v="1"/>
  </r>
  <r>
    <s v="K &amp; H BANK ZRT."/>
    <s v="AKHK2800"/>
    <s v="Diebold-Opteva 522 Lobby Cash Dispenser"/>
    <s v="1522FH105404"/>
    <s v="5900"/>
    <s v="Orosháza"/>
    <s v="Rákóczi u. 5."/>
    <s v="ok"/>
    <n v="2"/>
    <n v="0"/>
    <x v="3"/>
    <e v="#N/A"/>
    <n v="0"/>
    <n v="0"/>
  </r>
  <r>
    <s v="K &amp; H BANK ZRT."/>
    <s v="AKHK2803"/>
    <s v="Diebold-Opteva 760 ATM Outdoor"/>
    <s v="1760R3320399"/>
    <s v="5126"/>
    <s v="Jászfényszaru"/>
    <s v="Szabadság út 3."/>
    <s v="ok"/>
    <n v="2"/>
    <n v="2"/>
    <x v="10"/>
    <n v="1"/>
    <n v="1"/>
    <n v="1"/>
  </r>
  <r>
    <s v="K &amp; H BANK ZRT."/>
    <s v="AKHK2808"/>
    <s v="Diebold-Opteva 760 ATM Outdoor"/>
    <s v="1760R3320418"/>
    <s v="9700"/>
    <s v="Szombathely"/>
    <s v="Szűrcsapó u.23"/>
    <s v="ok"/>
    <n v="2"/>
    <n v="2"/>
    <x v="8"/>
    <n v="1"/>
    <n v="1"/>
    <n v="1"/>
  </r>
  <r>
    <s v="K &amp; H BANK ZRT."/>
    <s v="AKHK2809"/>
    <s v="OPT562 1GIG-DVD-UPS-LAN-A6-CEN3(4HIGH)"/>
    <s v="1562RH153229"/>
    <s v="2800"/>
    <s v="Tatabánya"/>
    <s v="Szent Borbála tér 2."/>
    <s v="ok"/>
    <n v="2"/>
    <n v="2"/>
    <x v="19"/>
    <n v="1"/>
    <n v="1"/>
    <n v="1"/>
  </r>
  <r>
    <s v="K &amp; H BANK ZRT."/>
    <s v="AKHK2813"/>
    <s v="OPT562 1GIG-DVD-UPS-LAN-A6-CEN3(4HIGH)"/>
    <s v="1562RH153227"/>
    <s v="2071"/>
    <s v="Páty"/>
    <s v="Rákóczi út 11-1."/>
    <s v="ok"/>
    <n v="2"/>
    <n v="2"/>
    <x v="19"/>
    <n v="1"/>
    <n v="1"/>
    <n v="1"/>
  </r>
  <r>
    <s v="K &amp; H BANK ZRT."/>
    <s v="AKHK2822"/>
    <s v="OPT562 1GIG-DVD-UPS-LAN-A6-CEN3(4HIGH)"/>
    <s v="1562RH129689"/>
    <s v="6044"/>
    <s v="Kecskemét"/>
    <s v="Kossuth L. u. 81."/>
    <s v="ok"/>
    <e v="#N/A"/>
    <e v="#N/A"/>
    <x v="18"/>
    <e v="#N/A"/>
    <n v="0"/>
    <e v="#N/A"/>
  </r>
  <r>
    <s v="K &amp; H BANK ZRT."/>
    <s v="AKHK2828"/>
    <s v="Diebold-Opteva 750 ATM Outdoor"/>
    <s v="1750F3320013"/>
    <s v="1138"/>
    <s v="Budapest"/>
    <s v="Margitsziget Danubius Thermál Hotel"/>
    <s v="ok"/>
    <n v="2"/>
    <n v="2"/>
    <x v="14"/>
    <e v="#N/A"/>
    <n v="0"/>
    <n v="2"/>
  </r>
  <r>
    <s v="K &amp; H BANK ZRT."/>
    <s v="AKHK2856"/>
    <s v="Diebold-Opteva 760 ATM Outdoor"/>
    <s v="1760RCF00108"/>
    <s v="5940"/>
    <s v="Tótkomlós"/>
    <s v="Kossuth u.2."/>
    <s v="ok"/>
    <n v="2"/>
    <n v="2"/>
    <x v="3"/>
    <n v="1"/>
    <n v="1"/>
    <n v="1"/>
  </r>
  <r>
    <s v="K &amp; H BANK ZRT."/>
    <s v="AKHK2921"/>
    <s v="Diebold-Opteva 750 ATM Outdoor"/>
    <s v="1750F3320015"/>
    <s v="8053"/>
    <s v="Bodajk"/>
    <s v="Petőfi Sándor u. 60."/>
    <s v="ok"/>
    <n v="2"/>
    <n v="2"/>
    <x v="4"/>
    <n v="1"/>
    <n v="1"/>
    <n v="1"/>
  </r>
  <r>
    <s v="K &amp; H BANK ZRT."/>
    <s v="AKHK2922"/>
    <s v="OPT562 1GIG-DVD-UPS-LAN-A6-CEN3(4HIGH)"/>
    <s v="1562RH153172"/>
    <s v="1024"/>
    <s v="Budapest"/>
    <s v="Margit krt. 43-45."/>
    <s v="ok"/>
    <n v="2"/>
    <n v="2"/>
    <x v="0"/>
    <n v="1"/>
    <n v="1"/>
    <n v="1"/>
  </r>
  <r>
    <s v="K &amp; H BANK ZRT."/>
    <s v="AKHK2923"/>
    <s v="OPT562 1GIG-DVD-UPS-LAN-A6-CEN3(4HIGH)"/>
    <s v="1562RH153173"/>
    <s v="1148"/>
    <s v="Budapest"/>
    <s v="Örs vezér tere 2."/>
    <s v="ok"/>
    <n v="2"/>
    <n v="2"/>
    <x v="6"/>
    <n v="1"/>
    <n v="1"/>
    <n v="1"/>
  </r>
  <r>
    <s v="K &amp; H BANK ZRT."/>
    <s v="AKHK2924"/>
    <s v="OPT562 1GIG-DVD-UPS-LAN-A6-CEN3(4HIGH)"/>
    <s v="1562RH153175"/>
    <s v="8900"/>
    <s v="Zalaegerszeg"/>
    <s v="Kossuth u. 8."/>
    <s v="ok"/>
    <n v="2"/>
    <n v="2"/>
    <x v="9"/>
    <n v="1"/>
    <n v="1"/>
    <n v="1"/>
  </r>
  <r>
    <s v="K &amp; H BANK ZRT."/>
    <s v="AKHK2926"/>
    <s v="OPT562 1GIG-DVD-UPS-LAN-A6-CEN3(4HIGH)"/>
    <s v="1562RH153176"/>
    <s v="7626"/>
    <s v="Pécs"/>
    <s v="Búza tér 6/a."/>
    <s v="ok"/>
    <n v="2"/>
    <n v="2"/>
    <x v="12"/>
    <n v="1"/>
    <n v="1"/>
    <n v="1"/>
  </r>
  <r>
    <s v="K &amp; H BANK ZRT."/>
    <s v="AKHK2927"/>
    <s v="OPT562 1GIG-DVD-UPS-LAN-A6-CEN3(4HIGH)"/>
    <s v="1562RH153178"/>
    <s v="1117"/>
    <s v="Budapest"/>
    <s v="Móricz Zsigmond körtér 14."/>
    <s v="ok"/>
    <n v="2"/>
    <n v="2"/>
    <x v="17"/>
    <e v="#N/A"/>
    <n v="0"/>
    <n v="2"/>
  </r>
  <r>
    <s v="K &amp; H BANK ZRT."/>
    <s v="AKHK2928"/>
    <s v="OPT562 1GIG-DVD-UPS-LAN-A6-CEN3(4HIGH)"/>
    <s v="1562RH153185"/>
    <s v="1024"/>
    <s v="Budapest"/>
    <s v="Lövőház u. 2-6."/>
    <s v="ok"/>
    <n v="2"/>
    <n v="2"/>
    <x v="0"/>
    <n v="1"/>
    <n v="1"/>
    <n v="1"/>
  </r>
  <r>
    <s v="K &amp; H BANK ZRT."/>
    <s v="AKHK2930"/>
    <s v="OPT562 1GIG-DVD-UPS-LAN-A6-CEN3(4HIGH)"/>
    <s v="1562RH153189"/>
    <s v="3200"/>
    <s v="Gyöngyös"/>
    <s v="Bugát Pál tér 6."/>
    <s v="ok"/>
    <n v="2"/>
    <n v="2"/>
    <x v="10"/>
    <n v="1"/>
    <n v="1"/>
    <n v="1"/>
  </r>
  <r>
    <s v="K &amp; H BANK ZRT."/>
    <s v="AKHK2932"/>
    <s v="OPT562 1GIG-DVD-UPS-LAN-A6-CEN3(4HIGH)"/>
    <s v="1562RH153204"/>
    <s v="2600"/>
    <s v="Vác"/>
    <s v="Széchenyi u. 34."/>
    <s v="ok"/>
    <n v="2"/>
    <n v="2"/>
    <x v="6"/>
    <e v="#N/A"/>
    <n v="0"/>
    <n v="2"/>
  </r>
  <r>
    <s v="K &amp; H BANK ZRT."/>
    <s v="AKHK2933"/>
    <s v="Diebold-Opteva 750 ATM Outdoor"/>
    <s v="1750F3320012"/>
    <s v="2730"/>
    <s v="Albertirsa"/>
    <s v="Vasút u. 4/13."/>
    <s v="ok"/>
    <n v="2"/>
    <n v="2"/>
    <x v="15"/>
    <e v="#N/A"/>
    <n v="0"/>
    <n v="2"/>
  </r>
  <r>
    <s v="K &amp; H BANK ZRT."/>
    <s v="AKHK2934"/>
    <s v="OPT562 1GIG-DVD-UPS-LAN-A6-CEN3(4HIGH)"/>
    <s v="1562RH153223"/>
    <s v="4631"/>
    <s v="Pap"/>
    <s v="Kossuth út 102."/>
    <s v="ok"/>
    <n v="2"/>
    <n v="2"/>
    <x v="1"/>
    <n v="1"/>
    <n v="1"/>
    <n v="1"/>
  </r>
  <r>
    <s v="K &amp; H BANK ZRT."/>
    <s v="AKHK2935"/>
    <s v="OPT562 1GIG-DVD-UPS-LAN-A6-CEN3(4HIGH)"/>
    <s v="1562RH153212"/>
    <s v="1033"/>
    <s v="Budapest"/>
    <s v="Flórián tér 1."/>
    <s v="ok"/>
    <n v="2"/>
    <n v="2"/>
    <x v="0"/>
    <n v="1"/>
    <n v="1"/>
    <n v="1"/>
  </r>
  <r>
    <s v="K &amp; H BANK ZRT."/>
    <s v="AKHK2944"/>
    <s v="Diebold-Opteva 750 ATM Outdoor"/>
    <s v="1750F3320014"/>
    <s v="8053"/>
    <s v="Bakonycsernye"/>
    <s v="Rákóczi út 53."/>
    <s v="ok"/>
    <n v="2"/>
    <n v="2"/>
    <x v="4"/>
    <n v="1"/>
    <n v="1"/>
    <n v="1"/>
  </r>
  <r>
    <s v="K &amp; H BANK ZRT."/>
    <s v="AKHK2960"/>
    <s v="OPT562 1GIG-DVD-UPS-LAN-A6-CEN3(4HIGH)"/>
    <s v="1562RH153224"/>
    <s v="1067"/>
    <s v="Budapest"/>
    <s v="Teréz körút 1."/>
    <s v="ok"/>
    <n v="2"/>
    <n v="2"/>
    <x v="13"/>
    <e v="#N/A"/>
    <n v="0"/>
    <n v="2"/>
  </r>
  <r>
    <s v="K &amp; H BANK ZRT."/>
    <s v="AKHK2962"/>
    <s v="OPT562 1GIG-DVD-UPS-LAN-A6-CEN3(4HIGH)"/>
    <s v="1562RH153230"/>
    <s v="4600"/>
    <s v="Kisvárda"/>
    <s v="Somogyi Rezső u. 11."/>
    <s v="ok"/>
    <n v="2"/>
    <n v="2"/>
    <x v="1"/>
    <n v="1"/>
    <n v="1"/>
    <n v="1"/>
  </r>
  <r>
    <s v="K &amp; H BANK ZRT."/>
    <s v="AKHK4323"/>
    <s v="CINEO C2560"/>
    <s v="5300829111"/>
    <s v="9600"/>
    <s v="Sárvár"/>
    <s v="Batthyány u. 19-21"/>
    <s v="ok"/>
    <n v="2"/>
    <n v="2"/>
    <x v="8"/>
    <n v="1"/>
    <n v="1"/>
    <n v="1"/>
  </r>
  <r>
    <s v="K &amp; H BANK ZRT."/>
    <s v="AKHK4328"/>
    <s v="CINEO C2560"/>
    <s v="5300829101"/>
    <s v="9600"/>
    <s v="Sárvár"/>
    <s v="Ikervári u.42"/>
    <s v="ok"/>
    <n v="2"/>
    <n v="2"/>
    <x v="8"/>
    <n v="1"/>
    <n v="1"/>
    <n v="1"/>
  </r>
  <r>
    <s v="K &amp; H BANK ZRT."/>
    <s v="AKHK4329"/>
    <s v="CINEO C2560"/>
    <s v="5300829125"/>
    <s v="2432"/>
    <s v="Szabadegyháza"/>
    <s v="Ipartelep"/>
    <s v="ok"/>
    <n v="2"/>
    <n v="2"/>
    <x v="7"/>
    <e v="#N/A"/>
    <n v="0"/>
    <n v="2"/>
  </r>
  <r>
    <s v="K &amp; H BANK ZRT."/>
    <s v="AKHK4330"/>
    <s v="CINEO C2560"/>
    <s v="5300829130"/>
    <s v="7827"/>
    <s v="Beremend"/>
    <s v="Duna-Dráva Cement"/>
    <s v="ok"/>
    <n v="2"/>
    <n v="2"/>
    <x v="12"/>
    <n v="1"/>
    <n v="1"/>
    <n v="1"/>
  </r>
  <r>
    <s v="K &amp; H BANK ZRT."/>
    <s v="AKHK4331"/>
    <s v="CINEO C2560"/>
    <s v="5300829141"/>
    <s v="2241"/>
    <s v="Sülysáp"/>
    <s v="szt István tér 6"/>
    <s v="ok"/>
    <n v="2"/>
    <n v="2"/>
    <x v="10"/>
    <e v="#N/A"/>
    <n v="0"/>
    <n v="2"/>
  </r>
  <r>
    <s v="K &amp; H BANK ZRT."/>
    <s v="AKHK4332"/>
    <s v="CINEO C2560"/>
    <s v="5300829143"/>
    <s v="6600"/>
    <s v="Szentes"/>
    <s v="Kolozsvári u.9."/>
    <s v="ok"/>
    <n v="2"/>
    <n v="2"/>
    <x v="11"/>
    <e v="#N/A"/>
    <n v="0"/>
    <n v="2"/>
  </r>
  <r>
    <s v="K &amp; H BANK ZRT."/>
    <s v="AKHK4334"/>
    <s v="CINEO C2560"/>
    <s v="5300829159"/>
    <s v="5700"/>
    <s v="Gyula"/>
    <s v="Karácsony J.u.14"/>
    <s v="ok"/>
    <n v="2"/>
    <n v="2"/>
    <x v="3"/>
    <n v="1"/>
    <n v="1"/>
    <n v="1"/>
  </r>
  <r>
    <s v="K &amp; H BANK ZRT."/>
    <s v="AKHK4336"/>
    <s v="CINEO C2560"/>
    <s v="5300829152"/>
    <s v="5700"/>
    <s v="Gyula"/>
    <s v="Vásárhelyi Pál u.2"/>
    <s v="ok"/>
    <n v="2"/>
    <n v="2"/>
    <x v="3"/>
    <n v="1"/>
    <n v="1"/>
    <n v="1"/>
  </r>
  <r>
    <s v="K &amp; H BANK ZRT."/>
    <s v="AKHK4341"/>
    <s v="CINEO C2560"/>
    <s v="5300829231"/>
    <s v="4181"/>
    <s v="Nádudvar"/>
    <s v="Fő u. 119."/>
    <s v="ok"/>
    <n v="2"/>
    <n v="2"/>
    <x v="16"/>
    <n v="1"/>
    <n v="1"/>
    <n v="1"/>
  </r>
  <r>
    <s v="K &amp; H BANK ZRT."/>
    <s v="AKHK4401"/>
    <s v="CINEO C2560"/>
    <s v="5300829249"/>
    <s v="5510"/>
    <s v="Dévaványa"/>
    <s v="Hősök tere 3"/>
    <s v="ok"/>
    <n v="2"/>
    <n v="2"/>
    <x v="11"/>
    <e v="#N/A"/>
    <n v="0"/>
    <n v="2"/>
  </r>
  <r>
    <s v="K &amp; H BANK ZRT."/>
    <s v="AKHK4412"/>
    <s v="CINEO C2560"/>
    <s v="5300829273"/>
    <s v="6413"/>
    <s v="Kunfehértó"/>
    <s v="Szabadság u.8"/>
    <s v="ok"/>
    <n v="2"/>
    <n v="2"/>
    <x v="7"/>
    <e v="#N/A"/>
    <n v="0"/>
    <n v="2"/>
  </r>
  <r>
    <s v="K &amp; H BANK ZRT."/>
    <s v="AKHK4413"/>
    <s v="CINEO C2560"/>
    <s v="5300829434"/>
    <s v="4172"/>
    <s v="Biharnagybajom"/>
    <s v="Kossuth u.1."/>
    <s v="ok"/>
    <n v="2"/>
    <n v="2"/>
    <x v="16"/>
    <n v="1"/>
    <n v="1"/>
    <n v="1"/>
  </r>
  <r>
    <s v="K &amp; H BANK ZRT."/>
    <s v="AKHK4422"/>
    <s v="CINEO C2560"/>
    <s v="5300829458"/>
    <s v="3332"/>
    <s v="Sirok"/>
    <s v="Liszkóvölgy"/>
    <s v="ok"/>
    <n v="2"/>
    <n v="2"/>
    <x v="6"/>
    <e v="#N/A"/>
    <n v="0"/>
    <n v="2"/>
  </r>
  <r>
    <s v="K &amp; H BANK ZRT."/>
    <s v="AKHK4431"/>
    <s v="CINEO C2560"/>
    <s v="5300829415"/>
    <s v="4460"/>
    <s v="Nyírtelek"/>
    <s v="Iskola u. 6"/>
    <s v="ok"/>
    <n v="2"/>
    <n v="2"/>
    <x v="1"/>
    <n v="1"/>
    <n v="1"/>
    <n v="1"/>
  </r>
  <r>
    <s v="K &amp; H BANK ZRT."/>
    <s v="AKHK4433"/>
    <s v="CINEO C2560"/>
    <s v="5300829580"/>
    <s v="6900"/>
    <s v="Makó"/>
    <s v="Széchényi tér 18-20"/>
    <s v="ok"/>
    <n v="2"/>
    <n v="2"/>
    <x v="3"/>
    <n v="1"/>
    <n v="1"/>
    <n v="1"/>
  </r>
  <r>
    <s v="K &amp; H BANK ZRT."/>
    <s v="AKHK4444"/>
    <s v="CINEO C2560"/>
    <s v="5300829569"/>
    <s v="2049"/>
    <s v="Diósd"/>
    <s v="Kossuth L.u.24"/>
    <s v="ok"/>
    <n v="2"/>
    <n v="2"/>
    <x v="17"/>
    <n v="1"/>
    <n v="1"/>
    <n v="1"/>
  </r>
  <r>
    <s v="K &amp; H BANK ZRT."/>
    <s v="AKHK4446"/>
    <s v="CINEO C2560"/>
    <s v="5300829263"/>
    <s v="4800"/>
    <s v="Vásárosnamény"/>
    <s v="Kossuth L.u.6"/>
    <s v="ok"/>
    <n v="2"/>
    <n v="2"/>
    <x v="1"/>
    <n v="1"/>
    <n v="1"/>
    <n v="1"/>
  </r>
  <r>
    <s v="K &amp; H BANK ZRT."/>
    <s v="AKHK4447"/>
    <s v="CINEO C2560"/>
    <s v="5300829286"/>
    <s v="8600"/>
    <s v="Siófok"/>
    <s v="Vámház u."/>
    <s v="ok"/>
    <n v="2"/>
    <n v="2"/>
    <x v="4"/>
    <n v="1"/>
    <n v="1"/>
    <n v="1"/>
  </r>
  <r>
    <s v="K &amp; H BANK ZRT."/>
    <s v="AKHK4452"/>
    <s v="CINEO C2560"/>
    <s v="5300829422"/>
    <s v="8900"/>
    <s v="Zalaegerszeg"/>
    <s v="Berzsenyi u.12"/>
    <s v="ok"/>
    <n v="2"/>
    <n v="2"/>
    <x v="9"/>
    <n v="1"/>
    <n v="1"/>
    <n v="1"/>
  </r>
  <r>
    <s v="K &amp; H BANK ZRT."/>
    <s v="AKHK4453"/>
    <s v="CINEO C2560"/>
    <s v="5300829391"/>
    <s v="5000"/>
    <s v="Szolnok"/>
    <s v="József A. 22-24"/>
    <s v="ok"/>
    <n v="2"/>
    <n v="2"/>
    <x v="11"/>
    <n v="1"/>
    <n v="1"/>
    <n v="1"/>
  </r>
  <r>
    <s v="K &amp; H BANK ZRT."/>
    <s v="AKHK4454"/>
    <s v="CINEO C2560"/>
    <s v="5300829440"/>
    <s v="9653"/>
    <s v="Répcelak"/>
    <s v="Vörösmarty u. 1."/>
    <s v="ok"/>
    <n v="2"/>
    <n v="2"/>
    <x v="8"/>
    <e v="#N/A"/>
    <n v="0"/>
    <n v="2"/>
  </r>
  <r>
    <s v="K &amp; H BANK ZRT."/>
    <s v="AKHK4461"/>
    <s v="CINEO C2560"/>
    <s v="5300829446"/>
    <s v="6723"/>
    <s v="Szeged"/>
    <s v="Makkosházi krt."/>
    <s v="ok"/>
    <n v="2"/>
    <n v="2"/>
    <x v="3"/>
    <n v="2"/>
    <n v="2"/>
    <n v="0"/>
  </r>
  <r>
    <s v="K &amp; H BANK ZRT."/>
    <s v="AKHK4462"/>
    <s v="CINEO C2560"/>
    <s v="5300829451"/>
    <s v="4177"/>
    <s v="Földes"/>
    <s v="Deák F.u.2"/>
    <s v="ok"/>
    <n v="2"/>
    <n v="2"/>
    <x v="16"/>
    <n v="1"/>
    <n v="1"/>
    <n v="1"/>
  </r>
  <r>
    <s v="K &amp; H BANK ZRT."/>
    <s v="AKHK4465"/>
    <s v="CINEO C2560"/>
    <s v="5300829395"/>
    <s v="3200"/>
    <s v="Gyöngyös"/>
    <s v="Kenyérgyár u.5"/>
    <s v="ok"/>
    <n v="2"/>
    <n v="2"/>
    <x v="6"/>
    <n v="1"/>
    <n v="1"/>
    <n v="1"/>
  </r>
  <r>
    <s v="K &amp; H BANK ZRT."/>
    <s v="AKHK4969"/>
    <s v="CINEO C2560"/>
    <s v="5300829078"/>
    <s v="1095"/>
    <s v="Budapest"/>
    <s v="Lechner Ödön fasor 9"/>
    <s v="ok"/>
    <n v="2"/>
    <n v="2"/>
    <x v="17"/>
    <n v="1"/>
    <n v="1"/>
    <n v="1"/>
  </r>
  <r>
    <s v="K &amp; H BANK ZRT."/>
    <s v="AKHK4981"/>
    <s v="CINEO C2560"/>
    <s v="5300829081"/>
    <s v="6000"/>
    <s v="Kecskemét"/>
    <s v="Kodály Z.tér 7."/>
    <s v="ok"/>
    <n v="2"/>
    <n v="2"/>
    <x v="11"/>
    <n v="1"/>
    <n v="1"/>
    <n v="1"/>
  </r>
  <r>
    <s v="K &amp; H BANK ZRT."/>
    <s v="AKHK4984"/>
    <s v="CINEO C2560"/>
    <s v="5300829087"/>
    <s v="2700"/>
    <s v="Cegléd"/>
    <s v="Törteli u.1-3"/>
    <s v="ok"/>
    <n v="2"/>
    <n v="2"/>
    <x v="6"/>
    <e v="#N/A"/>
    <n v="0"/>
    <n v="2"/>
  </r>
  <r>
    <s v="K &amp; H BANK ZRT."/>
    <s v="AKHK4986"/>
    <s v="CINEO C2560"/>
    <s v="5300829091"/>
    <s v="4400"/>
    <s v="Nyíregyháza"/>
    <s v="Korányi F.u.12"/>
    <s v="ok"/>
    <n v="2"/>
    <n v="2"/>
    <x v="1"/>
    <n v="1"/>
    <n v="1"/>
    <n v="1"/>
  </r>
  <r>
    <s v="K &amp; H BANK ZRT."/>
    <s v="AKHK4987"/>
    <s v="CINEO C2560"/>
    <s v="5300829094"/>
    <s v="8136"/>
    <s v="Lajoskomárom"/>
    <s v="Ozorai u.5"/>
    <s v="ok"/>
    <n v="2"/>
    <n v="2"/>
    <x v="7"/>
    <n v="1"/>
    <n v="1"/>
    <n v="1"/>
  </r>
  <r>
    <s v="K &amp; H BANK ZRT."/>
    <s v="AKHO2305"/>
    <s v="Diebold-Opteva 522 Lobby Cash Dispenser"/>
    <s v="1522FH113856"/>
    <s v="1021"/>
    <s v="Budapest"/>
    <s v="Hidegkúti út 1."/>
    <s v="ok"/>
    <n v="2"/>
    <n v="2"/>
    <x v="0"/>
    <n v="1"/>
    <n v="1"/>
    <n v="1"/>
  </r>
  <r>
    <s v="K &amp; H BANK ZRT."/>
    <s v="CASH2001_R"/>
    <s v="Diebold-Opteva 868 ATM"/>
    <s v="1868RH101215"/>
    <s v="2030"/>
    <s v="Érd"/>
    <s v="Budai út 26."/>
    <s v="ok"/>
    <n v="2"/>
    <n v="2"/>
    <x v="15"/>
    <n v="1"/>
    <n v="1"/>
    <n v="1"/>
  </r>
  <r>
    <s v="K &amp; H BANK ZRT."/>
    <s v="CASH2002_R"/>
    <s v="Diebold-Opteva 868 ATM"/>
    <s v="1868RH101216"/>
    <s v="4024"/>
    <s v="Debrecen"/>
    <s v="Piac u. 52."/>
    <s v="ok"/>
    <n v="2"/>
    <n v="2"/>
    <x v="16"/>
    <n v="1"/>
    <n v="1"/>
    <n v="1"/>
  </r>
  <r>
    <s v="K &amp; H BANK ZRT."/>
    <s v="CASH2004_R"/>
    <s v="Diebold-Opteva 868 ATM"/>
    <s v="1868RH101214"/>
    <s v="3300"/>
    <s v="Eger"/>
    <s v="Barkóczy út 3."/>
    <s v="ok"/>
    <n v="2"/>
    <n v="2"/>
    <x v="2"/>
    <n v="1"/>
    <n v="1"/>
    <n v="1"/>
  </r>
  <r>
    <s v="K &amp; H BANK ZRT."/>
    <s v="CASH2005_R"/>
    <s v="Diebold-Opteva 868 ATM"/>
    <s v="1868RH101217"/>
    <s v="7400"/>
    <s v="Kaposvár"/>
    <s v="Széchenyi tér 8."/>
    <s v="ok"/>
    <n v="2"/>
    <n v="2"/>
    <x v="12"/>
    <n v="1"/>
    <n v="1"/>
    <n v="1"/>
  </r>
  <r>
    <s v="K &amp; H BANK ZRT."/>
    <s v="CASH2006"/>
    <s v="Diebold-Opteva 868 ATM"/>
    <s v="1868RH101220"/>
    <s v="6720"/>
    <s v="Szeged"/>
    <s v="Széchenyi tér 9."/>
    <s v="ok"/>
    <n v="2"/>
    <n v="2"/>
    <x v="3"/>
    <n v="1"/>
    <n v="1"/>
    <n v="1"/>
  </r>
  <r>
    <s v="K &amp; H BANK ZRT."/>
    <s v="CASH2008_R"/>
    <s v="Diebold-Opteva 868 ATM"/>
    <s v="1868RH101218"/>
    <s v="9700"/>
    <s v="Szombathely"/>
    <s v="Kőszegi u. 10."/>
    <s v="ok"/>
    <n v="2"/>
    <n v="2"/>
    <x v="8"/>
    <n v="1"/>
    <n v="1"/>
    <n v="1"/>
  </r>
  <r>
    <s v="K &amp; H BANK ZRT."/>
    <s v="CASH2009_R"/>
    <s v="Diebold-Opteva 868 ATM"/>
    <s v="1868RH102962"/>
    <s v="2040"/>
    <s v="Budaörs"/>
    <s v="Szabadság út 47."/>
    <s v="ok"/>
    <n v="2"/>
    <n v="2"/>
    <x v="17"/>
    <n v="1"/>
    <n v="1"/>
    <n v="1"/>
  </r>
  <r>
    <s v="K &amp; H BANK ZRT."/>
    <s v="CASH2010_R"/>
    <s v="Diebold-Opteva 868 ATM"/>
    <s v="1868RH101148"/>
    <s v="1067"/>
    <s v="Budapest"/>
    <s v="Teréz krt. 1."/>
    <s v="ok"/>
    <n v="2"/>
    <n v="2"/>
    <x v="13"/>
    <n v="1"/>
    <n v="1"/>
    <n v="1"/>
  </r>
  <r>
    <s v="K &amp; H BANK ZRT."/>
    <s v="CASH2011_R"/>
    <s v="Diebold-Opteva 868 ATM"/>
    <s v="1868RH102953"/>
    <s v="1024"/>
    <s v="Budapest"/>
    <s v="Margit krt. 43-45."/>
    <s v="ok"/>
    <n v="2"/>
    <n v="2"/>
    <x v="0"/>
    <n v="1"/>
    <n v="1"/>
    <n v="1"/>
  </r>
  <r>
    <s v="K &amp; H BANK ZRT."/>
    <s v="CASH2013_R"/>
    <s v="Diebold-Opteva 868 ATM"/>
    <s v="1868RH102954"/>
    <s v="1148"/>
    <s v="Budapest"/>
    <s v="Örs vezér tere 2."/>
    <s v="ok"/>
    <n v="2"/>
    <n v="2"/>
    <x v="6"/>
    <n v="1"/>
    <n v="1"/>
    <n v="1"/>
  </r>
  <r>
    <s v="K &amp; H BANK ZRT."/>
    <s v="CASH2014_R"/>
    <s v="Diebold-Opteva 868 ATM"/>
    <s v="1868RH102955"/>
    <s v="5600"/>
    <s v="Békéscsaba"/>
    <s v="Szent István Tér 5."/>
    <s v="ok"/>
    <n v="2"/>
    <n v="2"/>
    <x v="3"/>
    <n v="1"/>
    <n v="1"/>
    <n v="1"/>
  </r>
  <r>
    <s v="K &amp; H BANK ZRT."/>
    <s v="CASH2016_R"/>
    <s v="Diebold-Opteva 868 ATM"/>
    <s v="1868RH102952"/>
    <s v="8900"/>
    <s v="Zalaegerszeg"/>
    <s v="Kossuth u. 8."/>
    <s v="ok"/>
    <n v="2"/>
    <n v="2"/>
    <x v="9"/>
    <n v="1"/>
    <n v="1"/>
    <n v="1"/>
  </r>
  <r>
    <s v="K &amp; H BANK ZRT."/>
    <s v="CASH2018_R"/>
    <s v="Diebold-Opteva 868 ATM"/>
    <s v="1868RH102956"/>
    <s v="8200"/>
    <s v="Veszprém"/>
    <s v="Budapest u. 6."/>
    <s v="ok"/>
    <n v="2"/>
    <n v="2"/>
    <x v="4"/>
    <n v="1"/>
    <n v="1"/>
    <n v="1"/>
  </r>
  <r>
    <s v="K &amp; H BANK ZRT."/>
    <s v="CASH2019_R"/>
    <s v="Diebold-Opteva 868 ATM"/>
    <s v="1868RH107576"/>
    <s v="4220"/>
    <s v="Hajdúböszörmény"/>
    <s v="Korpona u. 14."/>
    <s v="ok"/>
    <n v="2"/>
    <n v="2"/>
    <x v="16"/>
    <n v="1"/>
    <n v="1"/>
    <n v="1"/>
  </r>
  <r>
    <s v="K &amp; H BANK ZRT."/>
    <s v="CASH2020_R"/>
    <s v="Diebold-Opteva 868 ATM"/>
    <s v="1868RH102957"/>
    <s v="7626"/>
    <s v="Pécs"/>
    <s v="Búza tér 6/a"/>
    <s v="ok"/>
    <n v="2"/>
    <n v="2"/>
    <x v="12"/>
    <n v="1"/>
    <n v="1"/>
    <n v="1"/>
  </r>
  <r>
    <s v="K &amp; H BANK ZRT."/>
    <s v="CASH2021_R"/>
    <s v="Diebold-Opteva 868 ATM"/>
    <s v="1868RH102958"/>
    <s v="1042"/>
    <s v="Budapest"/>
    <s v="Árpád út 112."/>
    <s v="ok"/>
    <n v="2"/>
    <n v="2"/>
    <x v="14"/>
    <n v="1"/>
    <n v="1"/>
    <n v="1"/>
  </r>
  <r>
    <s v="K &amp; H BANK ZRT."/>
    <s v="CASH2022_R"/>
    <s v="Diebold-Opteva 868 ATM"/>
    <s v="1868RH102959"/>
    <s v="1117"/>
    <s v="Budapest"/>
    <s v="Móricz Zsigmond körtér 14."/>
    <s v="ok"/>
    <n v="2"/>
    <n v="2"/>
    <x v="17"/>
    <n v="1"/>
    <n v="1"/>
    <n v="1"/>
  </r>
  <r>
    <s v="K &amp; H BANK ZRT."/>
    <s v="CASH2023_R"/>
    <s v="Diebold-Opteva 868 ATM"/>
    <s v="1868RH102960"/>
    <s v="3530"/>
    <s v="Miskolc"/>
    <s v="Széchenyi u. 88."/>
    <s v="ok"/>
    <n v="2"/>
    <n v="2"/>
    <x v="2"/>
    <n v="1"/>
    <n v="1"/>
    <n v="1"/>
  </r>
  <r>
    <s v="K &amp; H BANK ZRT."/>
    <s v="CASH2024_R"/>
    <s v="Diebold-Opteva 868 ATM"/>
    <s v="1868RH102961"/>
    <s v="7100"/>
    <s v="Szekszárd"/>
    <s v="Széchenyi u. 18-20."/>
    <s v="ok"/>
    <n v="2"/>
    <n v="2"/>
    <x v="7"/>
    <n v="1"/>
    <n v="1"/>
    <n v="1"/>
  </r>
  <r>
    <s v="K &amp; H BANK ZRT."/>
    <s v="CASH2025_R"/>
    <s v="Diebold-Opteva 868 ATM"/>
    <s v="1868RH102963"/>
    <s v="4400"/>
    <s v="Nyíregyháza"/>
    <s v="Luther u. 3."/>
    <s v="ok"/>
    <n v="2"/>
    <n v="2"/>
    <x v="1"/>
    <n v="1"/>
    <n v="1"/>
    <n v="1"/>
  </r>
  <r>
    <s v="K &amp; H BANK ZRT."/>
    <s v="CASH2026_R"/>
    <s v="Diebold-Opteva 868 ATM"/>
    <s v="1868RH102964"/>
    <s v="8360"/>
    <s v="Keszthely"/>
    <s v="Fő tér 6-8."/>
    <s v="ok"/>
    <n v="2"/>
    <n v="2"/>
    <x v="9"/>
    <n v="1"/>
    <n v="1"/>
    <n v="1"/>
  </r>
  <r>
    <s v="K &amp; H BANK ZRT."/>
    <s v="CASH2027"/>
    <s v="Diebold-Opteva 828 FL Cash Recycler"/>
    <s v="1828FH101972"/>
    <s v="5040"/>
    <s v="Lajosmizse"/>
    <s v="Szabadság tér 10."/>
    <s v="ok"/>
    <n v="2"/>
    <n v="2"/>
    <x v="15"/>
    <n v="1"/>
    <n v="1"/>
    <n v="1"/>
  </r>
  <r>
    <s v="K &amp; H BANK ZRT."/>
    <s v="CASH2028"/>
    <s v="Diebold-Opteva 868 ATM"/>
    <s v="1868RH102965"/>
    <s v="1024"/>
    <s v="Budapest"/>
    <s v="Lövőház u. 2-6."/>
    <s v="ok"/>
    <n v="2"/>
    <n v="2"/>
    <x v="0"/>
    <n v="1"/>
    <n v="1"/>
    <n v="1"/>
  </r>
  <r>
    <s v="K &amp; H BANK ZRT."/>
    <s v="CASH2029_R"/>
    <s v="Diebold-Opteva 868 ATM"/>
    <s v="1868RH103311"/>
    <s v="1119"/>
    <s v="Budapest"/>
    <s v="Fehérvári út 79."/>
    <s v="ok"/>
    <n v="2"/>
    <n v="2"/>
    <x v="17"/>
    <n v="1"/>
    <n v="1"/>
    <n v="1"/>
  </r>
  <r>
    <s v="K &amp; H BANK ZRT."/>
    <s v="CASH2030_R"/>
    <s v="Diebold-Opteva 868 ATM"/>
    <s v="1868RH103302"/>
    <s v="1193"/>
    <s v="Budapest"/>
    <s v="Üllői út 234."/>
    <s v="ok"/>
    <n v="2"/>
    <n v="2"/>
    <x v="10"/>
    <n v="1"/>
    <n v="1"/>
    <n v="1"/>
  </r>
  <r>
    <s v="K &amp; H BANK ZRT."/>
    <s v="CASH2031_R"/>
    <s v="Diebold-Opteva 868 ATM"/>
    <s v="1868RH103303"/>
    <s v="2600"/>
    <s v="Vác"/>
    <s v="Széchenyi u. 34."/>
    <s v="ok"/>
    <n v="2"/>
    <n v="2"/>
    <x v="6"/>
    <n v="1"/>
    <n v="1"/>
    <n v="1"/>
  </r>
  <r>
    <s v="K &amp; H BANK ZRT."/>
    <s v="CASH2034_R"/>
    <s v="Diebold-Opteva 868 ATM"/>
    <s v="1868RH103304"/>
    <s v="5000"/>
    <s v="Szolnok"/>
    <s v="Kossuth L. u. 18."/>
    <s v="ok"/>
    <n v="2"/>
    <n v="2"/>
    <x v="11"/>
    <n v="1"/>
    <n v="1"/>
    <n v="1"/>
  </r>
  <r>
    <s v="K &amp; H BANK ZRT."/>
    <s v="CASH2035_R"/>
    <s v="Diebold-Opteva 868 ATM"/>
    <s v="1868RH103305"/>
    <s v="2400"/>
    <s v="Dunaújváros"/>
    <s v="Vasmű u.39."/>
    <s v="ok"/>
    <n v="2"/>
    <n v="2"/>
    <x v="7"/>
    <n v="1"/>
    <n v="1"/>
    <n v="1"/>
  </r>
  <r>
    <s v="K &amp; H BANK ZRT."/>
    <s v="CASH2037_R"/>
    <s v="Diebold-Opteva 868 ATM"/>
    <s v="1868RH103306"/>
    <s v="3100"/>
    <s v="Salgótarján"/>
    <s v="Fő tér 4."/>
    <s v="ok"/>
    <n v="2"/>
    <n v="2"/>
    <x v="6"/>
    <n v="1"/>
    <n v="1"/>
    <n v="1"/>
  </r>
  <r>
    <s v="K &amp; H BANK ZRT."/>
    <s v="CASH2038_R"/>
    <s v="Diebold-Opteva 868 ATM"/>
    <s v="1868RH103307"/>
    <s v="6500"/>
    <s v="Baja"/>
    <s v="Szentháromság tér 8-10."/>
    <s v="ok"/>
    <n v="2"/>
    <n v="2"/>
    <x v="12"/>
    <n v="1"/>
    <n v="1"/>
    <n v="1"/>
  </r>
  <r>
    <s v="K &amp; H BANK ZRT."/>
    <s v="CASH2039_R"/>
    <s v="Diebold-Opteva 868 ATM"/>
    <s v="1868RH103308"/>
    <s v="3600"/>
    <s v="Ózd"/>
    <s v="Vasvári u. 48."/>
    <s v="ok"/>
    <n v="2"/>
    <n v="2"/>
    <x v="2"/>
    <n v="1"/>
    <n v="1"/>
    <n v="1"/>
  </r>
  <r>
    <s v="K &amp; H BANK ZRT."/>
    <s v="CASH2040_R"/>
    <s v="Diebold-Opteva 868 ATM"/>
    <s v="1868RH103309"/>
    <s v="9400"/>
    <s v="Sopron"/>
    <s v="Várkerület 41."/>
    <s v="ok"/>
    <n v="2"/>
    <n v="2"/>
    <x v="8"/>
    <n v="1"/>
    <n v="1"/>
    <n v="1"/>
  </r>
  <r>
    <s v="K &amp; H BANK ZRT."/>
    <s v="CASH2041"/>
    <s v="Diebold-Opteva 868 ATM"/>
    <s v="1868RH103310"/>
    <s v="8500"/>
    <s v="Pápa"/>
    <s v="Rákóczi Ferenc u. 2."/>
    <s v="ok"/>
    <n v="2"/>
    <n v="2"/>
    <x v="8"/>
    <n v="1"/>
    <n v="1"/>
    <n v="1"/>
  </r>
  <r>
    <s v="K &amp; H BANK ZRT."/>
    <s v="CASH2042_R"/>
    <s v="Diebold-Opteva 868 ATM"/>
    <s v="1868RH101219"/>
    <s v="2500"/>
    <s v="Esztergom"/>
    <s v="Rákóczi tér 1-3."/>
    <s v="ok"/>
    <n v="2"/>
    <n v="2"/>
    <x v="14"/>
    <n v="1"/>
    <n v="1"/>
    <n v="1"/>
  </r>
  <r>
    <s v="K &amp; H BANK ZRT."/>
    <s v="CASH2044"/>
    <s v="Diebold-Opteva 868 ATM"/>
    <s v="1868RH104503"/>
    <s v="5900"/>
    <s v="Orosháza"/>
    <s v="Rákóczi u. 5."/>
    <s v="ok"/>
    <n v="2"/>
    <n v="2"/>
    <x v="3"/>
    <e v="#N/A"/>
    <n v="0"/>
    <n v="2"/>
  </r>
  <r>
    <s v="K &amp; H BANK ZRT."/>
    <s v="CASH2045_R"/>
    <s v="Diebold-Opteva 868 ATM"/>
    <s v="1868RH104504"/>
    <s v="1033"/>
    <s v="Budapest"/>
    <s v="Flórián tér 1."/>
    <s v="ok"/>
    <n v="2"/>
    <n v="2"/>
    <x v="0"/>
    <n v="1"/>
    <n v="1"/>
    <n v="1"/>
  </r>
  <r>
    <s v="K &amp; H BANK ZRT."/>
    <s v="CASH2046"/>
    <s v="Diebold-Opteva 868 ATM"/>
    <s v="1868RH104502"/>
    <s v="6230"/>
    <s v="Soltvadkert"/>
    <s v="Kossuth u. 21."/>
    <s v="ok"/>
    <n v="2"/>
    <n v="2"/>
    <x v="7"/>
    <n v="1"/>
    <n v="1"/>
    <n v="1"/>
  </r>
  <r>
    <s v="K &amp; H BANK ZRT."/>
    <s v="CASH2047"/>
    <s v="Diebold-Opteva 868 ATM"/>
    <s v="1868RH107577"/>
    <s v="2060"/>
    <s v="Bicske"/>
    <s v="Szent István út 2."/>
    <s v="ok"/>
    <n v="2"/>
    <n v="2"/>
    <x v="19"/>
    <n v="1"/>
    <n v="1"/>
    <n v="1"/>
  </r>
  <r>
    <s v="K &amp; H BANK ZRT."/>
    <s v="CASH2048_R"/>
    <s v="Diebold-Opteva 868 ATM"/>
    <s v="1868RH104511"/>
    <s v="8600"/>
    <s v="Siófok"/>
    <s v="Fő tér 8."/>
    <s v="ok"/>
    <n v="2"/>
    <n v="2"/>
    <x v="4"/>
    <n v="1"/>
    <n v="1"/>
    <n v="1"/>
  </r>
  <r>
    <s v="K &amp; H BANK ZRT."/>
    <s v="CASH2049_R"/>
    <s v="Diebold-Opteva 868 ATM"/>
    <s v="1868RH104514"/>
    <s v="6000"/>
    <s v="Kecskemét"/>
    <s v="Nagykőrösi út 9/a."/>
    <s v="ok"/>
    <n v="2"/>
    <n v="2"/>
    <x v="11"/>
    <n v="1"/>
    <n v="1"/>
    <n v="1"/>
  </r>
  <r>
    <s v="K &amp; H BANK ZRT."/>
    <s v="CASH2051_R"/>
    <s v="Diebold-Opteva 868 ATM"/>
    <s v="1868RH104510"/>
    <s v="8630"/>
    <s v="Balatonboglár"/>
    <s v="Sétáló u. 7."/>
    <s v="ok"/>
    <n v="2"/>
    <n v="2"/>
    <x v="9"/>
    <n v="1"/>
    <n v="1"/>
    <n v="1"/>
  </r>
  <r>
    <s v="K &amp; H BANK ZRT."/>
    <s v="CASH2053"/>
    <s v="Diebold-Opteva 868 ATM"/>
    <s v="1868RH104515"/>
    <s v="2051"/>
    <s v="Biatorbágy"/>
    <s v="Szabadság út 76."/>
    <s v="ok"/>
    <n v="2"/>
    <n v="2"/>
    <x v="19"/>
    <n v="1"/>
    <n v="1"/>
    <n v="1"/>
  </r>
  <r>
    <s v="K &amp; H BANK ZRT."/>
    <s v="CASH2055_R"/>
    <s v="Diebold-Opteva 868 ATM"/>
    <s v="1868RH104512"/>
    <s v="9024"/>
    <s v="Győr"/>
    <s v="Vasvári Pál út 1/a ( Pláza )"/>
    <s v="ok"/>
    <n v="2"/>
    <n v="2"/>
    <x v="19"/>
    <n v="1"/>
    <n v="1"/>
    <n v="1"/>
  </r>
  <r>
    <s v="K &amp; H BANK ZRT."/>
    <s v="CASH2056_R"/>
    <s v="Diebold-Opteva 868 ATM"/>
    <s v="1868RH104516"/>
    <s v="5700"/>
    <s v="Gyula"/>
    <s v="Városház u. 17-19."/>
    <s v="ok"/>
    <n v="2"/>
    <n v="2"/>
    <x v="3"/>
    <n v="1"/>
    <n v="1"/>
    <n v="1"/>
  </r>
  <r>
    <s v="K &amp; H BANK ZRT."/>
    <s v="CASH2057"/>
    <s v="Diebold-Opteva 868 ATM"/>
    <s v="1868RH107578"/>
    <s v="8220"/>
    <s v="Balatonalmádi"/>
    <s v="Városház u. 5."/>
    <s v="ok"/>
    <n v="2"/>
    <n v="2"/>
    <x v="4"/>
    <n v="1"/>
    <n v="1"/>
    <n v="1"/>
  </r>
  <r>
    <s v="K &amp; H BANK ZRT."/>
    <s v="CASH2060"/>
    <s v="Diebold-Opteva 868 ATM"/>
    <s v="1868RH104513"/>
    <s v="9021"/>
    <s v="Győr"/>
    <s v="Szent István u. 13."/>
    <s v="ok"/>
    <n v="2"/>
    <n v="2"/>
    <x v="19"/>
    <n v="1"/>
    <n v="1"/>
    <n v="1"/>
  </r>
  <r>
    <s v="K &amp; H BANK ZRT."/>
    <s v="CASH2062"/>
    <s v="Diebold-Opteva 868 ATM"/>
    <s v="1868RH105286"/>
    <s v="4026"/>
    <s v="Debrecen"/>
    <s v="Kálvin tér 8."/>
    <s v="ok"/>
    <n v="2"/>
    <n v="2"/>
    <x v="16"/>
    <n v="1"/>
    <n v="1"/>
    <n v="1"/>
  </r>
  <r>
    <s v="K &amp; H BANK ZRT."/>
    <s v="CASH2063_R"/>
    <s v="Diebold-Opteva 868 ATM"/>
    <s v="1868RH105287"/>
    <s v="2700"/>
    <s v="Cegléd"/>
    <s v="Szabadság tér 1."/>
    <s v="ok"/>
    <n v="2"/>
    <n v="2"/>
    <x v="6"/>
    <n v="1"/>
    <n v="1"/>
    <n v="1"/>
  </r>
  <r>
    <s v="K &amp; H BANK ZRT."/>
    <s v="CASH2064_R"/>
    <s v="Diebold-Opteva 868 ATM"/>
    <s v="1868RH107758"/>
    <s v="7090"/>
    <s v="Tamási"/>
    <s v="Garai u. 1."/>
    <s v="ok"/>
    <n v="2"/>
    <n v="2"/>
    <x v="4"/>
    <n v="1"/>
    <n v="1"/>
    <n v="1"/>
  </r>
  <r>
    <s v="K &amp; H BANK ZRT."/>
    <s v="CASH2065_R"/>
    <s v="Diebold-Opteva 868 ATM"/>
    <s v="1868RH105306"/>
    <s v="2800"/>
    <s v="Tatabánya"/>
    <s v="Szent Borbála tér 2."/>
    <s v="ok"/>
    <n v="2"/>
    <n v="2"/>
    <x v="19"/>
    <n v="1"/>
    <n v="1"/>
    <n v="1"/>
  </r>
  <r>
    <s v="K &amp; H BANK ZRT."/>
    <s v="CASH2067"/>
    <s v="Diebold-Opteva 868 ATM"/>
    <s v="1868RH105288"/>
    <s v="1051"/>
    <s v="Budapest"/>
    <s v="Arany János u. 20."/>
    <s v="ok"/>
    <n v="2"/>
    <n v="2"/>
    <x v="13"/>
    <n v="1"/>
    <n v="1"/>
    <n v="1"/>
  </r>
  <r>
    <s v="K &amp; H BANK ZRT."/>
    <s v="CASH2068_R"/>
    <s v="Diebold-Opteva 868 ATM"/>
    <s v="1868RH105305"/>
    <s v="1211"/>
    <s v="Budapest"/>
    <s v="Kossuth L. u. 97."/>
    <s v="ok"/>
    <n v="2"/>
    <n v="2"/>
    <x v="15"/>
    <n v="1"/>
    <n v="1"/>
    <n v="1"/>
  </r>
  <r>
    <s v="K &amp; H BANK ZRT."/>
    <s v="CASH2070"/>
    <s v="Diebold-Opteva 868 ATM"/>
    <s v="1868RH105289"/>
    <s v="6720"/>
    <s v="Szeged"/>
    <s v="Klauzál tér 5."/>
    <s v="ok"/>
    <n v="2"/>
    <n v="2"/>
    <x v="3"/>
    <n v="1"/>
    <n v="1"/>
    <n v="1"/>
  </r>
  <r>
    <s v="K &amp; H BANK ZRT."/>
    <s v="CASH2071_R"/>
    <s v="Diebold-Opteva 868 ATM"/>
    <s v="1868RH105290"/>
    <s v="4600"/>
    <s v="Kisvárda"/>
    <s v="Somogyi Rezső u. 11."/>
    <s v="ok"/>
    <n v="2"/>
    <n v="2"/>
    <x v="1"/>
    <n v="1"/>
    <n v="1"/>
    <n v="1"/>
  </r>
  <r>
    <s v="K &amp; H BANK ZRT."/>
    <s v="CASH2073"/>
    <s v="Diebold-Opteva 868 ATM"/>
    <s v="1868RH105308"/>
    <s v="4200"/>
    <s v="Hajdúszoboszló"/>
    <s v="Szilfákalja u. 10-12."/>
    <s v="ok"/>
    <n v="2"/>
    <n v="2"/>
    <x v="16"/>
    <n v="1"/>
    <n v="1"/>
    <n v="1"/>
  </r>
  <r>
    <s v="K &amp; H BANK ZRT."/>
    <s v="CASH2075_R"/>
    <s v="Diebold-Opteva 868 ATM"/>
    <s v="1868RH105307"/>
    <s v="8800"/>
    <s v="Nagykanizsa"/>
    <s v="Fő u. 2."/>
    <s v="ok"/>
    <n v="2"/>
    <n v="2"/>
    <x v="9"/>
    <n v="1"/>
    <n v="1"/>
    <n v="1"/>
  </r>
  <r>
    <s v="K &amp; H BANK ZRT."/>
    <s v="CASH2076_R"/>
    <s v="Diebold-Opteva 868 ATM"/>
    <s v="1868RH106048"/>
    <s v="6400"/>
    <s v="Kiskunhalas"/>
    <s v="Sétáló u. 1."/>
    <s v="ok"/>
    <n v="2"/>
    <n v="2"/>
    <x v="7"/>
    <n v="1"/>
    <n v="1"/>
    <n v="1"/>
  </r>
  <r>
    <s v="K &amp; H BANK ZRT."/>
    <s v="CASH2077_R"/>
    <s v="Diebold-Opteva 868 ATM"/>
    <s v="1868RH106049"/>
    <s v="4700"/>
    <s v="Mátészalka"/>
    <s v="Kálvin tér 1."/>
    <s v="ok"/>
    <n v="2"/>
    <n v="2"/>
    <x v="1"/>
    <n v="1"/>
    <n v="1"/>
    <n v="1"/>
  </r>
  <r>
    <s v="K &amp; H BANK ZRT."/>
    <s v="CASH2079"/>
    <s v="Diebold-Opteva 868 ATM"/>
    <s v="1868RH106109"/>
    <s v="7200"/>
    <s v="Dombóvár"/>
    <s v="Hunyadi tér 12."/>
    <s v="ok"/>
    <n v="2"/>
    <n v="2"/>
    <x v="12"/>
    <n v="1"/>
    <n v="1"/>
    <n v="1"/>
  </r>
  <r>
    <s v="K &amp; H BANK ZRT."/>
    <s v="CASH2083"/>
    <s v="Diebold-Opteva 868 ATM"/>
    <s v="1868RH106110"/>
    <s v="2510"/>
    <s v="Dorog"/>
    <s v="Bécsi u.45."/>
    <s v="ok"/>
    <n v="2"/>
    <n v="2"/>
    <x v="14"/>
    <n v="1"/>
    <n v="1"/>
    <n v="1"/>
  </r>
  <r>
    <s v="K &amp; H BANK ZRT."/>
    <s v="CASH2085"/>
    <s v="Diebold-Opteva 868 ATM"/>
    <s v="1868RH106112"/>
    <s v="6000"/>
    <s v="Kecskemét"/>
    <s v="Dobó krt. 9"/>
    <s v="ok"/>
    <n v="2"/>
    <n v="2"/>
    <x v="11"/>
    <n v="1"/>
    <n v="1"/>
    <n v="1"/>
  </r>
  <r>
    <s v="K &amp; H BANK ZRT."/>
    <s v="CASH2089_R"/>
    <s v="Diebold-Opteva 868 ATM"/>
    <s v="1868RH106113"/>
    <s v="8100"/>
    <s v="Várpalota"/>
    <s v="Táncsics u.5."/>
    <s v="ok"/>
    <n v="2"/>
    <n v="2"/>
    <x v="4"/>
    <n v="1"/>
    <n v="1"/>
    <n v="1"/>
  </r>
  <r>
    <s v="K &amp; H BANK ZRT."/>
    <s v="CASH2093"/>
    <s v="Diebold-Opteva 868 ATM"/>
    <s v="1868RH106114"/>
    <s v="9900"/>
    <s v="Körmend"/>
    <s v="Vida u. 1/a."/>
    <s v="ok"/>
    <n v="2"/>
    <n v="2"/>
    <x v="8"/>
    <n v="1"/>
    <n v="1"/>
    <n v="1"/>
  </r>
  <r>
    <s v="K &amp; H BANK ZRT."/>
    <s v="CASH2095_R"/>
    <s v="Diebold-Opteva 868 ATM"/>
    <s v="1868RH106115"/>
    <s v="4100"/>
    <s v="Berettyóújfalu"/>
    <s v="Dózsa György u. 15-17."/>
    <s v="ok"/>
    <n v="2"/>
    <n v="2"/>
    <x v="16"/>
    <n v="1"/>
    <n v="1"/>
    <n v="1"/>
  </r>
  <r>
    <s v="K &amp; H BANK ZRT."/>
    <s v="CASH2103_R"/>
    <s v="Diebold-Opteva 868 ATM"/>
    <s v="1868RH106116"/>
    <s v="1083"/>
    <s v="Budapest"/>
    <s v="Kálvin tér 3."/>
    <s v="ok"/>
    <n v="2"/>
    <n v="2"/>
    <x v="13"/>
    <n v="1"/>
    <n v="1"/>
    <n v="1"/>
  </r>
  <r>
    <s v="K &amp; H BANK ZRT."/>
    <s v="CASH2107_R"/>
    <s v="Diebold-Opteva 868 ATM"/>
    <s v="1868RH106121"/>
    <s v="1185"/>
    <s v="Budapest"/>
    <s v="Ülloi út 661."/>
    <s v="ok"/>
    <n v="2"/>
    <n v="2"/>
    <x v="15"/>
    <n v="1"/>
    <n v="1"/>
    <n v="1"/>
  </r>
  <r>
    <s v="K &amp; H BANK ZRT."/>
    <s v="CASH2109"/>
    <s v="Diebold-Opteva 868 ATM"/>
    <s v="1868RH107581"/>
    <s v="3525"/>
    <s v="Miskolc"/>
    <s v="Széchenyi u. 3-9."/>
    <s v="ok"/>
    <n v="2"/>
    <n v="2"/>
    <x v="2"/>
    <n v="1"/>
    <n v="1"/>
    <n v="1"/>
  </r>
  <r>
    <s v="K &amp; H BANK ZRT."/>
    <s v="CASH2111_R"/>
    <s v="Diebold-Opteva 868 ATM"/>
    <s v="1868RH106119"/>
    <s v="3000"/>
    <s v="Hatvan"/>
    <s v="Grassalkovich u. 3-5."/>
    <s v="ok"/>
    <n v="2"/>
    <n v="2"/>
    <x v="10"/>
    <n v="1"/>
    <n v="1"/>
    <n v="1"/>
  </r>
  <r>
    <s v="K &amp; H BANK ZRT."/>
    <s v="CASH2113"/>
    <s v="Diebold-Opteva 868 ATM"/>
    <s v="1868RH106120"/>
    <s v="1133"/>
    <s v="Budapest"/>
    <s v="Váci út 76."/>
    <s v="ok"/>
    <n v="2"/>
    <n v="2"/>
    <x v="14"/>
    <n v="1"/>
    <n v="1"/>
    <n v="1"/>
  </r>
  <r>
    <s v="K &amp; H BANK ZRT."/>
    <s v="CASH2115"/>
    <s v="Diebold-Opteva 868 ATM"/>
    <s v="1868RH107579"/>
    <s v="3950"/>
    <s v="Sárospatak"/>
    <s v="Hild tér 3."/>
    <s v="ok"/>
    <n v="2"/>
    <n v="2"/>
    <x v="1"/>
    <n v="1"/>
    <n v="1"/>
    <n v="1"/>
  </r>
  <r>
    <s v="K &amp; H BANK ZRT."/>
    <s v="CASH2117_R"/>
    <s v="Diebold-Opteva 868 ATM"/>
    <s v="1868RH106379"/>
    <s v="2340"/>
    <s v="Szigetszentmiklós"/>
    <s v="Ifjúság útja 16."/>
    <s v="ok"/>
    <n v="2"/>
    <n v="2"/>
    <x v="15"/>
    <n v="1"/>
    <n v="1"/>
    <n v="1"/>
  </r>
  <r>
    <s v="K &amp; H BANK ZRT."/>
    <s v="CASH2127_R"/>
    <s v="Diebold-Opteva 868 ATM"/>
    <s v="1868RH106380"/>
    <s v="6900"/>
    <s v="Makó"/>
    <s v="Széchenyi tér 13-15."/>
    <s v="ok"/>
    <n v="2"/>
    <n v="2"/>
    <x v="3"/>
    <n v="1"/>
    <n v="1"/>
    <n v="1"/>
  </r>
  <r>
    <s v="K &amp; H BANK ZRT."/>
    <s v="CASH2129_R"/>
    <s v="Diebold-Opteva 868 ATM"/>
    <s v="1868RH106381"/>
    <s v="4800"/>
    <s v="Vásárosnamény"/>
    <s v="Szabadság tér 32."/>
    <s v="ok"/>
    <n v="2"/>
    <n v="2"/>
    <x v="1"/>
    <n v="1"/>
    <n v="1"/>
    <n v="1"/>
  </r>
  <r>
    <s v="K &amp; H BANK ZRT."/>
    <s v="CASH2130"/>
    <s v="Diebold-Opteva 868 ATM"/>
    <s v="1868RH106382"/>
    <s v="2750"/>
    <s v="Nagykőrös"/>
    <s v="Deák tér 1."/>
    <s v="ok"/>
    <n v="2"/>
    <n v="2"/>
    <x v="11"/>
    <n v="1"/>
    <n v="1"/>
    <n v="1"/>
  </r>
  <r>
    <s v="K &amp; H BANK ZRT."/>
    <s v="CASH2131_R"/>
    <s v="Diebold-Opteva 868 ATM"/>
    <s v="1868RH106383"/>
    <s v="8060"/>
    <s v="Mór"/>
    <s v="Bajcsy-Zsilinszky u.10."/>
    <s v="ok"/>
    <n v="2"/>
    <n v="2"/>
    <x v="4"/>
    <n v="1"/>
    <n v="1"/>
    <n v="1"/>
  </r>
  <r>
    <s v="K &amp; H BANK ZRT."/>
    <s v="CASH2133"/>
    <s v="Diebold-Opteva 868 ATM"/>
    <s v="1868RH106384"/>
    <s v="3300"/>
    <s v="Eger"/>
    <s v="Széchenyi u. 4."/>
    <s v="ok"/>
    <n v="2"/>
    <n v="2"/>
    <x v="2"/>
    <n v="1"/>
    <n v="1"/>
    <n v="1"/>
  </r>
  <r>
    <s v="K &amp; H BANK ZRT."/>
    <s v="CASH2135_R"/>
    <s v="Diebold-Opteva 868 ATM"/>
    <s v="1868RH106385"/>
    <s v="6101"/>
    <s v="Kiskunfélegyháza"/>
    <s v="Petőfi tér 2."/>
    <s v="ok"/>
    <n v="2"/>
    <n v="2"/>
    <x v="11"/>
    <n v="1"/>
    <n v="1"/>
    <n v="1"/>
  </r>
  <r>
    <s v="K &amp; H BANK ZRT."/>
    <s v="CASH2145_R"/>
    <s v="Diebold-Opteva 868 ATM"/>
    <s v="1868RH106391"/>
    <s v="3200"/>
    <s v="Gyöngyös"/>
    <s v="Bugát Pál tér 6."/>
    <s v="ok"/>
    <n v="2"/>
    <n v="2"/>
    <x v="6"/>
    <n v="1"/>
    <n v="1"/>
    <n v="1"/>
  </r>
  <r>
    <s v="K &amp; H BANK ZRT."/>
    <s v="CASH2150_R"/>
    <s v="Diebold-Opteva 868 ATM"/>
    <s v="1868RH107818"/>
    <s v="5300"/>
    <s v="Karcag"/>
    <s v="Kossuth tér 2-3."/>
    <s v="ok"/>
    <n v="2"/>
    <n v="2"/>
    <x v="16"/>
    <n v="1"/>
    <n v="1"/>
    <n v="1"/>
  </r>
  <r>
    <s v="K &amp; H BANK ZRT."/>
    <s v="CASH2153_R"/>
    <s v="Diebold-Opteva 868 ATM"/>
    <s v="1868RH107813"/>
    <s v="1061"/>
    <s v="Budapest"/>
    <s v="Andrássy út 49."/>
    <s v="ok"/>
    <n v="2"/>
    <n v="2"/>
    <x v="13"/>
    <n v="1"/>
    <n v="1"/>
    <n v="1"/>
  </r>
  <r>
    <s v="K &amp; H BANK ZRT."/>
    <s v="CASH2156_R"/>
    <s v="Diebold-Opteva 868 ATM"/>
    <s v="1868RH106388"/>
    <s v="2840"/>
    <s v="Oroszlány"/>
    <s v="Rákóczi út 80."/>
    <s v="ok"/>
    <n v="2"/>
    <n v="2"/>
    <x v="19"/>
    <n v="1"/>
    <n v="1"/>
    <n v="1"/>
  </r>
  <r>
    <s v="K &amp; H BANK ZRT."/>
    <s v="CASH2157"/>
    <s v="Diebold-Opteva 868 ATM"/>
    <s v="1868RH106389"/>
    <s v="1024"/>
    <s v="Budapest"/>
    <s v="Margit krt. 5/a."/>
    <s v="ok"/>
    <n v="2"/>
    <n v="2"/>
    <x v="0"/>
    <n v="1"/>
    <n v="1"/>
    <n v="1"/>
  </r>
  <r>
    <s v="K &amp; H BANK ZRT."/>
    <s v="CASH2158"/>
    <s v="Diebold-Opteva 868 ATM"/>
    <s v="1868RH106390"/>
    <s v="1085"/>
    <s v="Budapest"/>
    <s v="József krt. 10-12."/>
    <s v="ok"/>
    <n v="2"/>
    <n v="2"/>
    <x v="13"/>
    <n v="1"/>
    <n v="1"/>
    <n v="1"/>
  </r>
  <r>
    <s v="K &amp; H BANK ZRT."/>
    <s v="CASH2159_R"/>
    <s v="Diebold-Opteva 868 ATM"/>
    <s v="1868RH106392"/>
    <s v="1055"/>
    <s v="Budapest"/>
    <s v="Nyugati tér 9."/>
    <s v="ok"/>
    <n v="2"/>
    <n v="2"/>
    <x v="13"/>
    <n v="1"/>
    <n v="1"/>
    <n v="1"/>
  </r>
  <r>
    <s v="K &amp; H BANK ZRT."/>
    <s v="CASH2160"/>
    <s v="Diebold-Opteva 868 ATM"/>
    <s v="1868RH106386"/>
    <s v="1097"/>
    <s v="Budapest"/>
    <s v="Könyves Kálmán krt. 12-14."/>
    <s v="ok"/>
    <n v="2"/>
    <n v="2"/>
    <x v="17"/>
    <n v="1"/>
    <n v="1"/>
    <n v="1"/>
  </r>
  <r>
    <s v="K &amp; H BANK ZRT."/>
    <s v="CASH2177"/>
    <s v="Diebold-Opteva 868 ATM"/>
    <s v="1868RH107814"/>
    <s v="2013"/>
    <s v="Pomáz"/>
    <s v="Huszár u. 25."/>
    <s v="ok"/>
    <n v="2"/>
    <n v="2"/>
    <x v="14"/>
    <n v="1"/>
    <n v="1"/>
    <n v="1"/>
  </r>
  <r>
    <s v="K &amp; H BANK ZRT."/>
    <s v="CASH2180"/>
    <s v="Diebold-Opteva 868 ATM"/>
    <s v="1868RH107811"/>
    <s v="5430"/>
    <s v="Tiszaföldvár"/>
    <s v="Kossuth u. 132."/>
    <s v="ok"/>
    <n v="2"/>
    <n v="2"/>
    <x v="11"/>
    <n v="1"/>
    <n v="1"/>
    <n v="1"/>
  </r>
  <r>
    <s v="K &amp; H BANK ZRT."/>
    <s v="CASH2181"/>
    <s v="Diebold-Opteva 868 ATM"/>
    <s v="1868RH107817"/>
    <s v="5200"/>
    <s v="Törökszentmiklós"/>
    <s v="Kossuth u. 125."/>
    <s v="ok"/>
    <n v="2"/>
    <n v="2"/>
    <x v="11"/>
    <n v="1"/>
    <n v="1"/>
    <n v="1"/>
  </r>
  <r>
    <s v="K &amp; H BANK ZRT."/>
    <s v="CASH2187"/>
    <s v="Diebold-Opteva 868 ATM"/>
    <s v="1868RH107815"/>
    <s v="9330"/>
    <s v="Kapuvár"/>
    <s v="Fő tér 13."/>
    <s v="ok"/>
    <n v="2"/>
    <n v="2"/>
    <x v="8"/>
    <n v="1"/>
    <n v="1"/>
    <n v="1"/>
  </r>
  <r>
    <s v="K &amp; H BANK ZRT."/>
    <s v="CASH2190_R"/>
    <s v="Diebold-Opteva 868 ATM"/>
    <s v="1868RH107812"/>
    <s v="7150"/>
    <s v="Bonyhád"/>
    <s v="Perczel Mór u. 20."/>
    <s v="ok"/>
    <n v="2"/>
    <n v="2"/>
    <x v="12"/>
    <n v="1"/>
    <n v="1"/>
    <n v="1"/>
  </r>
  <r>
    <s v="K &amp; H BANK ZRT."/>
    <s v="CASH2202"/>
    <s v="Diebold-Opteva 868 ATM"/>
    <s v="1868RH107234"/>
    <s v="1087"/>
    <s v="Budapest"/>
    <s v="Baross tér 2."/>
    <s v="ok"/>
    <n v="2"/>
    <n v="2"/>
    <x v="13"/>
    <n v="1"/>
    <n v="1"/>
    <n v="1"/>
  </r>
  <r>
    <s v="K &amp; H BANK ZRT."/>
    <s v="CASH2203_R"/>
    <s v="Diebold-Opteva 868 ATM"/>
    <s v="1868RH107580"/>
    <s v="6600"/>
    <s v="Szentes"/>
    <s v="Kossuth L. u. 13."/>
    <s v="ok"/>
    <n v="2"/>
    <n v="2"/>
    <x v="11"/>
    <n v="1"/>
    <n v="1"/>
    <n v="1"/>
  </r>
  <r>
    <s v="K &amp; H BANK ZRT."/>
    <s v="CASH2205"/>
    <s v="Diebold-Opteva 868 ATM"/>
    <s v="1868RH106393"/>
    <s v="8380"/>
    <s v="Hévíz"/>
    <s v="Rákóczi út 16."/>
    <s v="ok"/>
    <n v="2"/>
    <n v="2"/>
    <x v="9"/>
    <n v="1"/>
    <n v="1"/>
    <n v="1"/>
  </r>
  <r>
    <s v="K &amp; H BANK ZRT."/>
    <s v="CASH2206_R"/>
    <s v="Diebold-Opteva 868 ATM"/>
    <s v="1868RH107235"/>
    <s v="1095"/>
    <s v="Budapest"/>
    <s v="Lechner Ödön fasor 9."/>
    <s v="ok"/>
    <n v="2"/>
    <n v="2"/>
    <x v="17"/>
    <n v="1"/>
    <n v="1"/>
    <n v="1"/>
  </r>
  <r>
    <s v="K &amp; H BANK ZRT."/>
    <s v="CASH2208"/>
    <s v="Diebold-Opteva 868 ATM"/>
    <s v="1868RH107232"/>
    <s v="8000"/>
    <s v="Székesfehérvár"/>
    <s v="Dózsa Gy. u.5."/>
    <s v="ok"/>
    <n v="2"/>
    <n v="2"/>
    <x v="4"/>
    <n v="1"/>
    <n v="1"/>
    <n v="1"/>
  </r>
  <r>
    <s v="K &amp; H BANK ZRT."/>
    <s v="CASH2209"/>
    <s v="Diebold-Opteva 868 ATM"/>
    <s v="1868RH107233"/>
    <s v="7570"/>
    <s v="Barcs"/>
    <s v="Bajcsy-Zsilinszky u. 73."/>
    <s v="ok"/>
    <n v="2"/>
    <n v="2"/>
    <x v="12"/>
    <n v="1"/>
    <n v="1"/>
    <n v="1"/>
  </r>
  <r>
    <s v="K &amp; H BANK ZRT."/>
    <s v="CASH2210"/>
    <s v="Diebold-Opteva 868 ATM"/>
    <s v="1868RH107238"/>
    <s v="1135"/>
    <s v="Budapest"/>
    <s v="Béke tér 9."/>
    <s v="ok"/>
    <n v="2"/>
    <n v="2"/>
    <x v="14"/>
    <n v="1"/>
    <n v="1"/>
    <n v="1"/>
  </r>
  <r>
    <s v="K &amp; H BANK ZRT."/>
    <s v="CASH2211"/>
    <s v="Diebold-Opteva 868 ATM"/>
    <s v="1868RH107237"/>
    <s v="2730"/>
    <s v="Dabas"/>
    <s v="Szent István tér 2."/>
    <s v="ok"/>
    <n v="2"/>
    <n v="2"/>
    <x v="15"/>
    <n v="1"/>
    <n v="1"/>
    <n v="1"/>
  </r>
  <r>
    <s v="K &amp; H BANK ZRT."/>
    <s v="CASH2213_R"/>
    <s v="Diebold-Opteva 868 ATM"/>
    <s v="1868RH107236"/>
    <s v="5540"/>
    <s v="Szarvas"/>
    <s v="Szabadság u. 30."/>
    <s v="ok"/>
    <n v="2"/>
    <n v="2"/>
    <x v="11"/>
    <n v="1"/>
    <n v="1"/>
    <n v="1"/>
  </r>
  <r>
    <s v="K &amp; H BANK ZRT."/>
    <s v="CASH2216_R"/>
    <s v="Diebold-Opteva 868 ATM"/>
    <s v="1868RH107816"/>
    <s v="7300"/>
    <s v="Komló"/>
    <s v="Városház tér 18."/>
    <s v="ok"/>
    <n v="2"/>
    <n v="2"/>
    <x v="12"/>
    <n v="1"/>
    <n v="1"/>
    <n v="1"/>
  </r>
  <r>
    <s v="K &amp; H BANK ZRT."/>
    <s v="CASH2218_R"/>
    <s v="Diebold-Opteva 868 ATM"/>
    <s v="1868RH107239"/>
    <s v="2112"/>
    <s v="Veresegyház"/>
    <s v="Fő u. 37."/>
    <s v="ok"/>
    <n v="2"/>
    <n v="2"/>
    <x v="6"/>
    <n v="1"/>
    <n v="1"/>
    <n v="1"/>
  </r>
  <r>
    <s v="K &amp; H BANK ZRT."/>
    <s v="CASH2220"/>
    <s v="Diebold-Opteva 868 ATM"/>
    <s v="1868RH107240"/>
    <s v="1122"/>
    <s v="Budapest"/>
    <s v="Magyar Jakobinusok tere 1."/>
    <s v="ok"/>
    <n v="2"/>
    <n v="2"/>
    <x v="0"/>
    <n v="1"/>
    <n v="1"/>
    <n v="1"/>
  </r>
  <r>
    <s v="K &amp; H BANK ZRT."/>
    <s v="CASH2221"/>
    <s v="Diebold-Opteva 868 ATM"/>
    <s v="1868RH107750"/>
    <s v="1082"/>
    <s v="Budapest"/>
    <s v="Futó u. 47-53."/>
    <s v="ok"/>
    <n v="2"/>
    <n v="2"/>
    <x v="13"/>
    <n v="1"/>
    <n v="1"/>
    <n v="1"/>
  </r>
  <r>
    <s v="K &amp; H BANK ZRT."/>
    <s v="CASH2222"/>
    <s v="Diebold-Opteva 868 ATM"/>
    <s v="1868RH107241"/>
    <s v="1156"/>
    <s v="Budapest"/>
    <s v="Nyírpalota u. 40-46."/>
    <s v="ok"/>
    <n v="2"/>
    <n v="2"/>
    <x v="14"/>
    <n v="1"/>
    <n v="1"/>
    <n v="1"/>
  </r>
  <r>
    <s v="K &amp; H BANK ZRT."/>
    <s v="CASH2223_R"/>
    <s v="Diebold-Opteva 868 ATM"/>
    <s v="1868RH107819"/>
    <s v="1163"/>
    <s v="Budapest"/>
    <s v="Veres Péter út 105-107."/>
    <s v="ok"/>
    <n v="2"/>
    <n v="2"/>
    <x v="6"/>
    <n v="1"/>
    <n v="1"/>
    <n v="1"/>
  </r>
  <r>
    <s v="K &amp; H BANK ZRT."/>
    <s v="CASH2224_R"/>
    <s v="Diebold-Opteva 868 ATM"/>
    <s v="1868RH107242"/>
    <s v="7800"/>
    <s v="Siklós"/>
    <s v="Felszabadulás u. 42."/>
    <s v="ok"/>
    <n v="2"/>
    <n v="2"/>
    <x v="12"/>
    <n v="1"/>
    <n v="1"/>
    <n v="1"/>
  </r>
  <r>
    <s v="K &amp; H BANK ZRT."/>
    <s v="CASH2227_R"/>
    <s v="Diebold-Opteva 868 ATM"/>
    <s v="1868RH107243"/>
    <s v="3980"/>
    <s v="Sátoraljaújhely"/>
    <s v="Petőfi u. 3."/>
    <s v="ok"/>
    <n v="2"/>
    <n v="2"/>
    <x v="1"/>
    <n v="1"/>
    <n v="1"/>
    <n v="1"/>
  </r>
  <r>
    <s v="K &amp; H BANK ZRT."/>
    <s v="CASH2228_R"/>
    <s v="Diebold-Opteva 868 ATM"/>
    <s v="1868RH107751"/>
    <s v="7700"/>
    <s v="Mohács"/>
    <s v="Szentháromság u. 1-3."/>
    <s v="ok"/>
    <n v="2"/>
    <n v="2"/>
    <x v="12"/>
    <n v="1"/>
    <n v="1"/>
    <n v="1"/>
  </r>
  <r>
    <s v="K &amp; H BANK ZRT."/>
    <s v="CASH2230"/>
    <s v="Diebold-Opteva 868 ATM"/>
    <s v="1868RH107246"/>
    <s v="8400"/>
    <s v="Ajka"/>
    <s v="Szabadság tér 8."/>
    <s v="ok"/>
    <n v="2"/>
    <n v="2"/>
    <x v="4"/>
    <n v="1"/>
    <n v="1"/>
    <n v="1"/>
  </r>
  <r>
    <s v="K &amp; H BANK ZRT."/>
    <s v="CASH2231"/>
    <s v="Diebold-Opteva 868 ATM"/>
    <s v="1868RH107752"/>
    <s v="7020"/>
    <s v="Dunaföldvár"/>
    <s v="Béke tér 13."/>
    <s v="ok"/>
    <n v="2"/>
    <n v="2"/>
    <x v="7"/>
    <n v="1"/>
    <n v="1"/>
    <n v="1"/>
  </r>
  <r>
    <s v="K &amp; H BANK ZRT."/>
    <s v="CASH2232_R"/>
    <s v="Diebold-Opteva 868 ATM"/>
    <s v="1868RH107247"/>
    <s v="2330"/>
    <s v="Dunaharaszti"/>
    <s v="Dózsa Gy. u. 47."/>
    <s v="ok"/>
    <n v="2"/>
    <n v="2"/>
    <x v="15"/>
    <n v="1"/>
    <n v="1"/>
    <n v="1"/>
  </r>
  <r>
    <s v="K &amp; H BANK ZRT."/>
    <s v="CASH2234"/>
    <s v="Diebold-Opteva 868 ATM"/>
    <s v="1868RH107245"/>
    <s v="1026"/>
    <s v="Budapest"/>
    <s v="Pázsit u. 2."/>
    <s v="ok"/>
    <n v="2"/>
    <n v="2"/>
    <x v="0"/>
    <n v="1"/>
    <n v="1"/>
    <n v="1"/>
  </r>
  <r>
    <s v="K &amp; H BANK ZRT."/>
    <s v="CASH2235"/>
    <s v="Diebold-Opteva 868 ATM"/>
    <s v="1868RH107753"/>
    <s v="5520"/>
    <s v="Szeghalom"/>
    <s v="Szabadság tér 2."/>
    <s v="ok"/>
    <n v="2"/>
    <n v="2"/>
    <x v="16"/>
    <n v="1"/>
    <n v="1"/>
    <n v="1"/>
  </r>
  <r>
    <s v="K &amp; H BANK ZRT."/>
    <s v="CASH2238_R"/>
    <s v="Diebold-Opteva 868 ATM"/>
    <s v="1868RH107754"/>
    <s v="6800"/>
    <s v="Hódmezővásárhely"/>
    <s v="Kossuth tér 5."/>
    <s v="ok"/>
    <n v="2"/>
    <n v="2"/>
    <x v="3"/>
    <n v="1"/>
    <n v="1"/>
    <n v="1"/>
  </r>
  <r>
    <s v="K &amp; H BANK ZRT."/>
    <s v="CASH2241"/>
    <s v="Diebold-Opteva 828 FL Cash Recycler"/>
    <s v="1828FH101960"/>
    <s v="7621"/>
    <s v="Pécs"/>
    <s v="Irgalmasok u. 2."/>
    <s v="ok"/>
    <n v="2"/>
    <n v="2"/>
    <x v="12"/>
    <n v="1"/>
    <n v="1"/>
    <n v="1"/>
  </r>
  <r>
    <s v="K &amp; H BANK ZRT."/>
    <s v="CASH2242"/>
    <s v="Diebold-Opteva 828 FL Cash Recycler"/>
    <s v="1828FH101959"/>
    <s v="3360"/>
    <s v="Heves"/>
    <s v="Fő u. 8."/>
    <s v="ok"/>
    <n v="2"/>
    <n v="2"/>
    <x v="6"/>
    <n v="1"/>
    <n v="1"/>
    <n v="1"/>
  </r>
  <r>
    <s v="K &amp; H BANK ZRT."/>
    <s v="CASH2243_R"/>
    <s v="Diebold-Opteva 868 ATM"/>
    <s v="1868RH107248"/>
    <s v="1102"/>
    <s v="Budapest"/>
    <s v="Liget tér 3."/>
    <s v="ok"/>
    <n v="2"/>
    <n v="2"/>
    <x v="17"/>
    <n v="1"/>
    <n v="1"/>
    <n v="1"/>
  </r>
  <r>
    <s v="K &amp; H BANK ZRT."/>
    <s v="CASH2244"/>
    <s v="Diebold-Opteva 868 ATM"/>
    <s v="1868RH107249"/>
    <s v="9600"/>
    <s v="Sárvár"/>
    <s v="Batthyány u. 1."/>
    <s v="ok"/>
    <n v="2"/>
    <n v="2"/>
    <x v="8"/>
    <n v="1"/>
    <n v="1"/>
    <n v="1"/>
  </r>
  <r>
    <s v="K &amp; H BANK ZRT."/>
    <s v="CASH2245_R"/>
    <s v="Diebold-Opteva 868 ATM"/>
    <s v="1868RH107250"/>
    <s v="4900"/>
    <s v="Fehérgyarmat"/>
    <s v="Móricz Zs. u. 2."/>
    <s v="ok"/>
    <n v="2"/>
    <n v="2"/>
    <x v="1"/>
    <n v="1"/>
    <n v="1"/>
    <n v="1"/>
  </r>
  <r>
    <s v="K &amp; H BANK ZRT."/>
    <s v="CASH2246"/>
    <s v="Diebold-Opteva 868 ATM"/>
    <s v="1868RH107251"/>
    <s v="3700"/>
    <s v="Kazincbarcika"/>
    <s v="Egressy Béni u. 1/c fsz. 2."/>
    <s v="ok"/>
    <n v="2"/>
    <n v="2"/>
    <x v="2"/>
    <n v="1"/>
    <n v="1"/>
    <n v="1"/>
  </r>
  <r>
    <s v="K &amp; H BANK ZRT."/>
    <s v="CASH2251"/>
    <s v="Diebold-Opteva 828 FL Cash Recycler"/>
    <s v="1828FH101965"/>
    <s v="8960"/>
    <s v="Lenti"/>
    <s v="Kossuth u. 6."/>
    <s v="ok"/>
    <n v="2"/>
    <n v="2"/>
    <x v="9"/>
    <n v="1"/>
    <n v="1"/>
    <n v="1"/>
  </r>
  <r>
    <s v="K &amp; H BANK ZRT."/>
    <s v="CASH2253"/>
    <s v="Diebold-Opteva 868 ATM"/>
    <s v="1868RH107756"/>
    <s v="1094"/>
    <s v="Budapest"/>
    <s v="Ferenc krt. 1."/>
    <s v="ok"/>
    <n v="2"/>
    <n v="2"/>
    <x v="17"/>
    <n v="1"/>
    <n v="1"/>
    <n v="1"/>
  </r>
  <r>
    <s v="K &amp; H BANK ZRT."/>
    <s v="CASH2256_R"/>
    <s v="Diebold-Opteva 868 ATM"/>
    <s v="1868RH107547"/>
    <s v="1146"/>
    <s v="Budapest"/>
    <s v="Ajtósi Dürer sor 10."/>
    <s v="ok"/>
    <n v="2"/>
    <n v="2"/>
    <x v="14"/>
    <e v="#N/A"/>
    <n v="0"/>
    <n v="2"/>
  </r>
  <r>
    <s v="K &amp; H BANK ZRT."/>
    <s v="CASH2264"/>
    <s v="Diebold-Opteva 868 ATM"/>
    <s v="1868RH107554"/>
    <s v="1138"/>
    <s v="Budapest"/>
    <s v="Váci út 178."/>
    <s v="ok"/>
    <n v="2"/>
    <n v="2"/>
    <x v="14"/>
    <n v="1"/>
    <n v="1"/>
    <n v="1"/>
  </r>
  <r>
    <s v="K &amp; H BANK ZRT."/>
    <s v="CASH2265_R"/>
    <s v="Diebold-Opteva 868 ATM"/>
    <s v="1868RH107548"/>
    <s v="8000"/>
    <s v="Székesfehérvár"/>
    <s v="Liszt Ferenc u. 11."/>
    <s v="ok"/>
    <n v="2"/>
    <n v="2"/>
    <x v="4"/>
    <n v="1"/>
    <n v="1"/>
    <n v="1"/>
  </r>
  <r>
    <s v="K &amp; H BANK ZRT."/>
    <s v="CASH2268"/>
    <s v="Diebold-Opteva 828 FL Cash Recycler"/>
    <s v="1828FH101961"/>
    <s v="8230"/>
    <s v="Balatonfüred"/>
    <s v="Kossuth Lajos u. 5."/>
    <s v="ok"/>
    <n v="2"/>
    <n v="2"/>
    <x v="4"/>
    <n v="1"/>
    <n v="1"/>
    <n v="1"/>
  </r>
  <r>
    <s v="K &amp; H BANK ZRT."/>
    <s v="CASH2270"/>
    <s v="Diebold-Opteva 868 ATM"/>
    <s v="1868RH107549"/>
    <s v="2151"/>
    <s v="Fót"/>
    <s v="Dózsa Gy. u. 18."/>
    <s v="ok"/>
    <n v="2"/>
    <n v="2"/>
    <x v="6"/>
    <n v="1"/>
    <n v="1"/>
    <n v="1"/>
  </r>
  <r>
    <s v="K &amp; H BANK ZRT."/>
    <s v="CASH2273_R"/>
    <s v="Diebold-Opteva 868 ATM"/>
    <s v="1868RH107550"/>
    <s v="2100"/>
    <s v="Gödöllő"/>
    <s v="Szabadság tér 6."/>
    <s v="ok"/>
    <n v="2"/>
    <n v="2"/>
    <x v="10"/>
    <n v="1"/>
    <n v="1"/>
    <n v="1"/>
  </r>
  <r>
    <s v="K &amp; H BANK ZRT."/>
    <s v="CASH2274_R"/>
    <s v="Diebold-Opteva 868 ATM"/>
    <s v="1868RH107551"/>
    <s v="8700"/>
    <s v="Marcali"/>
    <s v="Rákóczi u. 21."/>
    <s v="ok"/>
    <n v="2"/>
    <n v="2"/>
    <x v="9"/>
    <n v="1"/>
    <n v="1"/>
    <n v="1"/>
  </r>
  <r>
    <s v="K &amp; H BANK ZRT."/>
    <s v="CASH2275"/>
    <s v="Diebold-Opteva 868 ATM"/>
    <s v="1868RH107552"/>
    <s v="1075"/>
    <s v="Budapest"/>
    <s v="Károly krt. 17-19."/>
    <s v="ok"/>
    <n v="2"/>
    <n v="2"/>
    <x v="13"/>
    <n v="1"/>
    <n v="1"/>
    <n v="1"/>
  </r>
  <r>
    <s v="K &amp; H BANK ZRT."/>
    <s v="CASH2277"/>
    <s v="Diebold-Opteva 868 ATM"/>
    <s v="1868RH107553"/>
    <s v="2890"/>
    <s v="Tata"/>
    <s v="Ady E. u. 3."/>
    <s v="ok"/>
    <n v="2"/>
    <n v="2"/>
    <x v="19"/>
    <n v="1"/>
    <n v="1"/>
    <n v="1"/>
  </r>
  <r>
    <s v="K &amp; H BANK ZRT."/>
    <s v="CASH2278"/>
    <s v="Diebold-Opteva 828 FL Cash Recycler"/>
    <s v="1828FH101846"/>
    <s v="5350"/>
    <s v="Tiszafüred"/>
    <s v="Örvényi út 1."/>
    <s v="ok"/>
    <n v="2"/>
    <n v="2"/>
    <x v="16"/>
    <n v="1"/>
    <n v="1"/>
    <n v="1"/>
  </r>
  <r>
    <s v="K &amp; H BANK ZRT."/>
    <s v="CASH2279"/>
    <s v="Diebold-Opteva 868 ATM"/>
    <s v="1868RH107572"/>
    <s v="2300"/>
    <s v="Ráckeve"/>
    <s v="Móricz Zs. u. 7."/>
    <s v="ok"/>
    <n v="2"/>
    <n v="2"/>
    <x v="15"/>
    <n v="1"/>
    <n v="1"/>
    <n v="1"/>
  </r>
  <r>
    <s v="K &amp; H BANK ZRT."/>
    <s v="CASH2281"/>
    <s v="Diebold-Opteva 868 ATM"/>
    <s v="1868RH107555"/>
    <s v="3400"/>
    <s v="Mezőkövesd"/>
    <s v="Mátyás király u. 91-93."/>
    <s v="ok"/>
    <n v="2"/>
    <n v="2"/>
    <x v="2"/>
    <n v="1"/>
    <n v="1"/>
    <n v="1"/>
  </r>
  <r>
    <s v="K &amp; H BANK ZRT."/>
    <s v="CASH2283"/>
    <s v="Diebold-Opteva 868 ATM"/>
    <s v="1868RH107556"/>
    <s v="8200"/>
    <s v="Veszprém"/>
    <s v="Cserhát ltp. 8."/>
    <s v="ok"/>
    <n v="2"/>
    <n v="2"/>
    <x v="4"/>
    <n v="1"/>
    <n v="1"/>
    <n v="1"/>
  </r>
  <r>
    <s v="K &amp; H BANK ZRT."/>
    <s v="CASH2285_R"/>
    <s v="Diebold-Opteva 868 ATM"/>
    <s v="1868RH107573"/>
    <s v="6300"/>
    <s v="Kalocsa"/>
    <s v="Szent István út 28."/>
    <s v="ok"/>
    <n v="2"/>
    <n v="2"/>
    <x v="7"/>
    <n v="1"/>
    <n v="1"/>
    <n v="1"/>
  </r>
  <r>
    <s v="K &amp; H BANK ZRT."/>
    <s v="CASH2287_R"/>
    <s v="Diebold-Opteva 868 ATM"/>
    <s v="1868RH107574"/>
    <s v="7000"/>
    <s v="Sárbogárd"/>
    <s v="Ady Endre u. 162."/>
    <s v="ok"/>
    <n v="2"/>
    <n v="2"/>
    <x v="7"/>
    <n v="1"/>
    <n v="1"/>
    <n v="1"/>
  </r>
  <r>
    <s v="K &amp; H BANK ZRT."/>
    <s v="CASH2290_R"/>
    <s v="Diebold-Opteva 868 ATM"/>
    <s v="1868RH107575"/>
    <s v="8300"/>
    <s v="Tapolca"/>
    <s v="Fő tér 5."/>
    <s v="ok"/>
    <n v="2"/>
    <n v="2"/>
    <x v="9"/>
    <n v="1"/>
    <n v="1"/>
    <n v="1"/>
  </r>
  <r>
    <s v="K &amp; H BANK ZRT."/>
    <s v="CASH2292"/>
    <s v="Diebold-Opteva 868 ATM"/>
    <s v="1868RH107757"/>
    <s v="1119"/>
    <s v="Budapest"/>
    <s v="Tétényi út 63."/>
    <s v="ok"/>
    <n v="2"/>
    <n v="2"/>
    <x v="17"/>
    <n v="1"/>
    <n v="1"/>
    <n v="1"/>
  </r>
  <r>
    <s v="K &amp; H BANK ZRT."/>
    <s v="CASH2293"/>
    <s v="Diebold-Opteva 828 FL Cash Recycler"/>
    <s v="1828FH101964"/>
    <s v="2483"/>
    <s v="Gárdony"/>
    <s v="Szabadság u. 5."/>
    <s v="ok"/>
    <n v="2"/>
    <n v="2"/>
    <x v="7"/>
    <n v="1"/>
    <n v="1"/>
    <n v="1"/>
  </r>
  <r>
    <s v="K &amp; H BANK ZRT."/>
    <s v="CASH2295"/>
    <s v="Diebold-Opteva 828 FL Cash Recycler"/>
    <s v="1828FH101967"/>
    <s v="4300"/>
    <s v="Nyírbátor"/>
    <s v="Zrínyi I. u. 6."/>
    <s v="ok"/>
    <n v="2"/>
    <n v="2"/>
    <x v="1"/>
    <n v="1"/>
    <n v="1"/>
    <n v="1"/>
  </r>
  <r>
    <s v="K &amp; H BANK ZRT."/>
    <s v="CASH2296"/>
    <s v="Diebold-Opteva 828 FL Cash Recycler"/>
    <s v="1828FH101966"/>
    <s v="2642"/>
    <s v="Martonvásár"/>
    <s v="Fehérvár u. 1/a."/>
    <s v="ok"/>
    <n v="2"/>
    <n v="2"/>
    <x v="7"/>
    <n v="1"/>
    <n v="1"/>
    <n v="1"/>
  </r>
  <r>
    <s v="K &amp; H BANK ZRT."/>
    <s v="CASH2298"/>
    <s v="Diebold-Opteva 828 FL Cash Recycler"/>
    <s v="1828FH101963"/>
    <s v="1039"/>
    <s v="Budapest"/>
    <s v="Heltai J. tér 15."/>
    <s v="ok"/>
    <n v="2"/>
    <n v="2"/>
    <x v="0"/>
    <n v="1"/>
    <n v="1"/>
    <n v="1"/>
  </r>
  <r>
    <s v="K &amp; H BANK ZRT."/>
    <s v="CASH2307"/>
    <s v="Diebold-Opteva 828 FL Cash Recycler"/>
    <s v="1828FH101962"/>
    <s v="9730"/>
    <s v="Kőszeg"/>
    <s v="Fő tér 4."/>
    <s v="ok"/>
    <n v="2"/>
    <n v="2"/>
    <x v="8"/>
    <n v="1"/>
    <n v="1"/>
    <n v="1"/>
  </r>
  <r>
    <s v="K &amp; H BANK ZRT."/>
    <s v="CASH2312"/>
    <s v="Diebold-Opteva 828 FL Cash Recycler"/>
    <s v="1828FIP00931"/>
    <s v="6795"/>
    <s v="Bordány"/>
    <s v="Park tér 1."/>
    <s v="ok"/>
    <n v="2"/>
    <n v="2"/>
    <x v="3"/>
    <n v="1"/>
    <n v="1"/>
    <n v="1"/>
  </r>
  <r>
    <s v="K &amp; H BANK ZRT."/>
    <s v="CASH2314_R"/>
    <s v="Diebold-Opteva 868 ATM"/>
    <s v="1868RH108034"/>
    <s v="3900"/>
    <s v="Szerencs"/>
    <s v="Kossuth tér 1."/>
    <s v="ok"/>
    <n v="2"/>
    <n v="2"/>
    <x v="1"/>
    <n v="1"/>
    <n v="1"/>
    <n v="1"/>
  </r>
  <r>
    <s v="K &amp; H BANK ZRT."/>
    <s v="CASH2318_R"/>
    <s v="Diebold-Opteva 828 FL Cash Recycler"/>
    <s v="1828FH101958"/>
    <s v="2000"/>
    <s v="Szentendre"/>
    <s v="Fő tér 10."/>
    <s v="ok"/>
    <n v="2"/>
    <n v="2"/>
    <x v="14"/>
    <n v="1"/>
    <n v="1"/>
    <n v="1"/>
  </r>
  <r>
    <s v="K &amp; H BANK ZRT."/>
    <s v="CASH2320"/>
    <s v="Diebold-Opteva 828 FL Cash Recycler"/>
    <s v="1828FH101968"/>
    <s v="4080"/>
    <s v="Hajdúnánás"/>
    <s v="Bocskai u. 2."/>
    <s v="ok"/>
    <n v="2"/>
    <n v="2"/>
    <x v="16"/>
    <n v="1"/>
    <n v="1"/>
    <n v="1"/>
  </r>
  <r>
    <s v="K &amp; H BANK ZRT."/>
    <s v="CASH2349"/>
    <s v="Diebold-Opteva 828 FL Cash Recycler"/>
    <s v="1828FH102240"/>
    <s v="4060"/>
    <s v="Balmazújváros"/>
    <s v="Kossuth tér 1."/>
    <s v="ok"/>
    <n v="2"/>
    <n v="2"/>
    <x v="16"/>
    <n v="1"/>
    <n v="1"/>
    <n v="1"/>
  </r>
  <r>
    <s v="K &amp; H BANK ZRT."/>
    <s v="CASH2354"/>
    <s v="Diebold-Opteva 828 FL Cash Recycler"/>
    <s v="1828FH102238"/>
    <s v="5123"/>
    <s v="Jászárokszállás"/>
    <s v="Móczár Andor tér 9"/>
    <s v="ok"/>
    <n v="2"/>
    <n v="2"/>
    <x v="10"/>
    <n v="1"/>
    <n v="1"/>
    <n v="1"/>
  </r>
  <r>
    <s v="K &amp; H BANK ZRT."/>
    <s v="CASH2359"/>
    <s v="Diebold-Opteva 868 ATM"/>
    <s v="1868RH108038"/>
    <s v="2660"/>
    <s v="Balasagyarmat"/>
    <s v="Rákóczi fejedelem útja 46"/>
    <s v="ok"/>
    <n v="2"/>
    <n v="2"/>
    <x v="6"/>
    <n v="1"/>
    <n v="1"/>
    <n v="1"/>
  </r>
  <r>
    <s v="K &amp; H BANK ZRT."/>
    <s v="CASH2386"/>
    <s v="Diebold-Opteva 828 FL Cash Recycler"/>
    <s v="1828FH102241"/>
    <s v="5630"/>
    <s v="Békés"/>
    <s v="Széchenyi tér 4."/>
    <s v="ok"/>
    <n v="2"/>
    <n v="2"/>
    <x v="3"/>
    <n v="1"/>
    <n v="1"/>
    <n v="1"/>
  </r>
  <r>
    <s v="K &amp; H BANK ZRT."/>
    <s v="CASH2399"/>
    <s v="Diebold-Opteva 828 FL Cash Recycler"/>
    <s v="1828FH102239"/>
    <s v="4440"/>
    <s v="Tiszavasvári"/>
    <s v="Kossuth u.30"/>
    <s v="ok"/>
    <n v="2"/>
    <n v="2"/>
    <x v="1"/>
    <n v="1"/>
    <n v="1"/>
    <n v="1"/>
  </r>
  <r>
    <s v="K &amp; H BANK ZRT."/>
    <s v="CASH2400"/>
    <s v="Diebold-Opteva 868 ATM"/>
    <s v="1868RH105304"/>
    <s v="5500"/>
    <s v="Gyomaendrőd"/>
    <s v="Fő út 194."/>
    <s v="ok"/>
    <n v="2"/>
    <n v="2"/>
    <x v="11"/>
    <n v="3"/>
    <n v="3"/>
    <n v="0"/>
  </r>
  <r>
    <s v="K &amp; H BANK ZRT."/>
    <s v="CASH2411"/>
    <s v="Diebold-Opteva 868 ATM"/>
    <s v="1868RH108037"/>
    <s v="1239"/>
    <s v="Budapest"/>
    <s v="Hősök tere 14."/>
    <s v="ok"/>
    <n v="2"/>
    <n v="2"/>
    <x v="15"/>
    <n v="1"/>
    <n v="1"/>
    <n v="1"/>
  </r>
  <r>
    <s v="K &amp; H BANK ZRT."/>
    <s v="CASH2429"/>
    <s v="Diebold-Opteva 828 FL Cash Recycler"/>
    <s v="1828FH102243"/>
    <s v="1055"/>
    <s v="Budapest"/>
    <s v="Kossuth tér 18."/>
    <s v="ok"/>
    <n v="2"/>
    <n v="2"/>
    <x v="13"/>
    <n v="1"/>
    <n v="1"/>
    <n v="1"/>
  </r>
  <r>
    <s v="K &amp; H BANK ZRT."/>
    <s v="CASH2473"/>
    <s v="Diebold-Opteva 828 FL Cash Recycler"/>
    <s v="1828FH101970"/>
    <s v="2900"/>
    <s v="Komárom"/>
    <s v="Klapka Gy. u. 3."/>
    <s v="ok"/>
    <n v="2"/>
    <n v="2"/>
    <x v="19"/>
    <n v="1"/>
    <n v="1"/>
    <n v="1"/>
  </r>
  <r>
    <s v="K &amp; H BANK ZRT."/>
    <s v="CASH2474"/>
    <s v="Diebold-Opteva 828 FL Cash Recycler"/>
    <s v="1828FH101969"/>
    <s v="2870"/>
    <s v="Kisbér"/>
    <s v="Kossuth Lajos u. 5."/>
    <s v="ok"/>
    <n v="2"/>
    <n v="2"/>
    <x v="4"/>
    <n v="1"/>
    <n v="1"/>
    <n v="1"/>
  </r>
  <r>
    <s v="K &amp; H BANK ZRT."/>
    <s v="CASH2478_R"/>
    <s v="Diebold-Opteva 868 ATM"/>
    <s v="1868RH108035"/>
    <s v="1051"/>
    <s v="Budapest"/>
    <s v="Jószef A. u. 24."/>
    <s v="ok"/>
    <n v="2"/>
    <n v="2"/>
    <x v="13"/>
    <n v="1"/>
    <n v="1"/>
    <n v="1"/>
  </r>
  <r>
    <s v="K &amp; H BANK ZRT."/>
    <s v="CASH2480"/>
    <s v="Diebold-Opteva 828 FL Cash Recycler"/>
    <s v="1828FH102237"/>
    <s v="1149"/>
    <s v="Budapest"/>
    <s v="Róna u. 147."/>
    <s v="ok"/>
    <n v="2"/>
    <n v="2"/>
    <x v="14"/>
    <n v="1"/>
    <n v="1"/>
    <n v="1"/>
  </r>
  <r>
    <s v="K &amp; H BANK ZRT."/>
    <s v="CASH2484_R"/>
    <s v="Diebold-Opteva 868 ATM"/>
    <s v="1868RH107755"/>
    <s v="6200"/>
    <s v="Kiskőrös"/>
    <s v="Petőfi tér 2."/>
    <s v="ok"/>
    <n v="2"/>
    <n v="2"/>
    <x v="7"/>
    <n v="1"/>
    <n v="1"/>
    <n v="1"/>
  </r>
  <r>
    <s v="K &amp; H BANK ZRT."/>
    <s v="CASH2487"/>
    <s v="Diebold-Opteva 828 FL Cash Recycler"/>
    <s v="1828FIP00111"/>
    <s v="2170"/>
    <s v="Aszód"/>
    <s v="Kossuth u.27"/>
    <s v="ok"/>
    <n v="2"/>
    <n v="2"/>
    <x v="10"/>
    <n v="1"/>
    <n v="1"/>
    <n v="1"/>
  </r>
  <r>
    <s v="K &amp; H BANK ZRT."/>
    <s v="CASH2501_R"/>
    <s v="Diebold-Opteva 868 ATM"/>
    <s v="1868RIP00255"/>
    <s v="5800"/>
    <s v="Mezőkovácsháza"/>
    <s v="Árpád út 161"/>
    <s v="ok"/>
    <n v="2"/>
    <n v="2"/>
    <x v="3"/>
    <n v="1"/>
    <n v="1"/>
    <n v="1"/>
  </r>
  <r>
    <s v="K &amp; H BANK ZRT."/>
    <s v="CASH2503"/>
    <s v="Diebold-Opteva 828 FL Cash Recycler"/>
    <s v="1828FIP00113"/>
    <s v="3580"/>
    <s v="Tiszaújváros"/>
    <s v="Sz. István út 4-6."/>
    <s v="ok"/>
    <n v="2"/>
    <n v="2"/>
    <x v="2"/>
    <n v="1"/>
    <n v="1"/>
    <n v="1"/>
  </r>
  <r>
    <s v="K &amp; H BANK ZRT."/>
    <s v="CASH2508"/>
    <s v="Diebold-Opteva 828 FL Cash Recycler"/>
    <s v="1828FH101971"/>
    <s v="5310"/>
    <s v="Kisújszállás"/>
    <s v="Szabadság út 1."/>
    <s v="ok"/>
    <n v="2"/>
    <n v="2"/>
    <x v="11"/>
    <n v="1"/>
    <n v="1"/>
    <n v="1"/>
  </r>
  <r>
    <s v="K &amp; H BANK ZRT."/>
    <s v="CASH2509"/>
    <s v="Diebold-Opteva 868 ATM"/>
    <s v="1868RH108036"/>
    <s v="2092"/>
    <s v="Budakeszi"/>
    <s v="Fő út 128."/>
    <s v="ok"/>
    <n v="2"/>
    <n v="2"/>
    <x v="17"/>
    <n v="1"/>
    <n v="1"/>
    <n v="1"/>
  </r>
  <r>
    <s v="K &amp; H BANK ZRT."/>
    <s v="CASH2510"/>
    <s v="Diebold-Opteva 828 FL Cash Recycler"/>
    <s v="1828FH102242"/>
    <s v="2131"/>
    <s v="Göd"/>
    <s v="Pesti út 46."/>
    <s v="ok"/>
    <n v="2"/>
    <n v="2"/>
    <x v="6"/>
    <n v="1"/>
    <n v="1"/>
    <n v="1"/>
  </r>
  <r>
    <s v="K &amp; H BANK ZRT."/>
    <s v="CASH2511"/>
    <s v="Diebold-Opteva 828 FL Cash Recycler"/>
    <s v="1828FIP00114"/>
    <s v="5400"/>
    <s v="Mezőtúr"/>
    <s v="Kossuth tér 3-5."/>
    <s v="ok"/>
    <n v="2"/>
    <n v="2"/>
    <x v="11"/>
    <n v="1"/>
    <n v="1"/>
    <n v="1"/>
  </r>
  <r>
    <s v="K &amp; H BANK ZRT."/>
    <s v="CASH2512"/>
    <s v="Diebold-Opteva 828 FL Cash Recycler"/>
    <s v="1828FIP00128"/>
    <s v="8420"/>
    <s v="Zirc"/>
    <s v="Petőfi Sándor u. 2"/>
    <s v="ok"/>
    <n v="2"/>
    <n v="0"/>
    <x v="4"/>
    <n v="1"/>
    <n v="1"/>
    <n v="0"/>
  </r>
  <r>
    <s v="K &amp; H BANK ZRT."/>
    <s v="CASH2513"/>
    <s v="Diebold-Opteva 828 FL Cash Recycler"/>
    <s v="1828FIP00115"/>
    <s v="7130"/>
    <s v="Tolna"/>
    <s v="Kossuth L. u.33"/>
    <s v="ok"/>
    <n v="2"/>
    <n v="2"/>
    <x v="7"/>
    <n v="1"/>
    <n v="1"/>
    <n v="1"/>
  </r>
  <r>
    <s v="K &amp; H BANK ZRT."/>
    <s v="CASH2514"/>
    <s v="Diebold-Opteva 828 FL Cash Recycler"/>
    <s v="1828FH102246"/>
    <s v="1062"/>
    <s v="Budapest"/>
    <s v="Váci út 1-3."/>
    <s v="ok"/>
    <n v="2"/>
    <n v="2"/>
    <x v="13"/>
    <n v="1"/>
    <n v="1"/>
    <n v="1"/>
  </r>
  <r>
    <s v="K &amp; H BANK ZRT."/>
    <s v="CASH2515"/>
    <s v="Diebold-Opteva 828 FL Cash Recycler"/>
    <s v="1828FIP00116"/>
    <s v="7030"/>
    <s v="Paks"/>
    <s v="Dózsa György u. 21."/>
    <s v="ok"/>
    <n v="2"/>
    <n v="2"/>
    <x v="7"/>
    <n v="1"/>
    <n v="1"/>
    <n v="1"/>
  </r>
  <r>
    <s v="K &amp; H BANK ZRT."/>
    <s v="CASH2521"/>
    <s v="Diebold-Opteva 828 FL Cash Recycler"/>
    <s v="1828FIP00110"/>
    <s v="3060"/>
    <s v="Pásztó"/>
    <s v="Kölcsey u. 4."/>
    <s v="ok"/>
    <n v="2"/>
    <n v="2"/>
    <x v="10"/>
    <n v="1"/>
    <n v="1"/>
    <n v="1"/>
  </r>
  <r>
    <s v="K &amp; H BANK ZRT."/>
    <s v="CASH2522"/>
    <s v="Diebold-Opteva 828 FL Cash Recycler"/>
    <s v="1828FIP00112"/>
    <s v="2220"/>
    <s v="Vecsés"/>
    <s v="Fő út 158."/>
    <s v="ok"/>
    <n v="2"/>
    <n v="2"/>
    <x v="15"/>
    <n v="1"/>
    <n v="1"/>
    <n v="1"/>
  </r>
  <r>
    <s v="K &amp; H BANK ZRT."/>
    <s v="CASH2524_R"/>
    <s v="Diebold-Opteva 868 ATM"/>
    <s v="1868RIP00249"/>
    <s v="7500"/>
    <s v="Nagyatád"/>
    <s v="Bajcsy ZS. u. 1/a"/>
    <s v="ok"/>
    <n v="2"/>
    <n v="2"/>
    <x v="12"/>
    <n v="1"/>
    <n v="1"/>
    <n v="1"/>
  </r>
  <r>
    <s v="K &amp; H BANK ZRT."/>
    <s v="CASH2525"/>
    <s v="Diebold-Opteva 828 FL Cash Recycler"/>
    <s v="1828FIP00120"/>
    <s v="2230"/>
    <s v="Gyömrő"/>
    <s v="Szent István u.22"/>
    <s v="ok"/>
    <n v="2"/>
    <n v="2"/>
    <x v="10"/>
    <n v="1"/>
    <n v="1"/>
    <n v="1"/>
  </r>
  <r>
    <s v="K &amp; H BANK ZRT."/>
    <s v="CASH2526"/>
    <s v="Diebold-Opteva 828 FL Cash Recycler"/>
    <s v="1828FIP00119"/>
    <s v="2200"/>
    <s v="Monor"/>
    <s v="Kossuth u.71/a"/>
    <s v="ok"/>
    <n v="2"/>
    <n v="2"/>
    <x v="15"/>
    <n v="1"/>
    <n v="1"/>
    <n v="1"/>
  </r>
  <r>
    <s v="K &amp; H BANK ZRT."/>
    <s v="CASH2528"/>
    <s v="Diebold-Opteva 828 FL Cash Recycler"/>
    <s v="1828FIP00117"/>
    <s v="8868"/>
    <s v="Letenye"/>
    <s v="Szabadság tér 7."/>
    <s v="ok"/>
    <n v="2"/>
    <n v="2"/>
    <x v="9"/>
    <n v="1"/>
    <n v="1"/>
    <n v="1"/>
  </r>
  <r>
    <s v="K &amp; H BANK ZRT."/>
    <s v="CASH2529_R"/>
    <s v="Diebold-Opteva 868 ATM"/>
    <s v="1868RIP00250"/>
    <s v="5100"/>
    <s v="Jászberény"/>
    <s v="Szabadság tér 1."/>
    <s v="ok"/>
    <n v="2"/>
    <n v="2"/>
    <x v="10"/>
    <n v="1"/>
    <n v="1"/>
    <n v="1"/>
  </r>
  <r>
    <s v="K &amp; H BANK ZRT."/>
    <s v="CASH2531"/>
    <s v="Diebold-Opteva 828 FL Cash Recycler"/>
    <s v="1828FH102244"/>
    <s v="9400"/>
    <s v="Sopron"/>
    <s v="Selmeci u. 15-17."/>
    <s v="ok"/>
    <n v="2"/>
    <n v="2"/>
    <x v="8"/>
    <n v="1"/>
    <n v="1"/>
    <n v="1"/>
  </r>
  <r>
    <s v="K &amp; H BANK ZRT."/>
    <s v="CASH2535"/>
    <s v="Diebold-Opteva 828 FL Cash Recycler"/>
    <s v="1828FIP00121"/>
    <s v="1126"/>
    <s v="Budapest"/>
    <s v="Csörsz u. 43."/>
    <s v="ok"/>
    <n v="2"/>
    <n v="2"/>
    <x v="0"/>
    <n v="1"/>
    <n v="1"/>
    <n v="1"/>
  </r>
  <r>
    <s v="K &amp; H BANK ZRT."/>
    <s v="CASH2536_R"/>
    <s v="Diebold-Opteva 868 ATM"/>
    <s v="1868RIP00256"/>
    <s v="3860"/>
    <s v="Encs"/>
    <s v="Petőfi u. 63-65."/>
    <s v="ok"/>
    <n v="2"/>
    <n v="2"/>
    <x v="2"/>
    <n v="1"/>
    <n v="1"/>
    <n v="1"/>
  </r>
  <r>
    <s v="K &amp; H BANK ZRT."/>
    <s v="CASH2540"/>
    <s v="Diebold-Opteva 828 FL Cash Recycler"/>
    <s v="1828FIP00123"/>
    <s v="6120"/>
    <s v="Kiskunmajsa"/>
    <s v="Fő út 67"/>
    <s v="ok"/>
    <n v="2"/>
    <n v="2"/>
    <x v="7"/>
    <n v="1"/>
    <n v="1"/>
    <n v="1"/>
  </r>
  <r>
    <s v="K &amp; H BANK ZRT."/>
    <s v="CASH2547"/>
    <s v="Diebold-Opteva 828 FL Cash Recycler"/>
    <s v="1828FIP00118"/>
    <s v="2941"/>
    <s v="Ács"/>
    <s v="Fő út 9/5"/>
    <s v="ok"/>
    <n v="2"/>
    <n v="2"/>
    <x v="19"/>
    <n v="1"/>
    <n v="1"/>
    <n v="1"/>
  </r>
  <r>
    <s v="K &amp; H BANK ZRT."/>
    <s v="CASH2549"/>
    <s v="Diebold-Opteva 828 FL Cash Recycler"/>
    <s v="1828FIP00124"/>
    <s v="6060"/>
    <s v="Tiszakécske"/>
    <s v="Béke tér 6"/>
    <s v="ok"/>
    <n v="2"/>
    <n v="2"/>
    <x v="11"/>
    <n v="1"/>
    <n v="1"/>
    <n v="1"/>
  </r>
  <r>
    <s v="K &amp; H BANK ZRT."/>
    <s v="CASH2550"/>
    <s v="Diebold-Opteva 868 ATM"/>
    <s v="1868RIP00253"/>
    <s v="1042"/>
    <s v="Budapest"/>
    <s v="Árpád út 41-43"/>
    <s v="ok"/>
    <n v="2"/>
    <n v="2"/>
    <x v="0"/>
    <n v="1"/>
    <n v="1"/>
    <n v="1"/>
  </r>
  <r>
    <s v="K &amp; H BANK ZRT."/>
    <s v="CASH2551"/>
    <s v="Diebold-Opteva 828 FL Cash Recycler"/>
    <s v="1828FIP00129"/>
    <s v="1028"/>
    <s v="Budapest"/>
    <s v="Hidegkúti út 167."/>
    <s v="ok"/>
    <n v="2"/>
    <n v="2"/>
    <x v="0"/>
    <n v="1"/>
    <n v="1"/>
    <n v="1"/>
  </r>
  <r>
    <s v="K &amp; H BANK ZRT."/>
    <s v="CASH2555"/>
    <s v="Diebold-Opteva 868 ATM"/>
    <s v="1868RIP00252"/>
    <s v="1173"/>
    <s v="Budapest"/>
    <s v="Ferihegyi út 74."/>
    <s v="ok"/>
    <n v="2"/>
    <n v="2"/>
    <x v="10"/>
    <n v="1"/>
    <n v="1"/>
    <n v="1"/>
  </r>
  <r>
    <s v="K &amp; H BANK ZRT."/>
    <s v="CASH2557"/>
    <s v="Diebold-Opteva 828 FL Cash Recycler"/>
    <s v="1828FIP00127"/>
    <s v="2085"/>
    <s v="Pilisvörösvár"/>
    <s v="Fő u.30."/>
    <s v="ok"/>
    <n v="2"/>
    <n v="2"/>
    <x v="0"/>
    <n v="1"/>
    <n v="1"/>
    <n v="1"/>
  </r>
  <r>
    <s v="K &amp; H BANK ZRT."/>
    <s v="CASH2562"/>
    <s v="Diebold-Opteva 828 FL Cash Recycler"/>
    <s v="1828FIP00126"/>
    <s v="1118"/>
    <s v="Budapest"/>
    <s v="Rétköz u. 5."/>
    <s v="ok"/>
    <n v="2"/>
    <n v="2"/>
    <x v="17"/>
    <n v="1"/>
    <n v="1"/>
    <n v="1"/>
  </r>
  <r>
    <s v="K &amp; H BANK ZRT."/>
    <s v="CASH2563"/>
    <s v="Diebold-Opteva 828 FL Cash Recycler"/>
    <s v="1828FH102245"/>
    <s v="8154"/>
    <s v="Polgárdi"/>
    <s v="Batthyány u.115."/>
    <s v="ok"/>
    <n v="2"/>
    <n v="2"/>
    <x v="4"/>
    <n v="1"/>
    <n v="1"/>
    <n v="1"/>
  </r>
  <r>
    <s v="K &amp; H BANK ZRT."/>
    <s v="CASH2568"/>
    <s v="Diebold-Opteva 828 FL Cash Recycler"/>
    <s v="1828FIP00125"/>
    <s v="6640"/>
    <s v="Csongrád"/>
    <s v="Hunyadi tér 6-10."/>
    <s v="ok"/>
    <n v="2"/>
    <n v="2"/>
    <x v="11"/>
    <n v="1"/>
    <n v="1"/>
    <n v="1"/>
  </r>
  <r>
    <s v="K &amp; H BANK ZRT."/>
    <s v="CASH2569"/>
    <s v="Diebold-Opteva 828 FL Cash Recycler"/>
    <s v="1828FIP00134"/>
    <s v="8660"/>
    <s v="Tab"/>
    <s v="Kossuth L. u. 134."/>
    <s v="ok"/>
    <n v="2"/>
    <n v="2"/>
    <x v="4"/>
    <n v="1"/>
    <n v="1"/>
    <n v="1"/>
  </r>
  <r>
    <s v="K &amp; H BANK ZRT."/>
    <s v="CASH2572"/>
    <s v="Diebold-Opteva 828 FL Cash Recycler"/>
    <s v="1828FIP00130"/>
    <s v="7900"/>
    <s v="Szigetvár"/>
    <s v="Széchenyi u. 4."/>
    <s v="ok"/>
    <n v="2"/>
    <n v="2"/>
    <x v="12"/>
    <n v="1"/>
    <n v="1"/>
    <n v="1"/>
  </r>
  <r>
    <s v="K &amp; H BANK ZRT."/>
    <s v="CASH2573"/>
    <s v="Diebold-Opteva 828 FL Cash Recycler"/>
    <s v="1828FIP00131"/>
    <s v="8130"/>
    <s v="Enying"/>
    <s v="Kossuth L.u.18."/>
    <s v="ok"/>
    <n v="2"/>
    <n v="2"/>
    <x v="4"/>
    <n v="1"/>
    <n v="1"/>
    <n v="1"/>
  </r>
  <r>
    <s v="K &amp; H BANK ZRT."/>
    <s v="CASH2574"/>
    <s v="Diebold-Opteva 828 FL Cash Recycler"/>
    <s v="1828FIP00136"/>
    <s v="9970"/>
    <s v="Szentgotthárd"/>
    <s v="Széll Kálmán tér 23"/>
    <s v="ok"/>
    <n v="2"/>
    <n v="2"/>
    <x v="8"/>
    <n v="1"/>
    <n v="1"/>
    <n v="1"/>
  </r>
  <r>
    <s v="K &amp; H BANK ZRT."/>
    <s v="CASH2575"/>
    <s v="Diebold-Opteva 868 ATM"/>
    <s v="1868RIP00258"/>
    <s v="9300"/>
    <s v="Csorna"/>
    <s v="Soproni út 60."/>
    <s v="ok"/>
    <n v="2"/>
    <n v="2"/>
    <x v="8"/>
    <n v="1"/>
    <n v="1"/>
    <n v="1"/>
  </r>
  <r>
    <s v="K &amp; H BANK ZRT."/>
    <s v="CASH2579"/>
    <s v="Diebold-Opteva 828 FL Cash Recycler"/>
    <s v="1828FIP00122"/>
    <s v="6440"/>
    <s v="Jánoshalma"/>
    <s v="Rákóczi u.10"/>
    <s v="ok"/>
    <n v="2"/>
    <n v="2"/>
    <x v="7"/>
    <n v="1"/>
    <n v="1"/>
    <n v="1"/>
  </r>
  <r>
    <s v="K &amp; H BANK ZRT."/>
    <s v="CASH2580_R"/>
    <s v="Diebold-Opteva 868 ATM"/>
    <s v="1868RIP00251"/>
    <s v="4150"/>
    <s v="Püspökladány"/>
    <s v="Kossuth u. 22."/>
    <s v="ok"/>
    <n v="2"/>
    <n v="2"/>
    <x v="16"/>
    <n v="1"/>
    <n v="1"/>
    <n v="1"/>
  </r>
  <r>
    <s v="K &amp; H BANK ZRT."/>
    <s v="CASH2588"/>
    <s v="Diebold-Opteva 868 ATM"/>
    <s v="1868RIP00254"/>
    <s v="8790"/>
    <s v="Zalaszentgrót"/>
    <s v="Dózsa György út 16-18."/>
    <s v="ok"/>
    <n v="2"/>
    <n v="2"/>
    <x v="9"/>
    <n v="1"/>
    <n v="1"/>
    <n v="1"/>
  </r>
  <r>
    <s v="K &amp; H BANK ZRT."/>
    <s v="CASH2589"/>
    <s v="Diebold-Opteva 828 FL Cash Recycler"/>
    <s v="1828FIP00132"/>
    <s v="6760"/>
    <s v="Kistelek"/>
    <s v="Kossuth L.u.6-8."/>
    <s v="ok"/>
    <n v="2"/>
    <n v="2"/>
    <x v="3"/>
    <n v="1"/>
    <n v="1"/>
    <n v="1"/>
  </r>
  <r>
    <s v="K &amp; H BANK ZRT."/>
    <s v="CASH2590"/>
    <s v="Diebold-Opteva 828 FL Cash Recycler"/>
    <s v="1828FIP00133"/>
    <s v="8330"/>
    <s v="Sümeg"/>
    <s v="Kossuth u.8"/>
    <s v="ok"/>
    <n v="2"/>
    <n v="2"/>
    <x v="9"/>
    <n v="1"/>
    <n v="1"/>
    <n v="1"/>
  </r>
  <r>
    <s v="K &amp; H BANK ZRT."/>
    <s v="CASH2606"/>
    <s v="Diebold-Opteva 868 ATM"/>
    <s v="1868RIP00260"/>
    <s v="1036"/>
    <s v="Budapest"/>
    <s v="Bécsi út 57-61."/>
    <s v="ok"/>
    <n v="2"/>
    <n v="2"/>
    <x v="0"/>
    <n v="1"/>
    <n v="1"/>
    <n v="1"/>
  </r>
  <r>
    <s v="K &amp; H BANK ZRT."/>
    <s v="CASH2611"/>
    <s v="Diebold-Opteva 828 FL Cash Recycler"/>
    <s v="1828FIP00135"/>
    <s v="5600"/>
    <s v="Békéscsaba"/>
    <s v="Andrássy út 37-43."/>
    <s v="ok"/>
    <n v="2"/>
    <n v="2"/>
    <x v="3"/>
    <n v="1"/>
    <n v="1"/>
    <n v="1"/>
  </r>
  <r>
    <s v="K &amp; H BANK ZRT."/>
    <s v="CASH2616_R"/>
    <s v="Diebold-Opteva 868 ATM"/>
    <s v="1868RH107244"/>
    <s v="6720"/>
    <s v="Szeged"/>
    <s v="Széchenyi tér 9."/>
    <s v="ok"/>
    <n v="2"/>
    <n v="2"/>
    <x v="3"/>
    <n v="1"/>
    <n v="1"/>
    <n v="1"/>
  </r>
  <r>
    <s v="K &amp; H BANK ZRT."/>
    <s v="CASH2623_R"/>
    <s v="Diebold-Opteva 868 ATM"/>
    <s v="1868RIP00261"/>
    <s v="9022"/>
    <s v="Győr"/>
    <s v="Szent István u. 29-31."/>
    <s v="ok"/>
    <n v="2"/>
    <n v="2"/>
    <x v="19"/>
    <n v="1"/>
    <n v="1"/>
    <n v="1"/>
  </r>
  <r>
    <s v="K &amp; H BANK ZRT."/>
    <s v="CASH2628_R"/>
    <s v="Diebold-Opteva 868 ATM"/>
    <s v="1868RIP00257"/>
    <s v="1203"/>
    <s v="Budapest"/>
    <s v="Kossut L. u. 37/b"/>
    <s v="ok"/>
    <n v="2"/>
    <n v="2"/>
    <x v="15"/>
    <n v="1"/>
    <n v="1"/>
    <n v="1"/>
  </r>
  <r>
    <s v="K &amp; H BANK ZRT."/>
    <s v="CASH2634_R"/>
    <s v="Diebold-Opteva 378 Cash Recycler"/>
    <s v="1378FDC03861"/>
    <s v="1146"/>
    <s v="Budapest"/>
    <s v="Ajtósi Dürer sor 10."/>
    <s v="ok"/>
    <n v="2"/>
    <n v="1"/>
    <x v="14"/>
    <e v="#N/A"/>
    <n v="0"/>
    <n v="1"/>
  </r>
  <r>
    <s v="K &amp; H BANK ZRT."/>
    <s v="CASH2711_R"/>
    <s v="Diebold-Opteva 378 Cash Recycler"/>
    <s v="1378FDC03856"/>
    <s v="3390"/>
    <s v="Füzesabony"/>
    <s v="Rákóczi út 63."/>
    <s v="ok"/>
    <n v="2"/>
    <n v="2"/>
    <x v="6"/>
    <n v="1"/>
    <n v="1"/>
    <n v="1"/>
  </r>
  <r>
    <s v="K &amp; H BANK ZRT."/>
    <s v="CASH2733"/>
    <s v="Diebold-Opteva 868 ATM"/>
    <s v="1868RIP00259"/>
    <s v="1184"/>
    <s v="Budapest"/>
    <s v="Üllői út 400."/>
    <s v="ok"/>
    <n v="2"/>
    <n v="2"/>
    <x v="15"/>
    <n v="1"/>
    <n v="1"/>
    <n v="1"/>
  </r>
  <r>
    <s v="K &amp; H BANK ZRT."/>
    <s v="CASH2753"/>
    <s v="Diebold-Opteva 828 FL Cash Recycler"/>
    <s v="1828FIP00987"/>
    <s v="3300"/>
    <s v="Eger"/>
    <s v="Barkóczy út 3."/>
    <s v="ok"/>
    <n v="2"/>
    <n v="2"/>
    <x v="2"/>
    <n v="1"/>
    <n v="1"/>
    <n v="1"/>
  </r>
  <r>
    <s v="K &amp; H BANK ZRT."/>
    <s v="CASH2762"/>
    <s v="Diebold-Opteva 868 ATM"/>
    <s v="1868RH107749"/>
    <s v="2120"/>
    <s v="Dunakeszi"/>
    <s v="Fő u. 31."/>
    <s v="ok"/>
    <n v="2"/>
    <n v="2"/>
    <x v="14"/>
    <n v="2"/>
    <n v="2"/>
    <n v="0"/>
  </r>
  <r>
    <s v="K &amp; H BANK ZRT."/>
    <s v="CASH2763"/>
    <s v="Diebold-Opteva 828 FL Cash Recycler"/>
    <s v="1828FIP00986"/>
    <s v="4400"/>
    <s v="Nyíregyháza"/>
    <s v="Korányi Frigyes u. 5."/>
    <s v="ok"/>
    <n v="2"/>
    <n v="2"/>
    <x v="1"/>
    <n v="1"/>
    <n v="1"/>
    <n v="1"/>
  </r>
  <r>
    <s v="K &amp; H BANK ZRT."/>
    <s v="CASH2764"/>
    <s v="Diebold-Opteva 378 Cash Recycler"/>
    <s v="1378FDC03857"/>
    <s v="1106"/>
    <s v="Budapest"/>
    <s v="Örs vezér tere 25/a"/>
    <s v="ok"/>
    <n v="2"/>
    <n v="2"/>
    <x v="17"/>
    <n v="1"/>
    <n v="1"/>
    <n v="1"/>
  </r>
  <r>
    <s v="K &amp; H BANK ZRT."/>
    <s v="CASH2801"/>
    <s v="Diebold-Opteva 828 FL Cash Recycler"/>
    <s v="1828FIP01035"/>
    <s v="5900"/>
    <s v="Orosháza"/>
    <s v="Rákóczi u. 5."/>
    <s v="ok"/>
    <n v="2"/>
    <n v="0"/>
    <x v="3"/>
    <e v="#N/A"/>
    <n v="0"/>
    <n v="0"/>
  </r>
  <r>
    <s v="K &amp; H BANK ZRT."/>
    <s v="CASH2826_R"/>
    <s v="Diebold-Opteva 378 Cash Recycler"/>
    <s v="1378FDC03855"/>
    <s v="9200"/>
    <s v="Mosonmagyaróvár"/>
    <s v="Fő u. 26."/>
    <s v="ok"/>
    <n v="2"/>
    <n v="1"/>
    <x v="19"/>
    <e v="#N/A"/>
    <n v="0"/>
    <n v="1"/>
  </r>
  <r>
    <s v="K &amp; H BANK ZRT."/>
    <s v="CASH2848"/>
    <s v="Diebold-Opteva 828 FL Cash Recycler"/>
    <s v="1828FIP00930"/>
    <s v="1221"/>
    <s v="Budapest"/>
    <s v="Kossuth Lajos u. 25-29."/>
    <s v="ok"/>
    <n v="2"/>
    <n v="2"/>
    <x v="17"/>
    <n v="1"/>
    <n v="1"/>
    <n v="1"/>
  </r>
  <r>
    <s v="K &amp; H BANK ZRT."/>
    <s v="CASH2849"/>
    <s v="Diebold-Opteva 378 Cash Recycler"/>
    <s v="1378FDC03862"/>
    <s v="9501"/>
    <s v="Celldömölk"/>
    <s v="Dr. Géfin L. tér 13."/>
    <s v="ok"/>
    <n v="2"/>
    <n v="2"/>
    <x v="8"/>
    <n v="1"/>
    <n v="1"/>
    <n v="1"/>
  </r>
  <r>
    <s v="K &amp; H BANK ZRT."/>
    <s v="CASH2939"/>
    <s v="Diebold-Opteva 828 FL Cash Recycler"/>
    <s v="1828FIP01036"/>
    <s v="9737"/>
    <s v="Bük"/>
    <s v="Petőfi u. 63."/>
    <s v="ok"/>
    <e v="#N/A"/>
    <e v="#N/A"/>
    <x v="18"/>
    <e v="#N/A"/>
    <n v="0"/>
    <e v="#N/A"/>
  </r>
  <r>
    <s v="K &amp; H BANK ZRT."/>
    <s v="CASH5105"/>
    <s v="Diebold-Opteva 868 ATM"/>
    <s v="1868RH106117"/>
    <s v="8000"/>
    <s v="Székesfehérvár"/>
    <s v="Ady Endre u. 2."/>
    <s v="ok"/>
    <n v="2"/>
    <n v="2"/>
    <x v="4"/>
    <n v="1"/>
    <n v="1"/>
    <n v="1"/>
  </r>
  <r>
    <s v="K &amp; H BANK ZRT."/>
    <s v="CAST2988"/>
    <s v="Diebold-Opteva 868 ATM"/>
    <s v="1868RH106111"/>
    <s v="1095"/>
    <s v="Budapest"/>
    <s v="Lechner Ödön fasor 9."/>
    <s v="ok"/>
    <n v="0"/>
    <n v="0"/>
    <x v="17"/>
    <e v="#N/A"/>
    <n v="0"/>
    <n v="0"/>
  </r>
  <r>
    <s v="K &amp; H BANK ZRT."/>
    <s v="CAST2990"/>
    <s v="Diebold-Opteva 378 Cash Recycler"/>
    <s v="1378FDC03854"/>
    <s v="1095"/>
    <s v="Budapest"/>
    <s v="Lechner Ödön fasor 9."/>
    <s v="ok"/>
    <n v="0"/>
    <n v="0"/>
    <x v="20"/>
    <e v="#N/A"/>
    <n v="0"/>
    <n v="0"/>
  </r>
  <r>
    <s v="K &amp; H BANK ZRT."/>
    <s v="TESAT908"/>
    <s v="CINEO C2560"/>
    <s v="5300829108"/>
    <s v="1095"/>
    <s v="Budapest"/>
    <s v="Lechner Ödön fasor 9."/>
    <s v="ok"/>
    <n v="0"/>
    <n v="0"/>
    <x v="20"/>
    <e v="#N/A"/>
    <n v="0"/>
    <n v="0"/>
  </r>
  <r>
    <s v="MagNet Magyar Közösségi Bank Zrt."/>
    <s v="MGND0101"/>
    <s v="Diebold-Opteva 562r 3 High-Standard ATM"/>
    <s v="562RRH100053"/>
    <s v="1055"/>
    <s v="Budapest"/>
    <s v="Balassi Bálint u. 9-11."/>
    <s v="ok"/>
    <n v="2"/>
    <n v="2"/>
    <x v="13"/>
    <e v="#N/A"/>
    <n v="0"/>
    <n v="2"/>
  </r>
  <r>
    <s v="MagNet Magyar Közösségi Bank Zrt."/>
    <s v="MGND1001"/>
    <s v="Diebold-Opteva 750 ATM Outdoor"/>
    <s v="1750F3320027"/>
    <s v="1062"/>
    <s v="Budapest"/>
    <s v="Andrássy út 98."/>
    <s v="ok"/>
    <n v="2"/>
    <n v="2"/>
    <x v="13"/>
    <e v="#N/A"/>
    <n v="0"/>
    <n v="2"/>
  </r>
  <r>
    <s v="MagNet Magyar Közösségi Bank Zrt."/>
    <s v="MGND1301"/>
    <s v="OPT562 1GIG-DVD-UPS-LAN-A6-CEN3(4HIGH)"/>
    <s v="1562RH124076"/>
    <s v="2083"/>
    <s v="Solymár"/>
    <s v="Várhegy u. 1. (Várhegy Társasház)"/>
    <s v="ok"/>
    <n v="2"/>
    <n v="2"/>
    <x v="0"/>
    <n v="1"/>
    <n v="1"/>
    <n v="1"/>
  </r>
  <r>
    <s v="MagNet Magyar Közösségi Bank Zrt."/>
    <s v="MGND1401"/>
    <s v="OPT562 1GIG-DVD-UPS-LAN-A6-CEN3(4HIGH)"/>
    <s v="1562R3320353"/>
    <s v="1191"/>
    <s v="Budapest"/>
    <s v="Kossuth tér 5."/>
    <s v="ok"/>
    <n v="2"/>
    <n v="2"/>
    <x v="10"/>
    <n v="1"/>
    <n v="1"/>
    <n v="1"/>
  </r>
  <r>
    <s v="MagNet Magyar Közösségi Bank Zrt."/>
    <s v="MGND1501"/>
    <s v="OPT562 1GIG-DVD-UPS-LAN-A6-CEN3(4HIGH)"/>
    <s v="1562RH128385"/>
    <s v="1111"/>
    <s v="Budapest"/>
    <s v="Bartók Béla út 34."/>
    <s v="ok"/>
    <n v="2"/>
    <n v="2"/>
    <x v="17"/>
    <n v="1"/>
    <n v="1"/>
    <n v="1"/>
  </r>
  <r>
    <s v="MagNet Magyar Közösségi Bank Zrt."/>
    <s v="MGND2001"/>
    <s v="OPT562 1GIG-DVD-UPS-LAN-A6-CEN3(4HIGH)"/>
    <s v="1562RH136373"/>
    <s v="1032"/>
    <s v="Budapest"/>
    <s v="Bécsi út 195."/>
    <s v="ok"/>
    <n v="2"/>
    <n v="2"/>
    <x v="0"/>
    <n v="1"/>
    <n v="1"/>
    <n v="1"/>
  </r>
  <r>
    <s v="MagNet Magyar Közösségi Bank Zrt."/>
    <s v="MGND2201"/>
    <s v="OPT562 1GIG-DVD-UPS-LAN-A6-CEN3(4HIGH)"/>
    <s v="1562RH129339"/>
    <s v="1088"/>
    <s v="Budapest"/>
    <s v="Rákóczi út 1-3."/>
    <s v="ok"/>
    <n v="2"/>
    <n v="2"/>
    <x v="13"/>
    <e v="#N/A"/>
    <n v="0"/>
    <n v="2"/>
  </r>
  <r>
    <s v="MagNet Magyar Közösségi Bank Zrt."/>
    <s v="MGND2301"/>
    <s v="OPT562 1GIG-DVD-UPS-LAN-A6-CEN3(4HIGH)"/>
    <s v="1562RH124872"/>
    <s v="2120"/>
    <s v="Dunakeszi"/>
    <s v="Fő út 41."/>
    <s v="ok"/>
    <n v="2"/>
    <n v="2"/>
    <x v="14"/>
    <n v="1"/>
    <n v="1"/>
    <n v="1"/>
  </r>
  <r>
    <s v="MagNet Magyar Közösségi Bank Zrt."/>
    <s v="MGND2401"/>
    <s v="OPT562 1GIG-DVD-UPS-LAN-A6-CEN3(4HIGH)"/>
    <s v="1562RH129294"/>
    <s v="8000"/>
    <s v="Székesfehérvár"/>
    <s v="Kossuth u. 14."/>
    <s v="ok"/>
    <n v="2"/>
    <n v="2"/>
    <x v="4"/>
    <e v="#N/A"/>
    <n v="0"/>
    <n v="2"/>
  </r>
  <r>
    <s v="MTB Magyar Takarékszövetkezeti Bank"/>
    <s v="S6T11593"/>
    <s v="CINEO C4560"/>
    <s v="5310150559"/>
    <s v="1027"/>
    <s v="Budapest"/>
    <s v="Kapás u. 11-15."/>
    <s v="ok"/>
    <n v="2"/>
    <n v="2"/>
    <x v="0"/>
    <e v="#N/A"/>
    <n v="0"/>
    <n v="2"/>
  </r>
  <r>
    <s v="MTB Magyar Takarékszövetkezeti Bank"/>
    <s v="S6T50101"/>
    <s v="Diebold-Opteva 760 ATM Outdoor"/>
    <s v="1760RH123969"/>
    <s v="7754"/>
    <s v="Bóly"/>
    <s v="Hősök tere 8/c"/>
    <s v="ok"/>
    <n v="2"/>
    <n v="2"/>
    <x v="12"/>
    <n v="1"/>
    <n v="1"/>
    <n v="1"/>
  </r>
  <r>
    <s v="MTB Magyar Takarékszövetkezeti Bank"/>
    <s v="S6T50102"/>
    <s v="ProCash 2050"/>
    <s v="XXS6T50102"/>
    <s v="7751"/>
    <s v="Szederkény"/>
    <s v="Pécsi u. 40."/>
    <s v="ok"/>
    <n v="2"/>
    <n v="2"/>
    <x v="12"/>
    <n v="1"/>
    <n v="1"/>
    <n v="1"/>
  </r>
  <r>
    <s v="MTB Magyar Takarékszövetkezeti Bank"/>
    <s v="S6T50103"/>
    <s v="Diebold-Opteva 760 ATM Outdoor"/>
    <s v="1760R3300086"/>
    <s v="7753"/>
    <s v="Szajk"/>
    <s v="Hősök tere 8."/>
    <s v="ok"/>
    <n v="2"/>
    <n v="0"/>
    <x v="12"/>
    <e v="#N/A"/>
    <n v="0"/>
    <n v="0"/>
  </r>
  <r>
    <s v="MTB Magyar Takarékszövetkezeti Bank"/>
    <s v="S6T50105"/>
    <s v="ProCash 2050"/>
    <s v="XXS6T50105"/>
    <s v="7811"/>
    <s v="Szalánta"/>
    <s v="Hunyadi u. 112."/>
    <s v="ok"/>
    <n v="2"/>
    <n v="0"/>
    <x v="12"/>
    <e v="#N/A"/>
    <n v="0"/>
    <n v="0"/>
  </r>
  <r>
    <s v="MTB Magyar Takarékszövetkezeti Bank"/>
    <s v="S6T50106"/>
    <s v="ProCash 2050"/>
    <s v="XXS6T50106"/>
    <s v="7766"/>
    <s v="Újpetre"/>
    <s v="Kossuth u. 16/a"/>
    <s v="ok"/>
    <n v="2"/>
    <n v="2"/>
    <x v="12"/>
    <n v="1"/>
    <n v="1"/>
    <n v="1"/>
  </r>
  <r>
    <s v="MTB Magyar Takarékszövetkezeti Bank"/>
    <s v="S6T50301_BZ"/>
    <s v="Diebold-Questar 3410 ATM"/>
    <s v="XXS6T50301_BZ"/>
    <s v="7696"/>
    <s v="Hidas"/>
    <s v="Dózsa u. 1."/>
    <s v="ok"/>
    <n v="2"/>
    <n v="2"/>
    <x v="21"/>
    <e v="#N/A"/>
    <n v="0"/>
    <n v="2"/>
  </r>
  <r>
    <s v="MTB Magyar Takarékszövetkezeti Bank"/>
    <s v="S6T50302"/>
    <s v="Diebold-Opteva 760 ATM Outdoor"/>
    <s v="1760RH129405"/>
    <s v="7694"/>
    <s v="Hosszúhetény"/>
    <s v="Fő u. 176."/>
    <s v="ok"/>
    <n v="2"/>
    <n v="2"/>
    <x v="12"/>
    <n v="1"/>
    <n v="1"/>
    <n v="1"/>
  </r>
  <r>
    <s v="MTB Magyar Takarékszövetkezeti Bank"/>
    <s v="S6T50304"/>
    <s v="Diebold-Opteva 760 ATM Outdoor"/>
    <s v="1760RH125093"/>
    <s v="7720"/>
    <s v="Pécsvárad"/>
    <s v="Kossuth L. u. 10."/>
    <s v="ok"/>
    <n v="2"/>
    <n v="2"/>
    <x v="12"/>
    <e v="#N/A"/>
    <n v="0"/>
    <n v="2"/>
  </r>
  <r>
    <s v="MTB Magyar Takarékszövetkezeti Bank"/>
    <s v="S6T50305_BZ"/>
    <s v="Diebold-Questar 3410 ATM"/>
    <s v="XXS6T50305_BZ"/>
    <s v="7745"/>
    <s v="Olasz"/>
    <s v="Kossuth u. 22."/>
    <s v="ok"/>
    <n v="2"/>
    <n v="2"/>
    <x v="21"/>
    <e v="#N/A"/>
    <n v="0"/>
    <n v="2"/>
  </r>
  <r>
    <s v="MTB Magyar Takarékszövetkezeti Bank"/>
    <s v="S6T50309"/>
    <s v="Diebold-Opteva 760 ATM Outdoor"/>
    <s v="1760RH127658"/>
    <s v="7710"/>
    <s v="Mecseknádasd"/>
    <s v="Rákóczi u. 40."/>
    <s v="ok"/>
    <n v="2"/>
    <n v="2"/>
    <x v="12"/>
    <n v="1"/>
    <n v="1"/>
    <n v="1"/>
  </r>
  <r>
    <s v="MTB Magyar Takarékszövetkezeti Bank"/>
    <s v="S6T50310"/>
    <s v="ProCash 2150"/>
    <s v="XXS6T50310"/>
    <s v="7600"/>
    <s v="Pécs"/>
    <s v="Komlói út 4."/>
    <s v="ok"/>
    <n v="2"/>
    <n v="2"/>
    <x v="12"/>
    <n v="1"/>
    <n v="1"/>
    <n v="1"/>
  </r>
  <r>
    <s v="MTB Magyar Takarékszövetkezeti Bank"/>
    <s v="S6T50312_BZ"/>
    <s v="Diebold-Questar 3410 ATM"/>
    <s v="XXS6T50312_BZ"/>
    <s v="7150"/>
    <s v="Bonyhád"/>
    <s v="Szabadság tér 8."/>
    <s v="ok"/>
    <n v="2"/>
    <n v="2"/>
    <x v="21"/>
    <n v="1"/>
    <n v="1"/>
    <n v="1"/>
  </r>
  <r>
    <s v="MTB Magyar Takarékszövetkezeti Bank"/>
    <s v="S6T50314_BZ"/>
    <s v="Diebold-Questar 3410 ATM"/>
    <s v="XXS6T50314_BZ"/>
    <s v="7030"/>
    <s v="Paks"/>
    <s v="Villany u. 4."/>
    <s v="ok"/>
    <n v="2"/>
    <n v="2"/>
    <x v="21"/>
    <e v="#N/A"/>
    <n v="0"/>
    <n v="2"/>
  </r>
  <r>
    <s v="MTB Magyar Takarékszövetkezeti Bank"/>
    <s v="S6T50315_BZ"/>
    <s v="Diebold-Questar 3410 ATM"/>
    <s v="XXS6T50315_BZ"/>
    <s v="7100"/>
    <s v="Szekszárd"/>
    <s v="Garai tér 16."/>
    <s v="ok"/>
    <n v="2"/>
    <n v="2"/>
    <x v="21"/>
    <e v="#N/A"/>
    <n v="0"/>
    <n v="2"/>
  </r>
  <r>
    <s v="MTB Magyar Takarékszövetkezeti Bank"/>
    <s v="S6T50316"/>
    <s v="ProCash 2050"/>
    <s v="XXS6T50316"/>
    <s v="8900"/>
    <s v="Zalaegerszeg"/>
    <s v="Tompa M. u. 1-3."/>
    <s v="ok"/>
    <n v="2"/>
    <n v="2"/>
    <x v="9"/>
    <n v="1"/>
    <n v="1"/>
    <n v="1"/>
  </r>
  <r>
    <s v="MTB Magyar Takarékszövetkezeti Bank"/>
    <s v="S6T50319"/>
    <s v="Diebold-Opteva 760 ATM Outdoor"/>
    <s v="1760R3320870"/>
    <s v="8800"/>
    <s v="Nagykanizsa"/>
    <s v="Zrínyi u. 15."/>
    <s v="ok"/>
    <n v="2"/>
    <n v="2"/>
    <x v="9"/>
    <n v="1"/>
    <n v="1"/>
    <n v="1"/>
  </r>
  <r>
    <s v="MTB Magyar Takarékszövetkezeti Bank"/>
    <s v="S6T50394"/>
    <s v="Diebold-Opteva 760 ATM Outdoor"/>
    <s v="1760RCF00075"/>
    <s v="8852"/>
    <s v="Zákány"/>
    <s v="Május 1. u. 6."/>
    <s v="ok"/>
    <n v="2"/>
    <n v="2"/>
    <x v="9"/>
    <n v="1"/>
    <n v="1"/>
    <n v="1"/>
  </r>
  <r>
    <s v="MTB Magyar Takarékszövetkezeti Bank"/>
    <s v="S6T50395"/>
    <s v="Diebold-Opteva 760 ATM Outdoor"/>
    <s v="1760R3320186"/>
    <s v="8840"/>
    <s v="Csurgó"/>
    <s v="Csokonai utca 14."/>
    <s v="ok"/>
    <n v="2"/>
    <n v="2"/>
    <x v="9"/>
    <n v="1"/>
    <n v="1"/>
    <n v="1"/>
  </r>
  <r>
    <s v="MTB Magyar Takarékszövetkezeti Bank"/>
    <s v="S6T50402"/>
    <s v="Diebold-Opteva 760 ATM Outdoor"/>
    <s v="1760RCF00110"/>
    <s v="7622"/>
    <s v="Pécs"/>
    <s v="Citrom u. 5."/>
    <s v="ok"/>
    <n v="2"/>
    <n v="2"/>
    <x v="12"/>
    <n v="1"/>
    <n v="1"/>
    <n v="1"/>
  </r>
  <r>
    <s v="MTB Magyar Takarékszövetkezeti Bank"/>
    <s v="S6T50413"/>
    <s v="Diebold-Opteva 560 ATM Outdoor"/>
    <s v="1560RCF00566"/>
    <s v="7700"/>
    <s v="Mohács"/>
    <s v="Horváth K. utca 3."/>
    <s v="ok"/>
    <n v="2"/>
    <n v="2"/>
    <x v="12"/>
    <e v="#N/A"/>
    <n v="0"/>
    <n v="2"/>
  </r>
  <r>
    <s v="MTB Magyar Takarékszövetkezeti Bank"/>
    <s v="S6T50415"/>
    <s v="OPT562 1GIG-DVD-UPS-LAN-A6-CEN3(4HIGH)"/>
    <s v="1562RH155237"/>
    <s v="9021"/>
    <s v="Győr"/>
    <s v="Árpád u. 25."/>
    <s v="ok"/>
    <n v="2"/>
    <n v="2"/>
    <x v="19"/>
    <e v="#N/A"/>
    <n v="0"/>
    <n v="2"/>
  </r>
  <r>
    <s v="MTB Magyar Takarékszövetkezeti Bank"/>
    <s v="S6T50416"/>
    <s v="OPT562 1GIG-DVD-UPS-LAN-A6-CEN3(4HIGH)"/>
    <s v="1562RH142488"/>
    <s v="9021"/>
    <s v="Győr"/>
    <s v="Árpád u. 25."/>
    <s v="ok"/>
    <n v="2"/>
    <n v="2"/>
    <x v="19"/>
    <e v="#N/A"/>
    <n v="0"/>
    <n v="2"/>
  </r>
  <r>
    <s v="MTB Magyar Takarékszövetkezeti Bank"/>
    <s v="S6T50701"/>
    <s v="Diebold-Opteva 760 ATM Outdoor"/>
    <s v="1760R3320847"/>
    <s v="7940"/>
    <s v="Szentlőrinc"/>
    <s v="Munkácsy u. 19."/>
    <s v="ok"/>
    <n v="2"/>
    <n v="2"/>
    <x v="12"/>
    <n v="1"/>
    <n v="1"/>
    <n v="1"/>
  </r>
  <r>
    <s v="MTB Magyar Takarékszövetkezeti Bank"/>
    <s v="S6T50702"/>
    <s v="OPT562 1GIG-DVD-UPS-LAN-A6-CEN3(4HIGH)"/>
    <s v="1562RH125247"/>
    <s v="7838"/>
    <s v="Vajszló"/>
    <s v="Kodolányi tér 2."/>
    <s v="ok"/>
    <n v="2"/>
    <n v="2"/>
    <x v="12"/>
    <n v="1"/>
    <n v="1"/>
    <n v="1"/>
  </r>
  <r>
    <s v="MTB Magyar Takarékszövetkezeti Bank"/>
    <s v="S6T50704"/>
    <s v="Diebold-Opteva 760 ATM Outdoor"/>
    <s v="1760RH129403"/>
    <s v="7960"/>
    <s v="Sellye"/>
    <s v="Mátyás király u. 73."/>
    <s v="ok"/>
    <n v="2"/>
    <n v="2"/>
    <x v="12"/>
    <n v="1"/>
    <n v="1"/>
    <n v="1"/>
  </r>
  <r>
    <s v="MTB Magyar Takarékszövetkezeti Bank"/>
    <s v="S6T50804"/>
    <s v="Diebold-Opteva 760 ATM Outdoor"/>
    <s v="1760RH126532"/>
    <s v="7900"/>
    <s v="Szigetvár"/>
    <s v="József Attila u. 19."/>
    <s v="ok"/>
    <n v="2"/>
    <n v="2"/>
    <x v="12"/>
    <n v="1"/>
    <n v="1"/>
    <n v="1"/>
  </r>
  <r>
    <s v="MTB Magyar Takarékszövetkezeti Bank"/>
    <s v="S6T50805"/>
    <s v="OPT562 1GIG-DVD-UPS-LAN-A6-CEN3(4HIGH)"/>
    <s v="1562RH124543"/>
    <s v="6000"/>
    <s v="Kecskemét"/>
    <s v="Dobó krt 15."/>
    <s v="ok"/>
    <n v="2"/>
    <n v="2"/>
    <x v="11"/>
    <n v="1"/>
    <n v="1"/>
    <n v="1"/>
  </r>
  <r>
    <s v="MTB Magyar Takarékszövetkezeti Bank"/>
    <s v="S6T50806"/>
    <s v="Diebold-Opteva 760 ATM Outdoor"/>
    <s v="1760RH127777"/>
    <s v="7622"/>
    <s v="Pécs"/>
    <s v="Bajcsy-Zs. u. 7."/>
    <s v="ok"/>
    <n v="2"/>
    <n v="0"/>
    <x v="12"/>
    <e v="#N/A"/>
    <n v="0"/>
    <n v="0"/>
  </r>
  <r>
    <s v="MTB Magyar Takarékszövetkezeti Bank"/>
    <s v="S6T50809"/>
    <s v="Diebold-Opteva 760 ATM Outdoor"/>
    <s v="1760RH126601"/>
    <s v="7936"/>
    <s v="Szentlászló"/>
    <s v="Kossuth u. 1/c"/>
    <s v="ok"/>
    <n v="2"/>
    <n v="2"/>
    <x v="12"/>
    <n v="1"/>
    <n v="1"/>
    <n v="1"/>
  </r>
  <r>
    <s v="MTB Magyar Takarékszövetkezeti Bank"/>
    <s v="S6T50813_BZ"/>
    <s v="Diebold-Questar 3410 ATM"/>
    <s v="XXS6T50813_BZ"/>
    <s v="7985"/>
    <s v="Nagydobsza"/>
    <s v="Fő u. 1/b"/>
    <s v="ok"/>
    <n v="2"/>
    <n v="2"/>
    <x v="21"/>
    <e v="#N/A"/>
    <n v="0"/>
    <n v="2"/>
  </r>
  <r>
    <s v="MTB Magyar Takarékszövetkezeti Bank"/>
    <s v="S6T50814"/>
    <s v="Diebold-Opteva 560 ATM Outdoor"/>
    <s v="1560R3300990"/>
    <s v="7815"/>
    <s v="Harkány"/>
    <s v="Kossuth u. 16."/>
    <s v="ok"/>
    <n v="2"/>
    <n v="2"/>
    <x v="12"/>
    <n v="1"/>
    <n v="1"/>
    <n v="1"/>
  </r>
  <r>
    <s v="MTB Magyar Takarékszövetkezeti Bank"/>
    <s v="S6T50815"/>
    <s v="ProCash 1500"/>
    <s v="XXS6T50815"/>
    <s v="7761"/>
    <s v="Kozármisleny"/>
    <s v="Orgona u. 2."/>
    <s v="ok"/>
    <n v="2"/>
    <n v="2"/>
    <x v="12"/>
    <n v="1"/>
    <n v="1"/>
    <n v="1"/>
  </r>
  <r>
    <s v="MTB Magyar Takarékszövetkezeti Bank"/>
    <s v="S6T50820_BZ"/>
    <s v="Diebold-Questar 3410 ATM"/>
    <s v="XXS6T50820_BZ"/>
    <s v="7975"/>
    <s v="Kétújfalu"/>
    <s v="József A. u. 35."/>
    <s v="ok"/>
    <n v="2"/>
    <n v="2"/>
    <x v="21"/>
    <e v="#N/A"/>
    <n v="0"/>
    <n v="2"/>
  </r>
  <r>
    <s v="MTB Magyar Takarékszövetkezeti Bank"/>
    <s v="S6T50822"/>
    <s v="ProCash 2050"/>
    <s v="XXS6T50822"/>
    <s v="7632"/>
    <s v="Pécs"/>
    <s v="Csontváry u. 10."/>
    <s v="ok"/>
    <n v="2"/>
    <n v="2"/>
    <x v="12"/>
    <n v="1"/>
    <n v="1"/>
    <n v="1"/>
  </r>
  <r>
    <s v="MTB Magyar Takarékszövetkezeti Bank"/>
    <s v="S6T50823"/>
    <s v="ProCash 2100"/>
    <s v="5300057613"/>
    <s v="8623"/>
    <s v="Balatonföldvár"/>
    <s v="Balatonszentgyörgyi út 1."/>
    <s v="ok"/>
    <n v="2"/>
    <n v="2"/>
    <x v="4"/>
    <n v="1"/>
    <n v="1"/>
    <n v="1"/>
  </r>
  <r>
    <s v="MTB Magyar Takarékszövetkezeti Bank"/>
    <s v="S6T50825"/>
    <s v="Diebold-Opteva 760 ATM Outdoor"/>
    <s v="1760RH122523"/>
    <s v="8621"/>
    <s v="Zamárdi"/>
    <s v="Szabadság tér 5."/>
    <s v="ok"/>
    <n v="2"/>
    <n v="2"/>
    <x v="4"/>
    <n v="1"/>
    <n v="1"/>
    <n v="1"/>
  </r>
  <r>
    <s v="MTB Magyar Takarékszövetkezeti Bank"/>
    <s v="S6T50827"/>
    <s v="OPT562 1GIG-DVD-UPS-LAN-A6-CEN3(4HIGH)"/>
    <s v="1562R3301402"/>
    <s v="8654"/>
    <s v="Ságvár"/>
    <s v="Petőfi u. 18/6"/>
    <s v="ok"/>
    <n v="2"/>
    <n v="2"/>
    <x v="4"/>
    <n v="1"/>
    <n v="1"/>
    <n v="1"/>
  </r>
  <r>
    <s v="MTB Magyar Takarékszövetkezeti Bank"/>
    <s v="S6T50828_BZ"/>
    <s v="Diebold-Questar 3410 ATM"/>
    <s v="XXS6T50828_BZ"/>
    <s v="7285"/>
    <s v="Törökkoppány"/>
    <s v="Petőfi út 2."/>
    <s v="ok"/>
    <n v="2"/>
    <n v="2"/>
    <x v="21"/>
    <e v="#N/A"/>
    <n v="0"/>
    <n v="2"/>
  </r>
  <r>
    <s v="MTB Magyar Takarékszövetkezeti Bank"/>
    <s v="S6T50829"/>
    <s v="Diebold-Opteva 760 ATM Outdoor"/>
    <s v="1760RH126434"/>
    <s v="8660"/>
    <s v="Tab"/>
    <s v="Kossuth Lajos u. 80."/>
    <s v="ok"/>
    <n v="2"/>
    <n v="2"/>
    <x v="4"/>
    <e v="#N/A"/>
    <n v="0"/>
    <n v="2"/>
  </r>
  <r>
    <s v="MTB Magyar Takarékszövetkezeti Bank"/>
    <s v="S6T50830"/>
    <s v="Diebold-Opteva 760 ATM Outdoor"/>
    <s v="1760RCF00484"/>
    <s v="8600"/>
    <s v="Siófok"/>
    <s v="Széchenyi u. 6"/>
    <s v="ok"/>
    <n v="2"/>
    <n v="2"/>
    <x v="4"/>
    <e v="#N/A"/>
    <n v="0"/>
    <n v="2"/>
  </r>
  <r>
    <s v="MTB Magyar Takarékszövetkezeti Bank"/>
    <s v="S6T50832"/>
    <s v="Diebold-Opteva 760 ATM Outdoor"/>
    <s v="1760RH128697"/>
    <s v="7400"/>
    <s v="Kaposvár"/>
    <s v="Áchim András u. 4."/>
    <s v="ok"/>
    <n v="2"/>
    <n v="2"/>
    <x v="12"/>
    <n v="1"/>
    <n v="1"/>
    <n v="1"/>
  </r>
  <r>
    <s v="MTB Magyar Takarékszövetkezeti Bank"/>
    <s v="S6T50833"/>
    <s v="Diebold-Opteva 522 Lobby Cash Dispenser"/>
    <s v="1522FH104752"/>
    <s v="7570"/>
    <s v="Barcs"/>
    <s v="Bajcsy-Zsilinszky u. 83."/>
    <s v="ok"/>
    <n v="2"/>
    <n v="2"/>
    <x v="12"/>
    <n v="1"/>
    <n v="1"/>
    <n v="1"/>
  </r>
  <r>
    <s v="MTB Magyar Takarékszövetkezeti Bank"/>
    <s v="S6T50834"/>
    <s v="OPT562 1GIG-DVD-UPS-LAN-A6-CEN3(4HIGH)"/>
    <s v="1562RH134502"/>
    <s v="7600"/>
    <s v="Pécs"/>
    <s v="Páfrány u. 2."/>
    <s v="ok"/>
    <n v="2"/>
    <n v="1"/>
    <x v="12"/>
    <e v="#N/A"/>
    <n v="0"/>
    <n v="1"/>
  </r>
  <r>
    <s v="MTB Magyar Takarékszövetkezeti Bank"/>
    <s v="S6T51009"/>
    <s v="OPT562 1GIG-DVD-UPS-LAN-A6-CEN3(4HIGH)"/>
    <s v="1562RH159080"/>
    <s v="6430"/>
    <s v="Bácsalmás"/>
    <s v="Gróf Teleki József u. 2."/>
    <s v="ok"/>
    <n v="2"/>
    <n v="2"/>
    <x v="7"/>
    <e v="#N/A"/>
    <n v="0"/>
    <n v="2"/>
  </r>
  <r>
    <s v="MTB Magyar Takarékszövetkezeti Bank"/>
    <s v="S6T51101"/>
    <s v="ProCash 2050"/>
    <s v="5300006433"/>
    <s v="6440"/>
    <s v="Jánoshalma"/>
    <s v="Kossuth u. 4."/>
    <s v="ok"/>
    <n v="2"/>
    <n v="2"/>
    <x v="7"/>
    <n v="1"/>
    <n v="1"/>
    <n v="1"/>
  </r>
  <r>
    <s v="MTB Magyar Takarékszövetkezeti Bank"/>
    <s v="S6T51102"/>
    <s v="CSC/450 system"/>
    <s v="SSB3213015"/>
    <s v="6447"/>
    <s v="Felsőszentiván"/>
    <s v="Szabadság u. 9."/>
    <s v="ok"/>
    <n v="2"/>
    <n v="2"/>
    <x v="7"/>
    <e v="#N/A"/>
    <n v="0"/>
    <n v="2"/>
  </r>
  <r>
    <s v="MTB Magyar Takarékszövetkezeti Bank"/>
    <s v="S6T51501"/>
    <s v="OPT562 1GIG-DVD-UPS-LAN-A6-CEN3(4HIGH)"/>
    <s v="1562RH156698"/>
    <s v="6326"/>
    <s v="Harta"/>
    <s v="Kossuth Lajos u. 31."/>
    <s v="ok"/>
    <n v="2"/>
    <n v="2"/>
    <x v="7"/>
    <n v="1"/>
    <n v="1"/>
    <n v="1"/>
  </r>
  <r>
    <s v="MTB Magyar Takarékszövetkezeti Bank"/>
    <s v="S6T51702"/>
    <s v="ProCash 1500xe RL USB"/>
    <s v="XXS6T51702"/>
    <s v="6131"/>
    <s v="Szank"/>
    <s v="Béke u. 38."/>
    <s v="ok"/>
    <n v="2"/>
    <n v="2"/>
    <x v="7"/>
    <n v="1"/>
    <n v="1"/>
    <n v="1"/>
  </r>
  <r>
    <s v="MTB Magyar Takarékszövetkezeti Bank"/>
    <s v="S6T51703"/>
    <s v="OPT562 1GIG-DVD-UPS-LAN-A6-CEN3(4HIGH)"/>
    <s v="1562RH138599"/>
    <s v="6133"/>
    <s v="Jászszentlászló"/>
    <s v="Rákóczi út 1."/>
    <s v="ok"/>
    <n v="2"/>
    <n v="2"/>
    <x v="7"/>
    <n v="1"/>
    <n v="1"/>
    <n v="1"/>
  </r>
  <r>
    <s v="MTB Magyar Takarékszövetkezeti Bank"/>
    <s v="S6T51704"/>
    <s v="ProCash 2150xe"/>
    <s v="5300453208"/>
    <s v="6044"/>
    <s v="Hetényegyháza"/>
    <s v="Szegfű u. 2/A"/>
    <s v="ok"/>
    <n v="2"/>
    <n v="2"/>
    <x v="7"/>
    <e v="#N/A"/>
    <n v="0"/>
    <n v="2"/>
  </r>
  <r>
    <s v="MTB Magyar Takarékszövetkezeti Bank"/>
    <s v="S6T51706"/>
    <s v="ProCash 2150xe"/>
    <s v="XXS6T51706"/>
    <s v="6045"/>
    <s v="Lajosmizse"/>
    <s v="Dózsa u. 74."/>
    <s v="ok"/>
    <n v="2"/>
    <n v="0"/>
    <x v="7"/>
    <e v="#N/A"/>
    <n v="0"/>
    <n v="0"/>
  </r>
  <r>
    <s v="MTB Magyar Takarékszövetkezeti Bank"/>
    <s v="S6T51708"/>
    <s v="ProCash 2150xe"/>
    <s v="5300116667"/>
    <s v="6449"/>
    <s v="Mélykút"/>
    <s v="Petőfi tér 3."/>
    <s v="ok"/>
    <n v="2"/>
    <n v="2"/>
    <x v="7"/>
    <n v="1"/>
    <n v="1"/>
    <n v="1"/>
  </r>
  <r>
    <s v="MTB Magyar Takarékszövetkezeti Bank"/>
    <s v="S6T51709"/>
    <s v="ProCash 2150xe"/>
    <s v="5300113770"/>
    <s v="6000"/>
    <s v="Kecskemét"/>
    <s v="Széchenyi sétány 5."/>
    <s v="ok"/>
    <n v="2"/>
    <n v="2"/>
    <x v="11"/>
    <n v="1"/>
    <n v="1"/>
    <n v="1"/>
  </r>
  <r>
    <s v="MTB Magyar Takarékszövetkezeti Bank"/>
    <s v="S6T51710"/>
    <s v="ProCash 2150xe"/>
    <s v="5300221510"/>
    <s v="6112"/>
    <s v="Pálmonostora"/>
    <s v="Posta u. 14."/>
    <s v="ok"/>
    <n v="2"/>
    <n v="2"/>
    <x v="11"/>
    <n v="1"/>
    <n v="1"/>
    <n v="1"/>
  </r>
  <r>
    <s v="MTB Magyar Takarékszövetkezeti Bank"/>
    <s v="S6T51711"/>
    <s v="ProCash 2150xe"/>
    <s v="5300141081"/>
    <s v="6066"/>
    <s v="Tiszaalpár"/>
    <s v="Alkotmány u. 10."/>
    <s v="ok"/>
    <n v="2"/>
    <n v="2"/>
    <x v="11"/>
    <n v="1"/>
    <n v="1"/>
    <n v="1"/>
  </r>
  <r>
    <s v="MTB Magyar Takarékszövetkezeti Bank"/>
    <s v="S6T51712"/>
    <s v="ProCash 2150xe"/>
    <s v="5300242753"/>
    <s v="6000"/>
    <s v="Kecskemét"/>
    <s v="Szabadság tér 3/a."/>
    <s v="ok"/>
    <n v="2"/>
    <n v="2"/>
    <x v="11"/>
    <n v="1"/>
    <n v="1"/>
    <n v="1"/>
  </r>
  <r>
    <s v="MTB Magyar Takarékszövetkezeti Bank"/>
    <s v="S6T51713"/>
    <s v="ProCash 2150xe"/>
    <s v="5300242737"/>
    <s v="6097"/>
    <s v="Kunadacs"/>
    <s v="Kossuth u. 42/a."/>
    <s v="ok"/>
    <n v="2"/>
    <n v="2"/>
    <x v="15"/>
    <n v="1"/>
    <n v="1"/>
    <n v="1"/>
  </r>
  <r>
    <s v="MTB Magyar Takarékszövetkezeti Bank"/>
    <s v="S6T51714"/>
    <s v="ProCash 2150xe"/>
    <s v="5300307078"/>
    <s v="6045"/>
    <s v="Ladánybene"/>
    <s v="Fő u. 51."/>
    <s v="ok"/>
    <n v="2"/>
    <n v="2"/>
    <x v="15"/>
    <n v="1"/>
    <n v="1"/>
    <n v="1"/>
  </r>
  <r>
    <s v="MTB Magyar Takarékszövetkezeti Bank"/>
    <s v="S6T51715"/>
    <s v="ProCash 2150xe"/>
    <s v="5300278481"/>
    <s v="6135"/>
    <s v="Csólyospálos"/>
    <s v="Kossuth u. 79."/>
    <s v="ok"/>
    <n v="2"/>
    <n v="2"/>
    <x v="7"/>
    <e v="#N/A"/>
    <n v="0"/>
    <n v="2"/>
  </r>
  <r>
    <s v="MTB Magyar Takarékszövetkezeti Bank"/>
    <s v="S6T51716"/>
    <s v="Diebold-Opteva 560 ATM Outdoor"/>
    <s v="1560R3301584"/>
    <s v="6060"/>
    <s v="Tiszakécske"/>
    <s v="Szent Imre tér 13."/>
    <s v="ok"/>
    <n v="2"/>
    <n v="2"/>
    <x v="11"/>
    <e v="#N/A"/>
    <n v="0"/>
    <n v="2"/>
  </r>
  <r>
    <s v="MTB Magyar Takarékszövetkezeti Bank"/>
    <s v="S6T51717"/>
    <s v="OPT562 1GIG-DVD-UPS-LAN-A6-CEN3(4HIGH)"/>
    <s v="1562RH128676"/>
    <s v="2344"/>
    <s v="Dömsöd"/>
    <s v="Kossuth L. u. 61."/>
    <s v="ok"/>
    <n v="2"/>
    <n v="2"/>
    <x v="15"/>
    <n v="1"/>
    <n v="1"/>
    <n v="1"/>
  </r>
  <r>
    <s v="MTB Magyar Takarékszövetkezeti Bank"/>
    <s v="S6T51721"/>
    <s v="Diebold-Opteva 760 ATM Outdoor"/>
    <s v="1760RCF00467"/>
    <s v="6500"/>
    <s v="Baja"/>
    <s v="Szentháromság tér 7."/>
    <s v="ok"/>
    <n v="2"/>
    <n v="2"/>
    <x v="12"/>
    <n v="1"/>
    <n v="1"/>
    <n v="1"/>
  </r>
  <r>
    <s v="MTB Magyar Takarékszövetkezeti Bank"/>
    <s v="S6T51725"/>
    <s v="OPT562 1GIG-DVD-UPS-LAN-A6-CEN3(4HIGH)"/>
    <s v="1562RH139158"/>
    <s v="2300"/>
    <s v="Ráckeve"/>
    <s v="Kossuth Lajos u. 32."/>
    <s v="ok"/>
    <n v="2"/>
    <n v="2"/>
    <x v="15"/>
    <n v="1"/>
    <n v="1"/>
    <n v="1"/>
  </r>
  <r>
    <s v="MTB Magyar Takarékszövetkezeti Bank"/>
    <s v="S6T51726"/>
    <s v="OPT562 1GIG-DVD-UPS-LAN-A6-CEN3(4HIGH)"/>
    <s v="1562RH139367"/>
    <s v="6113"/>
    <s v="Petőfiszállás"/>
    <s v="Kossuth u. 63."/>
    <s v="ok"/>
    <n v="2"/>
    <n v="2"/>
    <x v="3"/>
    <e v="#N/A"/>
    <n v="0"/>
    <n v="2"/>
  </r>
  <r>
    <s v="MTB Magyar Takarékszövetkezeti Bank"/>
    <s v="S6T51727"/>
    <s v="OPT562 1GIG-DVD-UPS-LAN-A6-CEN3(4HIGH)"/>
    <s v="1562RH139368"/>
    <s v="2340"/>
    <s v="Kiskunlacháza"/>
    <s v="Rákóczi u. 9."/>
    <s v="ok"/>
    <n v="2"/>
    <n v="2"/>
    <x v="15"/>
    <n v="1"/>
    <n v="1"/>
    <n v="1"/>
  </r>
  <r>
    <s v="MTB Magyar Takarékszövetkezeti Bank"/>
    <s v="S6T51732"/>
    <s v="ProCash 2150"/>
    <s v="XXS6T51732"/>
    <s v="6400"/>
    <s v="Kiskunhalas"/>
    <s v="Kossuth u. 4."/>
    <s v="ok"/>
    <n v="2"/>
    <n v="2"/>
    <x v="7"/>
    <n v="1"/>
    <n v="1"/>
    <n v="1"/>
  </r>
  <r>
    <s v="MTB Magyar Takarékszövetkezeti Bank"/>
    <s v="S6T51736"/>
    <s v="Diebold-Opteva 760 ATM Outdoor"/>
    <s v="1760RH126604"/>
    <s v="6230"/>
    <s v="Soltvadkert"/>
    <s v="Ifjúság u. 4."/>
    <s v="ok"/>
    <n v="2"/>
    <n v="2"/>
    <x v="7"/>
    <n v="1"/>
    <n v="1"/>
    <n v="1"/>
  </r>
  <r>
    <s v="MTB Magyar Takarékszövetkezeti Bank"/>
    <s v="S6T51738"/>
    <s v="OPT562 1GIG-DVD-UPS-LAN-A6-CEN3(4HIGH)"/>
    <s v="1562RH145157"/>
    <s v="6236"/>
    <s v="Tázlár"/>
    <s v="Templom köz 5."/>
    <s v="ok"/>
    <n v="2"/>
    <n v="0"/>
    <x v="7"/>
    <e v="#N/A"/>
    <n v="0"/>
    <n v="0"/>
  </r>
  <r>
    <s v="MTB Magyar Takarékszövetkezeti Bank"/>
    <s v="S6T51739"/>
    <s v="OPT562 1GIG-DVD-UPS-LAN-A6-CEN3(4HIGH)"/>
    <s v="1562RH145967"/>
    <s v="2336"/>
    <s v="Dunavarsány"/>
    <s v="Kossuth Lajos utca 38."/>
    <s v="ok"/>
    <n v="2"/>
    <n v="2"/>
    <x v="15"/>
    <n v="1"/>
    <n v="1"/>
    <n v="1"/>
  </r>
  <r>
    <s v="MTB Magyar Takarékszövetkezeti Bank"/>
    <s v="S6T51740"/>
    <s v="ProCash 2150xe"/>
    <s v="5300150707"/>
    <s v="6134"/>
    <s v="Kömpöc"/>
    <s v="Petőfi S. u. 5."/>
    <s v="ok"/>
    <n v="2"/>
    <n v="2"/>
    <x v="7"/>
    <e v="#N/A"/>
    <n v="0"/>
    <n v="2"/>
  </r>
  <r>
    <s v="MTB Magyar Takarékszövetkezeti Bank"/>
    <s v="S6T51741"/>
    <s v="ProCash 2150xe"/>
    <s v="XXS6T51741"/>
    <s v="6077"/>
    <s v="Orgovány"/>
    <s v="Kölcsei u. 2/A."/>
    <s v="ok"/>
    <n v="2"/>
    <n v="2"/>
    <x v="7"/>
    <n v="1"/>
    <n v="1"/>
    <n v="1"/>
  </r>
  <r>
    <s v="MTB Magyar Takarékszövetkezeti Bank"/>
    <s v="S6T51742"/>
    <s v="OPT562 1GIG-DVD-UPS-LAN-A6-CEN3(4HIGH)"/>
    <s v="XXS6T51742"/>
    <s v="6114"/>
    <s v="Bugac"/>
    <s v="Béke utca 18."/>
    <s v="ok"/>
    <n v="2"/>
    <n v="2"/>
    <x v="11"/>
    <e v="#N/A"/>
    <n v="0"/>
    <n v="2"/>
  </r>
  <r>
    <s v="MTB Magyar Takarékszövetkezeti Bank"/>
    <s v="S6T51743"/>
    <s v="OPT562 1GIG-DVD-UPS-LAN-A6-CEN3(4HIGH)"/>
    <s v="1562R3301390"/>
    <s v="6328"/>
    <s v="Dunapataj"/>
    <s v="Ordasi utca 26."/>
    <s v="ok"/>
    <n v="2"/>
    <n v="2"/>
    <x v="7"/>
    <n v="1"/>
    <n v="1"/>
    <n v="1"/>
  </r>
  <r>
    <s v="MTB Magyar Takarékszövetkezeti Bank"/>
    <s v="S6T51744"/>
    <s v="OPT562 1GIG-DVD-UPS-LAN-A6-CEN3(4HIGH)"/>
    <s v="1562R3301397"/>
    <s v="6334"/>
    <s v="Géderlak"/>
    <s v="Kossuth Lajos utca 66."/>
    <s v="ok"/>
    <n v="2"/>
    <n v="2"/>
    <x v="7"/>
    <n v="1"/>
    <n v="1"/>
    <n v="1"/>
  </r>
  <r>
    <s v="MTB Magyar Takarékszövetkezeti Bank"/>
    <s v="S6T51745"/>
    <s v="OPT562 1GIG-DVD-UPS-LAN-A6-CEN3(4HIGH)"/>
    <s v="1562R3301396"/>
    <s v="6320"/>
    <s v="Solt"/>
    <s v="Posta utca 14."/>
    <s v="ok"/>
    <n v="2"/>
    <n v="2"/>
    <x v="7"/>
    <e v="#N/A"/>
    <n v="0"/>
    <n v="2"/>
  </r>
  <r>
    <s v="MTB Magyar Takarékszövetkezeti Bank"/>
    <s v="S6T51746"/>
    <s v="OPT562 1GIG-DVD-UPS-LAN-A6-CEN3(4HIGH)"/>
    <s v="1562RH132702"/>
    <s v="6336"/>
    <s v="Szakmár"/>
    <s v="Árpád utca 5."/>
    <s v="ok"/>
    <n v="2"/>
    <n v="2"/>
    <x v="7"/>
    <n v="1"/>
    <n v="1"/>
    <n v="1"/>
  </r>
  <r>
    <s v="MTB Magyar Takarékszövetkezeti Bank"/>
    <s v="S6T51747"/>
    <s v="OPT562 1GIG-DVD-UPS-LAN-A6-CEN3(4HIGH)"/>
    <s v="1562RH156629"/>
    <s v="6078"/>
    <s v="Jakabszállás"/>
    <s v="Petőfi Sándor u. 4."/>
    <s v="ok"/>
    <n v="2"/>
    <n v="2"/>
    <x v="7"/>
    <e v="#N/A"/>
    <n v="0"/>
    <n v="2"/>
  </r>
  <r>
    <s v="MTB Magyar Takarékszövetkezeti Bank"/>
    <s v="S6T51902"/>
    <s v="Diebold-Opteva 562r 3 High-Standard ATM"/>
    <s v="562RRH100582"/>
    <s v="6100"/>
    <s v="Kiskunfélegyháza"/>
    <s v="Gorkij u. 4."/>
    <s v="ok"/>
    <n v="2"/>
    <n v="2"/>
    <x v="11"/>
    <e v="#N/A"/>
    <n v="0"/>
    <n v="2"/>
  </r>
  <r>
    <s v="MTB Magyar Takarékszövetkezeti Bank"/>
    <s v="S6T51903"/>
    <s v="Diebold-1064ix ATM Indoor"/>
    <s v="4789-71-12579"/>
    <s v="6115"/>
    <s v="Kunszállás"/>
    <s v="Dózsa György út 27."/>
    <s v="ok"/>
    <n v="2"/>
    <n v="2"/>
    <x v="11"/>
    <e v="#N/A"/>
    <n v="0"/>
    <n v="2"/>
  </r>
  <r>
    <s v="MTB Magyar Takarékszövetkezeti Bank"/>
    <s v="S6T51904"/>
    <s v="Diebold-1064ix ATM Indoor"/>
    <s v="4789-41-07361"/>
    <s v="6033"/>
    <s v="Városföld"/>
    <s v="Felszabadulás u. 6."/>
    <s v="ok"/>
    <n v="2"/>
    <n v="0"/>
    <x v="11"/>
    <e v="#N/A"/>
    <n v="0"/>
    <n v="0"/>
  </r>
  <r>
    <s v="MTB Magyar Takarékszövetkezeti Bank"/>
    <s v="S6T52001"/>
    <s v="ProCash 2050"/>
    <s v="XXS6T52001"/>
    <s v="6065"/>
    <s v="Lakitelek"/>
    <s v="Liget u. 2."/>
    <s v="ok"/>
    <n v="2"/>
    <n v="2"/>
    <x v="11"/>
    <n v="1"/>
    <n v="1"/>
    <n v="1"/>
  </r>
  <r>
    <s v="MTB Magyar Takarékszövetkezeti Bank"/>
    <s v="S6T52002"/>
    <s v="ProCash 2050"/>
    <s v="XXS6T52002"/>
    <s v="6032"/>
    <s v="Nyárlőrinc"/>
    <s v="Dózsa u. 12/a"/>
    <s v="ok"/>
    <n v="2"/>
    <n v="2"/>
    <x v="11"/>
    <e v="#N/A"/>
    <n v="0"/>
    <n v="2"/>
  </r>
  <r>
    <s v="MTB Magyar Takarékszövetkezeti Bank"/>
    <s v="S6T52003"/>
    <s v="ProCash 2050"/>
    <s v="5300032755"/>
    <s v="6031"/>
    <s v="Szentkirály"/>
    <s v="Kossuth u. 13/1"/>
    <s v="ok"/>
    <n v="2"/>
    <n v="2"/>
    <x v="11"/>
    <e v="#N/A"/>
    <n v="0"/>
    <n v="2"/>
  </r>
  <r>
    <s v="MTB Magyar Takarékszövetkezeti Bank"/>
    <s v="S6T52004"/>
    <s v="ProCash 2050"/>
    <s v="XXS6T52004"/>
    <s v="6000"/>
    <s v="Kecskemét"/>
    <s v="Kisfaludy u. 8."/>
    <s v="ok"/>
    <n v="2"/>
    <n v="0"/>
    <x v="11"/>
    <e v="#N/A"/>
    <n v="0"/>
    <n v="0"/>
  </r>
  <r>
    <s v="MTB Magyar Takarékszövetkezeti Bank"/>
    <s v="S6T52301"/>
    <s v="OPT562 1GIG-DVD-UPS-LAN-A6-CEN3(4HIGH)"/>
    <s v="1562RH120096"/>
    <s v="6345"/>
    <s v="Nemesnádudvar"/>
    <s v="Petofi Sándor út. 41/b"/>
    <s v="ok"/>
    <n v="2"/>
    <n v="2"/>
    <x v="7"/>
    <n v="1"/>
    <n v="1"/>
    <n v="1"/>
  </r>
  <r>
    <s v="MTB Magyar Takarékszövetkezeti Bank"/>
    <s v="S6T52501"/>
    <s v="OPT562 1GIG-DVD-UPS-LAN-A6-CEN3(4HIGH)"/>
    <s v="562RRH100581"/>
    <s v="6000"/>
    <s v="Kecskemét"/>
    <s v="Kőhíd u. 6."/>
    <s v="ok"/>
    <n v="2"/>
    <n v="2"/>
    <x v="11"/>
    <e v="#N/A"/>
    <n v="0"/>
    <n v="2"/>
  </r>
  <r>
    <s v="MTB Magyar Takarékszövetkezeti Bank"/>
    <s v="S6T52504"/>
    <s v="OPT562 1GIG-DVD-UPS-LAN-A6-CEN3(4HIGH)"/>
    <s v="1562RCF00947"/>
    <s v="6085"/>
    <s v="Fülöpszállás"/>
    <s v="Kiskunság tér 1."/>
    <s v="ok"/>
    <n v="2"/>
    <n v="2"/>
    <x v="7"/>
    <n v="1"/>
    <n v="1"/>
    <n v="1"/>
  </r>
  <r>
    <s v="MTB Magyar Takarékszövetkezeti Bank"/>
    <s v="S6T52505"/>
    <s v="OPT562 1GIG-DVD-UPS-LAN-A6-CEN3(4HIGH)"/>
    <s v="1562RCF00946"/>
    <s v="6200"/>
    <s v="Kiskőrös"/>
    <s v="Petőfi tér 1."/>
    <s v="ok"/>
    <n v="2"/>
    <n v="2"/>
    <x v="7"/>
    <n v="1"/>
    <n v="1"/>
    <n v="1"/>
  </r>
  <r>
    <s v="MTB Magyar Takarékszövetkezeti Bank"/>
    <s v="S6T52506"/>
    <s v="OPT562 1GIG-DVD-UPS-LAN-A6-CEN3(4HIGH)"/>
    <s v="1562RCF00949"/>
    <s v="6237"/>
    <s v="Kecel"/>
    <s v="Fő tér 8."/>
    <s v="ok"/>
    <n v="2"/>
    <n v="2"/>
    <x v="7"/>
    <n v="1"/>
    <n v="1"/>
    <n v="1"/>
  </r>
  <r>
    <s v="MTB Magyar Takarékszövetkezeti Bank"/>
    <s v="S6T52507"/>
    <s v="OPT562 1GIG-DVD-UPS-LAN-A6-CEN3(4HIGH)"/>
    <s v="1562RH131985"/>
    <s v="6222"/>
    <s v="Csengőd"/>
    <s v="Dózsa György út 69."/>
    <s v="ok"/>
    <n v="2"/>
    <n v="2"/>
    <x v="7"/>
    <n v="1"/>
    <n v="1"/>
    <n v="1"/>
  </r>
  <r>
    <s v="MTB Magyar Takarékszövetkezeti Bank"/>
    <s v="S6T52508"/>
    <s v="OPT562 1GIG-DVD-UPS-LAN-A6-CEN3(4HIGH)"/>
    <s v="1562RH144919"/>
    <s v="6239"/>
    <s v="Császártöltés"/>
    <s v="Bajai utca 1."/>
    <s v="ok"/>
    <n v="2"/>
    <n v="0"/>
    <x v="7"/>
    <e v="#N/A"/>
    <n v="0"/>
    <n v="0"/>
  </r>
  <r>
    <s v="MTB Magyar Takarékszövetkezeti Bank"/>
    <s v="S6T52509"/>
    <s v="Diebold-Opteva 760 ATM Outdoor"/>
    <s v="1760RH131254"/>
    <s v="6070"/>
    <s v="Izsák"/>
    <s v="Szabadság tér 10."/>
    <s v="ok"/>
    <n v="2"/>
    <n v="2"/>
    <x v="7"/>
    <n v="1"/>
    <n v="1"/>
    <n v="1"/>
  </r>
  <r>
    <s v="MTB Magyar Takarékszövetkezeti Bank"/>
    <s v="S6T52510"/>
    <s v="ProCash 2050"/>
    <s v="XXS6T52510"/>
    <s v="6076"/>
    <s v="Ágasegyháza"/>
    <s v="Rákóczi út 66."/>
    <s v="ok"/>
    <n v="2"/>
    <n v="2"/>
    <x v="7"/>
    <e v="#N/A"/>
    <n v="0"/>
    <n v="2"/>
  </r>
  <r>
    <s v="MTB Magyar Takarékszövetkezeti Bank"/>
    <s v="S6T52511"/>
    <s v="Diebold-Opteva 760 ATM Outdoor"/>
    <s v="1760R3320139"/>
    <s v="6075"/>
    <s v="Páhi"/>
    <s v="Rákóczi utca 46."/>
    <s v="ok"/>
    <n v="2"/>
    <n v="2"/>
    <x v="7"/>
    <n v="1"/>
    <n v="1"/>
    <n v="1"/>
  </r>
  <r>
    <s v="MTB Magyar Takarékszövetkezeti Bank"/>
    <s v="S6T52512"/>
    <s v="OPT562 1GIG-DVD-UPS-LAN-A6-CEN3(4HIGH)"/>
    <s v="1562R3301389"/>
    <s v="6224"/>
    <s v="Tabdi"/>
    <s v="Vasút utca 3."/>
    <s v="ok"/>
    <n v="2"/>
    <n v="2"/>
    <x v="7"/>
    <n v="1"/>
    <n v="1"/>
    <n v="1"/>
  </r>
  <r>
    <s v="MTB Magyar Takarékszövetkezeti Bank"/>
    <s v="S6T52513"/>
    <s v="Diebold-Opteva 760 ATM Outdoor"/>
    <s v="1760RH131253"/>
    <s v="6221"/>
    <s v="Akasztó"/>
    <s v="Fő u. 53."/>
    <s v="ok"/>
    <n v="2"/>
    <n v="2"/>
    <x v="7"/>
    <n v="1"/>
    <n v="1"/>
    <n v="1"/>
  </r>
  <r>
    <s v="MTB Magyar Takarékszövetkezeti Bank"/>
    <s v="S6T52802"/>
    <s v="OPT562 1GIG-DVD-UPS-LAN-A6-CEN3(4HIGH)"/>
    <s v="1562RH139004"/>
    <s v="6090"/>
    <s v="Kunszentmiklós"/>
    <s v="Kálvin tér 11."/>
    <s v="ok"/>
    <n v="2"/>
    <n v="2"/>
    <x v="15"/>
    <n v="1"/>
    <n v="1"/>
    <n v="1"/>
  </r>
  <r>
    <s v="MTB Magyar Takarékszövetkezeti Bank"/>
    <s v="S6T52803"/>
    <s v="OPT562 1GIG-DVD-UPS-LAN-A6-CEN3(4HIGH)"/>
    <s v="1562RH132666"/>
    <s v="6098"/>
    <s v="Tass"/>
    <s v="Széchenyi krt. 75."/>
    <s v="ok"/>
    <n v="2"/>
    <n v="2"/>
    <x v="15"/>
    <n v="1"/>
    <n v="1"/>
    <n v="1"/>
  </r>
  <r>
    <s v="MTB Magyar Takarékszövetkezeti Bank"/>
    <s v="S6T53101"/>
    <s v="OPT562 1GIG-DVD-UPS-LAN-A6-CEN3(4HIGH)"/>
    <s v="1562RH145158"/>
    <s v="6423"/>
    <s v="Kelebia"/>
    <s v="Ady E. u. 1321."/>
    <s v="ok"/>
    <n v="2"/>
    <n v="2"/>
    <x v="7"/>
    <e v="#N/A"/>
    <n v="0"/>
    <n v="2"/>
  </r>
  <r>
    <s v="MTB Magyar Takarékszövetkezeti Bank"/>
    <s v="S6T53203"/>
    <s v="ProCash 2150"/>
    <s v="6100692461"/>
    <s v="5502"/>
    <s v="Gyomaendrőd"/>
    <s v="Blaha u. 5."/>
    <s v="ok"/>
    <n v="2"/>
    <n v="2"/>
    <x v="11"/>
    <n v="1"/>
    <n v="1"/>
    <n v="1"/>
  </r>
  <r>
    <s v="MTB Magyar Takarékszövetkezeti Bank"/>
    <s v="S6T53205"/>
    <s v="ProCash 2150xe"/>
    <s v="5300248392"/>
    <s v="5650"/>
    <s v="Mezőberény"/>
    <s v="Békési út 6."/>
    <s v="ok"/>
    <n v="2"/>
    <n v="2"/>
    <x v="11"/>
    <n v="1"/>
    <n v="1"/>
    <n v="1"/>
  </r>
  <r>
    <s v="MTB Magyar Takarékszövetkezeti Bank"/>
    <s v="S6T53206"/>
    <s v="ProCash 2150"/>
    <s v="6101079234"/>
    <s v="5622"/>
    <s v="Köröstarcsa"/>
    <s v="Kossuth u. 17."/>
    <s v="ok"/>
    <n v="2"/>
    <n v="2"/>
    <x v="11"/>
    <n v="1"/>
    <n v="1"/>
    <n v="1"/>
  </r>
  <r>
    <s v="MTB Magyar Takarékszövetkezeti Bank"/>
    <s v="S6T53207"/>
    <s v="ProCash 2150"/>
    <s v="6100783713"/>
    <s v="5643"/>
    <s v="Bélmegyer"/>
    <s v="Petőfi u. 21."/>
    <s v="ok"/>
    <n v="2"/>
    <n v="2"/>
    <x v="3"/>
    <n v="1"/>
    <n v="1"/>
    <n v="1"/>
  </r>
  <r>
    <s v="MTB Magyar Takarékszövetkezeti Bank"/>
    <s v="S6T53208"/>
    <s v="ProCash 2100xe USB Rearload"/>
    <s v="5300377755"/>
    <s v="5672"/>
    <s v="Murony"/>
    <s v="Szarvasi u. 20."/>
    <s v="ok"/>
    <n v="2"/>
    <n v="2"/>
    <x v="3"/>
    <n v="1"/>
    <n v="1"/>
    <n v="1"/>
  </r>
  <r>
    <s v="MTB Magyar Takarékszövetkezeti Bank"/>
    <s v="S6T53209"/>
    <s v="ProCash 2150xe USB"/>
    <s v="5300415927"/>
    <s v="5555"/>
    <s v="Hunya"/>
    <s v="Rákóczi u. 6."/>
    <s v="ok"/>
    <n v="2"/>
    <n v="2"/>
    <x v="11"/>
    <n v="1"/>
    <n v="1"/>
    <n v="1"/>
  </r>
  <r>
    <s v="MTB Magyar Takarékszövetkezeti Bank"/>
    <s v="S6T53302"/>
    <s v="ProCash 2150xe"/>
    <s v="XXS6T53302"/>
    <s v="5932"/>
    <s v="Gádoros"/>
    <s v="Nagy u. 63."/>
    <s v="ok"/>
    <n v="2"/>
    <n v="2"/>
    <x v="3"/>
    <n v="1"/>
    <n v="1"/>
    <n v="1"/>
  </r>
  <r>
    <s v="MTB Magyar Takarékszövetkezeti Bank"/>
    <s v="S6T53303"/>
    <s v="ProCash 2150xe"/>
    <s v="5300145145"/>
    <s v="5940"/>
    <s v="Tótkomlós"/>
    <s v="Kossuth u. 1."/>
    <s v="ok"/>
    <n v="2"/>
    <n v="2"/>
    <x v="3"/>
    <n v="1"/>
    <n v="1"/>
    <n v="1"/>
  </r>
  <r>
    <s v="MTB Magyar Takarékszövetkezeti Bank"/>
    <s v="S6T53304"/>
    <s v="ProCash 2150xe"/>
    <s v="5300222546"/>
    <s v="5931"/>
    <s v="Nagyszénás"/>
    <s v="Hősök u. 2/A"/>
    <s v="ok"/>
    <n v="2"/>
    <n v="2"/>
    <x v="3"/>
    <n v="1"/>
    <n v="1"/>
    <n v="1"/>
  </r>
  <r>
    <s v="MTB Magyar Takarékszövetkezeti Bank"/>
    <s v="S6T53305"/>
    <s v="ProCash 1500xe RL USB"/>
    <s v="5300466341"/>
    <s v="5675"/>
    <s v="Telekgerendás"/>
    <s v="Ady u. 18/1."/>
    <s v="ok"/>
    <n v="2"/>
    <n v="2"/>
    <x v="3"/>
    <n v="1"/>
    <n v="1"/>
    <n v="1"/>
  </r>
  <r>
    <s v="MTB Magyar Takarékszövetkezeti Bank"/>
    <s v="S6T53306"/>
    <s v="ProCash 2150xe"/>
    <s v="5300249974"/>
    <s v="5662"/>
    <s v="Csanádapáca"/>
    <s v="Batthyány u. 3."/>
    <s v="ok"/>
    <n v="2"/>
    <n v="2"/>
    <x v="3"/>
    <n v="1"/>
    <n v="1"/>
    <n v="1"/>
  </r>
  <r>
    <s v="MTB Magyar Takarékszövetkezeti Bank"/>
    <s v="S6T53307"/>
    <s v="ProCash 1500xe RL USB"/>
    <s v="5300358124"/>
    <s v="5920"/>
    <s v="Csorvás"/>
    <s v="Rákóczi u. 1."/>
    <s v="ok"/>
    <n v="2"/>
    <n v="2"/>
    <x v="3"/>
    <e v="#N/A"/>
    <n v="0"/>
    <n v="2"/>
  </r>
  <r>
    <s v="MTB Magyar Takarékszövetkezeti Bank"/>
    <s v="S6T53308"/>
    <s v="ProCash 2150xe"/>
    <s v="5300162360"/>
    <s v="5946"/>
    <s v="Békéssámson"/>
    <s v="Szabadság u. 66."/>
    <s v="ok"/>
    <n v="2"/>
    <n v="2"/>
    <x v="3"/>
    <n v="1"/>
    <n v="1"/>
    <n v="1"/>
  </r>
  <r>
    <s v="MTB Magyar Takarékszövetkezeti Bank"/>
    <s v="S6T53312"/>
    <s v="OPT562 1GIG-DVD-UPS-LAN-A6-CEN3(4HIGH)"/>
    <s v="1562RH127792"/>
    <s v="5600"/>
    <s v="Békéscsaba"/>
    <s v="Andrássy út 29-33."/>
    <s v="ok"/>
    <n v="2"/>
    <n v="2"/>
    <x v="3"/>
    <n v="1"/>
    <n v="1"/>
    <n v="1"/>
  </r>
  <r>
    <s v="MTB Magyar Takarékszövetkezeti Bank"/>
    <s v="S6T53601"/>
    <s v="ProCash 2150xe"/>
    <s v="5300166949"/>
    <s v="5700"/>
    <s v="Gyula"/>
    <s v="Városház utca 23."/>
    <s v="ok"/>
    <n v="2"/>
    <n v="2"/>
    <x v="3"/>
    <n v="1"/>
    <n v="1"/>
    <n v="1"/>
  </r>
  <r>
    <s v="MTB Magyar Takarékszövetkezeti Bank"/>
    <s v="S6T53701"/>
    <s v="Diebold-Opteva 562r 3 High-Standard ATM"/>
    <s v="562RRH100023"/>
    <s v="5553"/>
    <s v="Kondoros"/>
    <s v="Csabai út 14."/>
    <s v="ok"/>
    <n v="2"/>
    <n v="2"/>
    <x v="3"/>
    <e v="#N/A"/>
    <n v="0"/>
    <n v="2"/>
  </r>
  <r>
    <s v="MTB Magyar Takarékszövetkezeti Bank"/>
    <s v="S6T53702"/>
    <s v="Diebold-Opteva 760 ATM Outdoor"/>
    <s v="1760RCF00640"/>
    <s v="5600"/>
    <s v="Békéscsaba"/>
    <s v="Orosházi út 47."/>
    <s v="ok"/>
    <n v="2"/>
    <n v="2"/>
    <x v="3"/>
    <n v="1"/>
    <n v="1"/>
    <n v="1"/>
  </r>
  <r>
    <s v="MTB Magyar Takarékszövetkezeti Bank"/>
    <s v="S6T53704"/>
    <s v="OPT562 1GIG-DVD-UPS-LAN-A6-CEN3(4HIGH)"/>
    <s v="1562RH133132"/>
    <s v="5600"/>
    <s v="Békéscsaba"/>
    <s v="Lencsési út 42."/>
    <s v="ok"/>
    <n v="2"/>
    <n v="2"/>
    <x v="3"/>
    <e v="#N/A"/>
    <n v="0"/>
    <n v="2"/>
  </r>
  <r>
    <s v="MTB Magyar Takarékszövetkezeti Bank"/>
    <s v="S6T54008"/>
    <s v="OPT562 1GIG-DVD-UPS-LAN-A6-CEN3(4HIGH)"/>
    <s v="1562RH144917"/>
    <s v="5567"/>
    <s v="Zsadány"/>
    <s v="Béke utca 92."/>
    <s v="ok"/>
    <n v="2"/>
    <n v="2"/>
    <x v="16"/>
    <n v="1"/>
    <n v="1"/>
    <n v="1"/>
  </r>
  <r>
    <s v="MTB Magyar Takarékszövetkezeti Bank"/>
    <s v="S6T54201"/>
    <s v="ProCash 2050xe USB"/>
    <s v="5300827421"/>
    <s v="3412"/>
    <s v="Bogács"/>
    <s v="Táncsics út 2."/>
    <s v="ok"/>
    <n v="2"/>
    <n v="2"/>
    <x v="2"/>
    <n v="1"/>
    <n v="1"/>
    <n v="1"/>
  </r>
  <r>
    <s v="MTB Magyar Takarékszövetkezeti Bank"/>
    <s v="S6T54202"/>
    <s v="ProCash 2050xe"/>
    <s v="5300272280"/>
    <s v="3433"/>
    <s v="Nyékládháza"/>
    <s v="Kossuth út 59."/>
    <s v="ok"/>
    <n v="2"/>
    <n v="2"/>
    <x v="2"/>
    <n v="1"/>
    <n v="1"/>
    <n v="1"/>
  </r>
  <r>
    <s v="MTB Magyar Takarékszövetkezeti Bank"/>
    <s v="S6T54203"/>
    <s v="ProCash 2050xe"/>
    <s v="5300209265"/>
    <s v="3450"/>
    <s v="Mezőcsát"/>
    <s v="Kossuth út 7."/>
    <s v="ok"/>
    <n v="2"/>
    <n v="2"/>
    <x v="2"/>
    <n v="1"/>
    <n v="1"/>
    <n v="1"/>
  </r>
  <r>
    <s v="MTB Magyar Takarékszövetkezeti Bank"/>
    <s v="S6T54204"/>
    <s v="ProCash 2050xe USB"/>
    <s v="5300818926"/>
    <s v="3594"/>
    <s v="Hejőpapi"/>
    <s v="Kossuth út 93."/>
    <s v="ok"/>
    <n v="2"/>
    <n v="2"/>
    <x v="2"/>
    <n v="1"/>
    <n v="1"/>
    <n v="1"/>
  </r>
  <r>
    <s v="MTB Magyar Takarékszövetkezeti Bank"/>
    <s v="S6T54205"/>
    <s v="ProCash 2050xe USB"/>
    <s v="5300819008"/>
    <s v="3458"/>
    <s v="Tiszakeszi"/>
    <s v="Községház út 38."/>
    <s v="ok"/>
    <n v="2"/>
    <n v="2"/>
    <x v="2"/>
    <n v="1"/>
    <n v="1"/>
    <n v="1"/>
  </r>
  <r>
    <s v="MTB Magyar Takarékszövetkezeti Bank"/>
    <s v="S6T54304"/>
    <s v="ProCash 2150xe"/>
    <s v="XXS6T54304"/>
    <s v="3794"/>
    <s v="Boldva"/>
    <s v="Mátyás kir. u. 76."/>
    <s v="ok"/>
    <n v="2"/>
    <n v="2"/>
    <x v="2"/>
    <n v="1"/>
    <n v="1"/>
    <n v="1"/>
  </r>
  <r>
    <s v="MTB Magyar Takarékszövetkezeti Bank"/>
    <s v="S6T54305"/>
    <s v="ProCash 2150xe"/>
    <s v="5300214620"/>
    <s v="3786"/>
    <s v="Lak"/>
    <s v="Kossuth u. 1/c."/>
    <s v="ok"/>
    <n v="2"/>
    <n v="2"/>
    <x v="2"/>
    <n v="1"/>
    <n v="1"/>
    <n v="1"/>
  </r>
  <r>
    <s v="MTB Magyar Takarékszövetkezeti Bank"/>
    <s v="S6T54306"/>
    <s v="ProCash 2150xe"/>
    <s v="5300214619"/>
    <s v="3796"/>
    <s v="Borsodszirák"/>
    <s v="Fő u. 16."/>
    <s v="ok"/>
    <n v="2"/>
    <n v="2"/>
    <x v="2"/>
    <n v="1"/>
    <n v="1"/>
    <n v="1"/>
  </r>
  <r>
    <s v="MTB Magyar Takarékszövetkezeti Bank"/>
    <s v="S6T54501"/>
    <s v="ProCash 2050xe USB"/>
    <s v="5300824368"/>
    <s v="3561"/>
    <s v="Felsőzsolca"/>
    <s v="Kassai út 28."/>
    <s v="ok"/>
    <n v="2"/>
    <n v="2"/>
    <x v="2"/>
    <n v="1"/>
    <n v="1"/>
    <n v="1"/>
  </r>
  <r>
    <s v="MTB Magyar Takarékszövetkezeti Bank"/>
    <s v="S6T54502"/>
    <s v="ProCash 2150xe"/>
    <s v="5300095397"/>
    <s v="3525"/>
    <s v="Miskolc"/>
    <s v="Széchenyi u. 70."/>
    <s v="ok"/>
    <n v="2"/>
    <n v="2"/>
    <x v="2"/>
    <e v="#N/A"/>
    <n v="0"/>
    <n v="2"/>
  </r>
  <r>
    <s v="MTB Magyar Takarékszövetkezeti Bank"/>
    <s v="S6T54503"/>
    <s v="ProCash 2150xe"/>
    <s v="5300129569"/>
    <s v="3564"/>
    <s v="Hernádnémeti"/>
    <s v="Bajcsy-Zs. u. 1."/>
    <s v="ok"/>
    <n v="2"/>
    <n v="2"/>
    <x v="2"/>
    <n v="1"/>
    <n v="1"/>
    <n v="1"/>
  </r>
  <r>
    <s v="MTB Magyar Takarékszövetkezeti Bank"/>
    <s v="S6T54504"/>
    <s v="ProCash 2150xe"/>
    <s v="5300249865"/>
    <s v="3571"/>
    <s v="Alsózsolca"/>
    <s v="Kossuth u. 121."/>
    <s v="ok"/>
    <n v="2"/>
    <n v="2"/>
    <x v="2"/>
    <n v="1"/>
    <n v="1"/>
    <n v="1"/>
  </r>
  <r>
    <s v="MTB Magyar Takarékszövetkezeti Bank"/>
    <s v="S6T54505"/>
    <s v="ProCash 2050xe"/>
    <s v="5300187254"/>
    <s v="3711"/>
    <s v="Szirmabesenyő"/>
    <s v="Mátyás király út 9."/>
    <s v="ok"/>
    <n v="2"/>
    <n v="2"/>
    <x v="2"/>
    <n v="1"/>
    <n v="1"/>
    <n v="1"/>
  </r>
  <r>
    <s v="MTB Magyar Takarékszövetkezeti Bank"/>
    <s v="S6T54506"/>
    <s v="ProCash 2150xe"/>
    <s v="5300107804"/>
    <s v="3770"/>
    <s v="Sajószentpéter"/>
    <s v="Kossuth L. út 179"/>
    <s v="ok"/>
    <n v="2"/>
    <n v="2"/>
    <x v="2"/>
    <n v="1"/>
    <n v="1"/>
    <n v="1"/>
  </r>
  <r>
    <s v="MTB Magyar Takarékszövetkezeti Bank"/>
    <s v="S6T54508"/>
    <s v="OPT562 1GIG-DVD-UPS-LAN-A6-CEN3(4HIGH)"/>
    <s v="1562RH159124"/>
    <s v="3500"/>
    <s v="Miskolc"/>
    <s v="Széchenyi u. 70."/>
    <s v="ok"/>
    <n v="2"/>
    <n v="2"/>
    <x v="2"/>
    <e v="#N/A"/>
    <n v="0"/>
    <n v="2"/>
  </r>
  <r>
    <s v="MTB Magyar Takarékszövetkezeti Bank"/>
    <s v="S6T54601"/>
    <s v="ProCash 2050xe"/>
    <s v="5300486156"/>
    <s v="3812"/>
    <s v="Homrogd"/>
    <s v="Kossuth út 125."/>
    <s v="ok"/>
    <n v="2"/>
    <n v="2"/>
    <x v="2"/>
    <n v="1"/>
    <n v="1"/>
    <n v="1"/>
  </r>
  <r>
    <s v="MTB Magyar Takarékszövetkezeti Bank"/>
    <s v="S6T54602"/>
    <s v="ProCash 2050xe"/>
    <s v="5300249939"/>
    <s v="3849"/>
    <s v="Forró"/>
    <s v="Fő út 58."/>
    <s v="ok"/>
    <n v="2"/>
    <n v="2"/>
    <x v="2"/>
    <e v="#N/A"/>
    <n v="0"/>
    <n v="2"/>
  </r>
  <r>
    <s v="MTB Magyar Takarékszövetkezeti Bank"/>
    <s v="S6T54603"/>
    <s v="ProCash 2050xe"/>
    <s v="5300486146"/>
    <s v="3851"/>
    <s v="Ináncs"/>
    <s v="Rákóczi út 1/a"/>
    <s v="ok"/>
    <n v="2"/>
    <n v="2"/>
    <x v="2"/>
    <n v="1"/>
    <n v="1"/>
    <n v="1"/>
  </r>
  <r>
    <s v="MTB Magyar Takarékszövetkezeti Bank"/>
    <s v="S6T54604"/>
    <s v="CSC/450 system"/>
    <s v="5300071595"/>
    <s v="3821"/>
    <s v="Krasznokvajda"/>
    <s v="Petőfi út 11."/>
    <s v="ok"/>
    <n v="2"/>
    <n v="2"/>
    <x v="2"/>
    <n v="1"/>
    <n v="1"/>
    <n v="1"/>
  </r>
  <r>
    <s v="MTB Magyar Takarékszövetkezeti Bank"/>
    <s v="S6T54606"/>
    <s v="ProCash 2050xe"/>
    <s v="5300249958"/>
    <s v="3842"/>
    <s v="Halmaj"/>
    <s v="Fő út 8."/>
    <s v="ok"/>
    <n v="2"/>
    <n v="2"/>
    <x v="2"/>
    <n v="1"/>
    <n v="1"/>
    <n v="1"/>
  </r>
  <r>
    <s v="MTB Magyar Takarékszövetkezeti Bank"/>
    <s v="S6T54607"/>
    <s v="ProCash 2050xe"/>
    <s v="5300249957"/>
    <s v="3800"/>
    <s v="Szikszó"/>
    <s v="Bolt út 26."/>
    <s v="ok"/>
    <n v="2"/>
    <n v="2"/>
    <x v="2"/>
    <n v="1"/>
    <n v="1"/>
    <n v="1"/>
  </r>
  <r>
    <s v="MTB Magyar Takarékszövetkezeti Bank"/>
    <s v="S6T54608"/>
    <s v="CSC/450 system"/>
    <s v="SSB3212996"/>
    <s v="3814"/>
    <s v="Felsővadász"/>
    <s v="Dózsa Gy. út 15."/>
    <s v="ok"/>
    <n v="2"/>
    <n v="2"/>
    <x v="2"/>
    <n v="1"/>
    <n v="1"/>
    <n v="1"/>
  </r>
  <r>
    <s v="MTB Magyar Takarékszövetkezeti Bank"/>
    <s v="S6T54609"/>
    <s v="ProCash 2050xe"/>
    <s v="5300328653"/>
    <s v="3860"/>
    <s v="Encs"/>
    <s v="Petőfi Sándor út 22."/>
    <s v="ok"/>
    <n v="2"/>
    <n v="2"/>
    <x v="2"/>
    <n v="1"/>
    <n v="1"/>
    <n v="1"/>
  </r>
  <r>
    <s v="MTB Magyar Takarékszövetkezeti Bank"/>
    <s v="S6T54610"/>
    <s v="ProCash 2050xe"/>
    <s v="NR6101299709"/>
    <s v="3895"/>
    <s v="Gönc"/>
    <s v="Kossuth utca 44."/>
    <s v="ok"/>
    <n v="2"/>
    <n v="2"/>
    <x v="2"/>
    <n v="1"/>
    <n v="1"/>
    <n v="1"/>
  </r>
  <r>
    <s v="MTB Magyar Takarékszövetkezeti Bank"/>
    <s v="S6T54612"/>
    <s v="ProCash 2050xe"/>
    <s v="5300497326"/>
    <s v="3876"/>
    <s v="Hidasnémeti"/>
    <s v="Kassai út 47."/>
    <s v="ok"/>
    <n v="2"/>
    <n v="2"/>
    <x v="2"/>
    <n v="1"/>
    <n v="1"/>
    <n v="1"/>
  </r>
  <r>
    <s v="MTB Magyar Takarékszövetkezeti Bank"/>
    <s v="S6T54613"/>
    <s v="ProCash 2050xe"/>
    <s v="5300497445"/>
    <s v="3872"/>
    <s v="Novajidrány"/>
    <s v="Kossuth Lajos utca 56."/>
    <s v="ok"/>
    <n v="2"/>
    <n v="2"/>
    <x v="2"/>
    <n v="1"/>
    <n v="1"/>
    <n v="1"/>
  </r>
  <r>
    <s v="MTB Magyar Takarékszövetkezeti Bank"/>
    <s v="S6T54614"/>
    <s v="ProCash 2050xe"/>
    <s v="XXS6T54614"/>
    <s v="3896"/>
    <s v="Telkibánya"/>
    <s v="Petőfi Sándor út 3."/>
    <s v="ok"/>
    <n v="2"/>
    <n v="2"/>
    <x v="2"/>
    <n v="1"/>
    <n v="1"/>
    <n v="1"/>
  </r>
  <r>
    <s v="MTB Magyar Takarékszövetkezeti Bank"/>
    <s v="S6T54616"/>
    <s v="OPT562 1GIG-DVD-UPS-LAN-A6-CEN3(4HIGH)"/>
    <s v="1562RH141910"/>
    <s v="3973"/>
    <s v="Cigánd"/>
    <s v="Fő út 75."/>
    <s v="ok"/>
    <n v="2"/>
    <n v="2"/>
    <x v="1"/>
    <n v="1"/>
    <n v="1"/>
    <n v="1"/>
  </r>
  <r>
    <s v="MTB Magyar Takarékszövetkezeti Bank"/>
    <s v="S6T54617"/>
    <s v="OPT562 1GIG-DVD-UPS-LAN-A6-CEN3(4HIGH)"/>
    <s v="1562RH141911"/>
    <s v="3963"/>
    <s v="Karcsa"/>
    <s v="Táncsics út 51."/>
    <s v="ok"/>
    <n v="2"/>
    <n v="0"/>
    <x v="1"/>
    <e v="#N/A"/>
    <n v="0"/>
    <n v="0"/>
  </r>
  <r>
    <s v="MTB Magyar Takarékszövetkezeti Bank"/>
    <s v="S6T54618"/>
    <s v="OPT562 1GIG-DVD-UPS-LAN-A6-CEN3(4HIGH)"/>
    <s v="1562RH127793"/>
    <s v="3932"/>
    <s v="Erdőbénye"/>
    <s v="Kossuth u. 17."/>
    <s v="ok"/>
    <n v="2"/>
    <n v="2"/>
    <x v="1"/>
    <n v="1"/>
    <n v="1"/>
    <n v="1"/>
  </r>
  <r>
    <s v="MTB Magyar Takarékszövetkezeti Bank"/>
    <s v="S6T54619"/>
    <s v="OPT562 1GIG-DVD-UPS-LAN-A6-CEN3(4HIGH)"/>
    <s v="1562RH147066"/>
    <s v="3933"/>
    <s v="Olaszliszka"/>
    <s v="Szent István u. 7."/>
    <s v="ok"/>
    <n v="2"/>
    <n v="2"/>
    <x v="1"/>
    <n v="1"/>
    <n v="1"/>
    <n v="1"/>
  </r>
  <r>
    <s v="MTB Magyar Takarékszövetkezeti Bank"/>
    <s v="S6T54620"/>
    <s v="OPT562 1GIG-DVD-UPS-LAN-A6-CEN3(4HIGH)"/>
    <s v="1562R3320561"/>
    <s v="3971"/>
    <s v="Tiszakarád"/>
    <s v="Dózsa tér 2."/>
    <s v="ok"/>
    <n v="2"/>
    <n v="2"/>
    <x v="1"/>
    <n v="1"/>
    <n v="1"/>
    <n v="1"/>
  </r>
  <r>
    <s v="MTB Magyar Takarékszövetkezeti Bank"/>
    <s v="S6T54621"/>
    <s v="OPT562 1GIG-DVD-UPS-LAN-A6-CEN3(4HIGH)"/>
    <s v="1562RH127742"/>
    <s v="3934"/>
    <s v="Tolcsva"/>
    <s v="Szabadság tér 6."/>
    <s v="ok"/>
    <n v="2"/>
    <n v="2"/>
    <x v="1"/>
    <n v="1"/>
    <n v="1"/>
    <n v="1"/>
  </r>
  <r>
    <s v="MTB Magyar Takarékszövetkezeti Bank"/>
    <s v="S6T54622"/>
    <s v="OPT562 1GIG-DVD-UPS-LAN-A6-CEN3(4HIGH)"/>
    <s v="1562RH127781"/>
    <s v="3955"/>
    <s v="Kenézlő"/>
    <s v="Nagyváradi u. 31."/>
    <s v="ok"/>
    <n v="2"/>
    <n v="2"/>
    <x v="1"/>
    <n v="1"/>
    <n v="1"/>
    <n v="1"/>
  </r>
  <r>
    <s v="MTB Magyar Takarékszövetkezeti Bank"/>
    <s v="S6T54623"/>
    <s v="OPT562 1GIG-DVD-UPS-LAN-A6-CEN3(4HIGH)"/>
    <s v="1562RH131285"/>
    <s v="3987"/>
    <s v="Bodroghalom"/>
    <s v="Szabadság út 118."/>
    <s v="ok"/>
    <n v="2"/>
    <n v="2"/>
    <x v="1"/>
    <n v="1"/>
    <n v="1"/>
    <n v="1"/>
  </r>
  <r>
    <s v="MTB Magyar Takarékszövetkezeti Bank"/>
    <s v="S6T54626"/>
    <s v="OPT562 1GIG-DVD-UPS-LAN-A6-CEN3(4HIGH)"/>
    <s v="1562RH136371"/>
    <s v="3916"/>
    <s v="Bodrogkeresztúr"/>
    <s v="Kossuth utca 55."/>
    <s v="ok"/>
    <n v="2"/>
    <n v="2"/>
    <x v="1"/>
    <n v="1"/>
    <n v="1"/>
    <n v="1"/>
  </r>
  <r>
    <s v="MTB Magyar Takarékszövetkezeti Bank"/>
    <s v="S6T54627"/>
    <s v="Diebold-Opteva 560 ATM Outdoor"/>
    <s v="1560R3302881"/>
    <s v="1117"/>
    <s v="Budapest"/>
    <s v="Tétényi út 13."/>
    <s v="ok"/>
    <n v="2"/>
    <n v="2"/>
    <x v="17"/>
    <n v="1"/>
    <n v="1"/>
    <n v="1"/>
  </r>
  <r>
    <s v="MTB Magyar Takarékszövetkezeti Bank"/>
    <s v="S6T54628"/>
    <s v="Diebold-Opteva 560 ATM Outdoor"/>
    <s v="1560R3302880"/>
    <s v="3994"/>
    <s v="Pálháza"/>
    <s v="Dózsa György út 119."/>
    <s v="ok"/>
    <n v="2"/>
    <n v="2"/>
    <x v="1"/>
    <n v="1"/>
    <n v="1"/>
    <n v="1"/>
  </r>
  <r>
    <s v="MTB Magyar Takarékszövetkezeti Bank"/>
    <s v="S6T54629"/>
    <s v="OPT562 1GIG-DVD-UPS-LAN-A6-CEN3(4HIGH)"/>
    <s v="1562RH135484"/>
    <s v="3881"/>
    <s v="Abaújszántó"/>
    <s v="Béke út 32."/>
    <s v="ok"/>
    <n v="2"/>
    <n v="2"/>
    <x v="1"/>
    <n v="1"/>
    <n v="1"/>
    <n v="1"/>
  </r>
  <r>
    <s v="MTB Magyar Takarékszövetkezeti Bank"/>
    <s v="S6T55101"/>
    <s v="Diebold-Opteva 760 ATM Outdoor"/>
    <s v="1760RH123964"/>
    <s v="3400"/>
    <s v="Mezőkövesd"/>
    <s v="Mátyás király út 70."/>
    <s v="ok"/>
    <n v="2"/>
    <n v="2"/>
    <x v="2"/>
    <n v="1"/>
    <n v="1"/>
    <n v="1"/>
  </r>
  <r>
    <s v="MTB Magyar Takarékszövetkezeti Bank"/>
    <s v="S6T55103"/>
    <s v="OPT562 1GIG-DVD-UPS-LAN-A6-CEN3(4HIGH)"/>
    <s v="1562R3320091"/>
    <s v="3441"/>
    <s v="Mezőkeresztes"/>
    <s v="Dózsa Gy. u. 37."/>
    <s v="ok"/>
    <n v="2"/>
    <n v="2"/>
    <x v="2"/>
    <n v="1"/>
    <n v="1"/>
    <n v="1"/>
  </r>
  <r>
    <s v="MTB Magyar Takarékszövetkezeti Bank"/>
    <s v="S6T55104"/>
    <s v="CSC/450 system"/>
    <s v="XXS6T55104"/>
    <s v="3434"/>
    <s v="Mályi"/>
    <s v="Fő u. 18."/>
    <s v="ok"/>
    <n v="2"/>
    <n v="2"/>
    <x v="2"/>
    <n v="1"/>
    <n v="1"/>
    <n v="1"/>
  </r>
  <r>
    <s v="MTB Magyar Takarékszövetkezeti Bank"/>
    <s v="S6T55105"/>
    <s v="Diebold-Opteva 760 ATM Outdoor"/>
    <s v="1760RH125090"/>
    <s v="3530"/>
    <s v="Miskolc"/>
    <s v="Vörösmarty u. 43."/>
    <s v="ok"/>
    <n v="2"/>
    <n v="2"/>
    <x v="2"/>
    <n v="1"/>
    <n v="1"/>
    <n v="1"/>
  </r>
  <r>
    <s v="MTB Magyar Takarékszövetkezeti Bank"/>
    <s v="S6T55106"/>
    <s v="CSC/450 system"/>
    <s v="XXS6T55106"/>
    <s v="3422"/>
    <s v="Bükkábrány"/>
    <s v="Mátyás Király u. 15."/>
    <s v="ok"/>
    <n v="2"/>
    <n v="2"/>
    <x v="2"/>
    <n v="1"/>
    <n v="1"/>
    <n v="1"/>
  </r>
  <r>
    <s v="MTB Magyar Takarékszövetkezeti Bank"/>
    <s v="S6T55109"/>
    <s v="OPT562 1GIG-DVD-UPS-LAN-A6-CEN3(4HIGH)"/>
    <s v="1562R3320390"/>
    <s v="3418"/>
    <s v="Szentistván"/>
    <s v="Széchenyi út 10."/>
    <s v="ok"/>
    <n v="2"/>
    <n v="2"/>
    <x v="2"/>
    <n v="1"/>
    <n v="1"/>
    <n v="1"/>
  </r>
  <r>
    <s v="MTB Magyar Takarékszövetkezeti Bank"/>
    <s v="S6T55111"/>
    <s v="CSC/450 system"/>
    <s v="XXS6T55111"/>
    <s v="3462"/>
    <s v="Borsodivánka"/>
    <s v="Szabadság u. 4."/>
    <s v="ok"/>
    <n v="2"/>
    <n v="2"/>
    <x v="2"/>
    <e v="#N/A"/>
    <n v="0"/>
    <n v="2"/>
  </r>
  <r>
    <s v="MTB Magyar Takarékszövetkezeti Bank"/>
    <s v="S6T55112"/>
    <s v="Diebold-Opteva 760 ATM Outdoor"/>
    <s v="1760RCF00498"/>
    <s v="3431"/>
    <s v="Vatta"/>
    <s v="Szemere Bertalan u. 24."/>
    <s v="ok"/>
    <n v="2"/>
    <n v="2"/>
    <x v="2"/>
    <n v="1"/>
    <n v="1"/>
    <n v="1"/>
  </r>
  <r>
    <s v="MTB Magyar Takarékszövetkezeti Bank"/>
    <s v="S6T55113"/>
    <s v="OPT562 1GIG-DVD-UPS-LAN-A6-CEN3(4HIGH)"/>
    <s v="1562R3320092"/>
    <s v="3580"/>
    <s v="Tiszaújváros"/>
    <s v="Szent István u. 29/b"/>
    <s v="ok"/>
    <n v="2"/>
    <n v="2"/>
    <x v="2"/>
    <n v="1"/>
    <n v="1"/>
    <n v="1"/>
  </r>
  <r>
    <s v="MTB Magyar Takarékszövetkezeti Bank"/>
    <s v="S6T55114"/>
    <s v="ProCash 2050xe"/>
    <s v="5300118332"/>
    <s v="3500"/>
    <s v="Miskolc"/>
    <s v="Gutenberg u. 1."/>
    <s v="ok"/>
    <n v="2"/>
    <n v="2"/>
    <x v="2"/>
    <n v="1"/>
    <n v="1"/>
    <n v="1"/>
  </r>
  <r>
    <s v="MTB Magyar Takarékszövetkezeti Bank"/>
    <s v="S6T55401"/>
    <s v="ProCash 2050"/>
    <s v="6100785098"/>
    <s v="3600"/>
    <s v="Ózd"/>
    <s v="Brassói út 1."/>
    <s v="ok"/>
    <n v="2"/>
    <n v="2"/>
    <x v="2"/>
    <e v="#N/A"/>
    <n v="0"/>
    <n v="2"/>
  </r>
  <r>
    <s v="MTB Magyar Takarékszövetkezeti Bank"/>
    <s v="S6T55402"/>
    <s v="ProCash 2150xe"/>
    <s v="5300204194"/>
    <s v="3630"/>
    <s v="Putnok"/>
    <s v="Mohos sétány"/>
    <s v="ok"/>
    <n v="2"/>
    <n v="2"/>
    <x v="2"/>
    <n v="1"/>
    <n v="1"/>
    <n v="1"/>
  </r>
  <r>
    <s v="MTB Magyar Takarékszövetkezeti Bank"/>
    <s v="S6T55403"/>
    <s v="CSC/450 system"/>
    <s v="SSB3211077"/>
    <s v="3671"/>
    <s v="Borsodnádasd"/>
    <s v="Köztársaság u. 21."/>
    <s v="ok"/>
    <n v="2"/>
    <n v="2"/>
    <x v="2"/>
    <n v="1"/>
    <n v="1"/>
    <n v="1"/>
  </r>
  <r>
    <s v="MTB Magyar Takarékszövetkezeti Bank"/>
    <s v="S6T55404"/>
    <s v="ProCash 2150xe"/>
    <s v="5300204188"/>
    <s v="3533"/>
    <s v="Miskolc"/>
    <s v="Vasgyári út 3."/>
    <s v="ok"/>
    <n v="2"/>
    <n v="2"/>
    <x v="2"/>
    <n v="1"/>
    <n v="1"/>
    <n v="1"/>
  </r>
  <r>
    <s v="MTB Magyar Takarékszövetkezeti Bank"/>
    <s v="S6T55406"/>
    <s v="ProCash 2150xe"/>
    <s v="5300071668"/>
    <s v="3070"/>
    <s v="Bátonyterenye"/>
    <s v="Ózdi út 47."/>
    <s v="ok"/>
    <n v="2"/>
    <n v="2"/>
    <x v="6"/>
    <n v="1"/>
    <n v="1"/>
    <n v="1"/>
  </r>
  <r>
    <s v="MTB Magyar Takarékszövetkezeti Bank"/>
    <s v="S6T55407"/>
    <s v="ProCash 2150xe"/>
    <s v="5300071667"/>
    <s v="3041"/>
    <s v="Héhalom"/>
    <s v="Petőfi u. 7."/>
    <s v="ok"/>
    <n v="2"/>
    <n v="2"/>
    <x v="6"/>
    <n v="1"/>
    <n v="1"/>
    <n v="1"/>
  </r>
  <r>
    <s v="MTB Magyar Takarékszövetkezeti Bank"/>
    <s v="S6T55408"/>
    <s v="ProCash 2150xe"/>
    <s v="5300084505"/>
    <s v="3100"/>
    <s v="Salgótarján"/>
    <s v="Rákóczi út 53-55."/>
    <s v="ok"/>
    <n v="2"/>
    <n v="2"/>
    <x v="6"/>
    <e v="#N/A"/>
    <n v="0"/>
    <n v="2"/>
  </r>
  <r>
    <s v="MTB Magyar Takarékszövetkezeti Bank"/>
    <s v="S6T55410"/>
    <s v="ProCash 2150xe"/>
    <s v="5300162412"/>
    <s v="3182"/>
    <s v="Karancslapujtő"/>
    <s v="Rákóczi út 66."/>
    <s v="ok"/>
    <n v="2"/>
    <n v="2"/>
    <x v="6"/>
    <n v="1"/>
    <n v="1"/>
    <n v="1"/>
  </r>
  <r>
    <s v="MTB Magyar Takarékszövetkezeti Bank"/>
    <s v="S6T55411"/>
    <s v="ProCash 2050xe USB"/>
    <s v="5300611904"/>
    <s v="2688"/>
    <s v="Vanyarc"/>
    <s v="Sziráki út 1."/>
    <s v="ok"/>
    <n v="2"/>
    <n v="2"/>
    <x v="5"/>
    <n v="1"/>
    <n v="1"/>
    <n v="1"/>
  </r>
  <r>
    <s v="MTB Magyar Takarékszövetkezeti Bank"/>
    <s v="S6T55412"/>
    <s v="ProCash 2050xe USB"/>
    <s v="5300611790"/>
    <s v="3626"/>
    <s v="Hangony"/>
    <s v="Rákóczi út 71."/>
    <s v="ok"/>
    <n v="2"/>
    <n v="2"/>
    <x v="2"/>
    <e v="#N/A"/>
    <n v="0"/>
    <n v="2"/>
  </r>
  <r>
    <s v="MTB Magyar Takarékszövetkezeti Bank"/>
    <s v="S6T55413"/>
    <s v="ProCash 2050xe USB"/>
    <s v="5300611846"/>
    <s v="2191"/>
    <s v="Bag"/>
    <s v="Petőfi tér 14."/>
    <s v="ok"/>
    <n v="2"/>
    <n v="2"/>
    <x v="5"/>
    <n v="1"/>
    <n v="1"/>
    <n v="1"/>
  </r>
  <r>
    <s v="MTB Magyar Takarékszövetkezeti Bank"/>
    <s v="S6T55415"/>
    <s v="ProCash 2150xe"/>
    <s v="XXS6T55415"/>
    <s v="3100"/>
    <s v="Somoskőújfalu"/>
    <s v="Semmelweis út HRSZ.: 9877/1."/>
    <s v="ok"/>
    <n v="2"/>
    <n v="2"/>
    <x v="6"/>
    <e v="#N/A"/>
    <n v="0"/>
    <n v="2"/>
  </r>
  <r>
    <s v="MTB Magyar Takarékszövetkezeti Bank"/>
    <s v="S6T55601"/>
    <s v="ProCash 2150xe"/>
    <s v="5300249968"/>
    <s v="3733"/>
    <s v="Rudabánya"/>
    <s v="Petőfi út 8."/>
    <s v="ok"/>
    <n v="2"/>
    <n v="2"/>
    <x v="2"/>
    <e v="#N/A"/>
    <n v="0"/>
    <n v="2"/>
  </r>
  <r>
    <s v="MTB Magyar Takarékszövetkezeti Bank"/>
    <s v="S6T55602"/>
    <s v="Diebold-Opteva 560 ATM Outdoor"/>
    <s v="1560R3302993"/>
    <s v="3752"/>
    <s v="Szendrő"/>
    <s v="Hősök tere 2."/>
    <s v="ok"/>
    <n v="2"/>
    <n v="2"/>
    <x v="2"/>
    <e v="#N/A"/>
    <n v="0"/>
    <n v="2"/>
  </r>
  <r>
    <s v="MTB Magyar Takarékszövetkezeti Bank"/>
    <s v="S6T55603"/>
    <s v="Diebold-Opteva 560 ATM Outdoor"/>
    <s v="1560R3303609"/>
    <s v="3763"/>
    <s v="Bódvaszilas"/>
    <s v="Akácos u. 2/b"/>
    <s v="ok"/>
    <n v="2"/>
    <n v="2"/>
    <x v="2"/>
    <n v="1"/>
    <n v="1"/>
    <n v="1"/>
  </r>
  <r>
    <s v="MTB Magyar Takarékszövetkezeti Bank"/>
    <s v="S6T55801"/>
    <s v="ProCash 2150xe"/>
    <s v="5300316432"/>
    <s v="3909"/>
    <s v="Mád"/>
    <s v="Rákóczi u. 46."/>
    <s v="ok"/>
    <n v="2"/>
    <n v="2"/>
    <x v="1"/>
    <n v="1"/>
    <n v="1"/>
    <n v="1"/>
  </r>
  <r>
    <s v="MTB Magyar Takarékszövetkezeti Bank"/>
    <s v="S6T55802"/>
    <s v="ProCash 2150xe"/>
    <s v="5300316414"/>
    <s v="3915"/>
    <s v="Tarcal"/>
    <s v="Fő út 66."/>
    <s v="ok"/>
    <n v="2"/>
    <n v="2"/>
    <x v="1"/>
    <e v="#N/A"/>
    <n v="0"/>
    <n v="2"/>
  </r>
  <r>
    <s v="MTB Magyar Takarékszövetkezeti Bank"/>
    <s v="S6T55803"/>
    <s v="ProCash 2050xe USB"/>
    <s v="5300620561"/>
    <s v="3900"/>
    <s v="Szerencs"/>
    <s v="Rákóczi út 105."/>
    <s v="ok"/>
    <n v="2"/>
    <n v="2"/>
    <x v="1"/>
    <n v="1"/>
    <n v="1"/>
    <n v="1"/>
  </r>
  <r>
    <s v="MTB Magyar Takarékszövetkezeti Bank"/>
    <s v="S6T56801"/>
    <s v="ProCash 2050xe"/>
    <s v="XXS6T56801"/>
    <s v="6775"/>
    <s v="Kiszombor"/>
    <s v="József A. u. 1."/>
    <s v="ok"/>
    <n v="2"/>
    <n v="2"/>
    <x v="3"/>
    <n v="1"/>
    <n v="1"/>
    <n v="1"/>
  </r>
  <r>
    <s v="MTB Magyar Takarékszövetkezeti Bank"/>
    <s v="S6T56802"/>
    <s v="ProCash 2100"/>
    <s v="XXAS6T56802"/>
    <s v="6900"/>
    <s v="Makó"/>
    <s v="Úri u. 1."/>
    <s v="ok"/>
    <n v="2"/>
    <n v="2"/>
    <x v="3"/>
    <n v="1"/>
    <n v="1"/>
    <n v="1"/>
  </r>
  <r>
    <s v="MTB Magyar Takarékszövetkezeti Bank"/>
    <s v="S6T56803"/>
    <s v="Diebold-Opteva 720 ATM Indoor"/>
    <s v="1720FH120312"/>
    <s v="6921"/>
    <s v="Maroslele"/>
    <s v="Szabadság tér 1."/>
    <s v="ok"/>
    <n v="2"/>
    <n v="2"/>
    <x v="3"/>
    <n v="1"/>
    <n v="1"/>
    <n v="1"/>
  </r>
  <r>
    <s v="MTB Magyar Takarékszövetkezeti Bank"/>
    <s v="S6T56902"/>
    <s v="ProCash 1500"/>
    <s v="XXS6T56902"/>
    <s v="6753"/>
    <s v="Tápé"/>
    <s v="Budai Nagy Antal u. 27/c"/>
    <s v="ok"/>
    <n v="2"/>
    <n v="2"/>
    <x v="3"/>
    <n v="1"/>
    <n v="1"/>
    <n v="1"/>
  </r>
  <r>
    <s v="MTB Magyar Takarékszövetkezeti Bank"/>
    <s v="S6T56903"/>
    <s v="ProCash 2050"/>
    <s v="XXS6T56903"/>
    <s v="6781"/>
    <s v="Domaszék"/>
    <s v="Köztársaság tér 4."/>
    <s v="ok"/>
    <n v="2"/>
    <n v="2"/>
    <x v="3"/>
    <n v="1"/>
    <n v="1"/>
    <n v="1"/>
  </r>
  <r>
    <s v="MTB Magyar Takarékszövetkezeti Bank"/>
    <s v="S6T56904"/>
    <s v="ProCash 1500"/>
    <s v="XXS6T56904"/>
    <s v="6783"/>
    <s v="Ásotthalom"/>
    <s v="Szent István tér 2/a"/>
    <s v="ok"/>
    <n v="2"/>
    <n v="2"/>
    <x v="3"/>
    <n v="1"/>
    <n v="1"/>
    <n v="1"/>
  </r>
  <r>
    <s v="MTB Magyar Takarékszövetkezeti Bank"/>
    <s v="S6T56905"/>
    <s v="ProCash 2050"/>
    <s v="XXS6T56905"/>
    <s v="6787"/>
    <s v="Zákányszék"/>
    <s v="Szegfű J. u. 51/a"/>
    <s v="ok"/>
    <n v="2"/>
    <n v="2"/>
    <x v="3"/>
    <n v="1"/>
    <n v="1"/>
    <n v="1"/>
  </r>
  <r>
    <s v="MTB Magyar Takarékszövetkezeti Bank"/>
    <s v="S6T56906"/>
    <s v="ProCash 2150"/>
    <s v="XXS6T56906"/>
    <s v="6791"/>
    <s v="Kiskundorozsma"/>
    <s v="Dorozsmai út 196."/>
    <s v="ok"/>
    <n v="2"/>
    <n v="2"/>
    <x v="3"/>
    <n v="1"/>
    <n v="1"/>
    <n v="1"/>
  </r>
  <r>
    <s v="MTB Magyar Takarékszövetkezeti Bank"/>
    <s v="S6T56908"/>
    <s v="OPT562 1GIG-DVD-UPS-LAN-A6-CEN3(4HIGH)"/>
    <s v="1562RH153487"/>
    <s v="6931"/>
    <s v="Apátfalva"/>
    <s v="Hunyadi utca 18."/>
    <s v="ok"/>
    <n v="2"/>
    <n v="2"/>
    <x v="3"/>
    <n v="1"/>
    <n v="1"/>
    <n v="1"/>
  </r>
  <r>
    <s v="MTB Magyar Takarékszövetkezeti Bank"/>
    <s v="S6T56909"/>
    <s v="ProCash 285"/>
    <s v="56DY300026"/>
    <s v="6728"/>
    <s v="Szeged"/>
    <s v="Kollégiumi út 6."/>
    <s v="ok"/>
    <n v="2"/>
    <n v="2"/>
    <x v="3"/>
    <e v="#N/A"/>
    <n v="0"/>
    <n v="2"/>
  </r>
  <r>
    <s v="MTB Magyar Takarékszövetkezeti Bank"/>
    <s v="S6T57101"/>
    <s v="ProCash 2100"/>
    <s v="XXS6T57101"/>
    <s v="6762"/>
    <s v="Sándorfalva"/>
    <s v="Alkotmány krt. 21."/>
    <s v="ok"/>
    <n v="2"/>
    <n v="2"/>
    <x v="3"/>
    <n v="1"/>
    <n v="1"/>
    <n v="1"/>
  </r>
  <r>
    <s v="MTB Magyar Takarékszövetkezeti Bank"/>
    <s v="S6T57102"/>
    <s v="ProCash 2100"/>
    <s v="XXS6T57102"/>
    <s v="6792"/>
    <s v="Zsombó"/>
    <s v="Andrássy út 104."/>
    <s v="ok"/>
    <n v="2"/>
    <n v="2"/>
    <x v="3"/>
    <n v="1"/>
    <n v="1"/>
    <n v="1"/>
  </r>
  <r>
    <s v="MTB Magyar Takarékszövetkezeti Bank"/>
    <s v="S6T57103"/>
    <s v="ProCash 2100"/>
    <s v="XXS6T57103"/>
    <s v="6763"/>
    <s v="Szatymaz"/>
    <s v="Dózsa György u. 25-27."/>
    <s v="ok"/>
    <n v="2"/>
    <n v="2"/>
    <x v="3"/>
    <n v="1"/>
    <n v="1"/>
    <n v="1"/>
  </r>
  <r>
    <s v="MTB Magyar Takarékszövetkezeti Bank"/>
    <s v="S6T57220"/>
    <s v="ProCash 2050"/>
    <s v="5300027282"/>
    <s v="6622"/>
    <s v="Nagymágocs"/>
    <s v="Szentesi út 52/A"/>
    <s v="ok"/>
    <n v="2"/>
    <n v="2"/>
    <x v="3"/>
    <n v="1"/>
    <n v="1"/>
    <n v="1"/>
  </r>
  <r>
    <s v="MTB Magyar Takarékszövetkezeti Bank"/>
    <s v="S6T57401"/>
    <s v="Diebold-Opteva 760 ATM Outdoor"/>
    <s v="XXS6T57401"/>
    <s v="6720"/>
    <s v="Szeged"/>
    <s v="Oroszlán u. 1."/>
    <s v="ok"/>
    <n v="2"/>
    <n v="0"/>
    <x v="3"/>
    <e v="#N/A"/>
    <n v="0"/>
    <n v="0"/>
  </r>
  <r>
    <s v="MTB Magyar Takarékszövetkezeti Bank"/>
    <s v="S6T57402"/>
    <s v="ProCash 2150"/>
    <s v="XXS6T57402"/>
    <s v="6764"/>
    <s v="Balástya"/>
    <s v="Rákóczi u. 15."/>
    <s v="ok"/>
    <n v="2"/>
    <n v="2"/>
    <x v="3"/>
    <n v="1"/>
    <n v="1"/>
    <n v="1"/>
  </r>
  <r>
    <s v="MTB Magyar Takarékszövetkezeti Bank"/>
    <s v="S6T57403"/>
    <s v="ProCash 2100"/>
    <s v="6100304862"/>
    <s v="6726"/>
    <s v="Szeged"/>
    <s v="Fő fasor 19."/>
    <s v="ok"/>
    <n v="2"/>
    <n v="0"/>
    <x v="3"/>
    <e v="#N/A"/>
    <n v="0"/>
    <n v="0"/>
  </r>
  <r>
    <s v="MTB Magyar Takarékszövetkezeti Bank"/>
    <s v="S6T57405"/>
    <s v="ProCash 2150"/>
    <s v="XXS6T57405"/>
    <s v="6821"/>
    <s v="Székkutas"/>
    <s v="Vásárhelyi út 5."/>
    <s v="ok"/>
    <n v="2"/>
    <n v="2"/>
    <x v="3"/>
    <n v="1"/>
    <n v="1"/>
    <n v="1"/>
  </r>
  <r>
    <s v="MTB Magyar Takarékszövetkezeti Bank"/>
    <s v="S6T57409"/>
    <s v="ProCash 2050"/>
    <s v="5300027281"/>
    <s v="6913"/>
    <s v="Csanádpalota"/>
    <s v="Kelemen L. tér 10."/>
    <s v="ok"/>
    <n v="2"/>
    <n v="0"/>
    <x v="3"/>
    <e v="#N/A"/>
    <n v="0"/>
    <n v="0"/>
  </r>
  <r>
    <s v="MTB Magyar Takarékszövetkezeti Bank"/>
    <s v="S6T57413"/>
    <s v="ProCash 1500"/>
    <s v="XXAS6T57608"/>
    <s v="6722"/>
    <s v="Szeged"/>
    <s v="Mikszáth Kálmán u. 15."/>
    <s v="ok"/>
    <n v="2"/>
    <n v="2"/>
    <x v="3"/>
    <n v="1"/>
    <n v="1"/>
    <n v="1"/>
  </r>
  <r>
    <s v="MTB Magyar Takarékszövetkezeti Bank"/>
    <s v="S6T57415"/>
    <s v="Diebold-Opteva 522 Lobby Cash Dispenser"/>
    <s v="1522FH119143"/>
    <s v="6760"/>
    <s v="Kistelek"/>
    <s v="Szent László tér 2."/>
    <s v="ok"/>
    <n v="2"/>
    <n v="2"/>
    <x v="3"/>
    <n v="1"/>
    <n v="1"/>
    <n v="1"/>
  </r>
  <r>
    <s v="MTB Magyar Takarékszövetkezeti Bank"/>
    <s v="S6T57602"/>
    <s v="ProCash 2100"/>
    <s v="XXS6T57602"/>
    <s v="6750"/>
    <s v="Algyő"/>
    <s v="Búvár u. 2."/>
    <s v="ok"/>
    <n v="2"/>
    <n v="2"/>
    <x v="3"/>
    <n v="1"/>
    <n v="1"/>
    <n v="1"/>
  </r>
  <r>
    <s v="MTB Magyar Takarékszövetkezeti Bank"/>
    <s v="S6T57603"/>
    <s v="ProCash 2100"/>
    <s v="XXAS6T57603"/>
    <s v="6412"/>
    <s v="Balotaszállás"/>
    <s v="Fő tér 1."/>
    <s v="ok"/>
    <n v="2"/>
    <n v="0"/>
    <x v="7"/>
    <e v="#N/A"/>
    <n v="0"/>
    <n v="0"/>
  </r>
  <r>
    <s v="MTB Magyar Takarékszövetkezeti Bank"/>
    <s v="S6T57604"/>
    <s v="ProCash 2050xe"/>
    <s v="XXAS6T57604"/>
    <s v="6793"/>
    <s v="Forráskút"/>
    <s v="Fő u. 74."/>
    <s v="ok"/>
    <n v="2"/>
    <n v="2"/>
    <x v="3"/>
    <n v="1"/>
    <n v="1"/>
    <n v="1"/>
  </r>
  <r>
    <s v="MTB Magyar Takarékszövetkezeti Bank"/>
    <s v="S6T57607"/>
    <s v="ProCash 2100"/>
    <s v="XXS6T57607"/>
    <s v="6235"/>
    <s v="Bócsa"/>
    <s v="Kecskeméti út 20."/>
    <s v="ok"/>
    <n v="2"/>
    <n v="2"/>
    <x v="7"/>
    <n v="1"/>
    <n v="1"/>
    <n v="1"/>
  </r>
  <r>
    <s v="MTB Magyar Takarékszövetkezeti Bank"/>
    <s v="S6T57609"/>
    <s v="ProCash 2050xe"/>
    <s v="XXAS6T57609"/>
    <s v="6723"/>
    <s v="Szeged"/>
    <s v="Retek u. 23-25."/>
    <s v="ok"/>
    <n v="2"/>
    <n v="2"/>
    <x v="3"/>
    <n v="1"/>
    <n v="1"/>
    <n v="1"/>
  </r>
  <r>
    <s v="MTB Magyar Takarékszövetkezeti Bank"/>
    <s v="S6T57701"/>
    <s v="ProCash 2050"/>
    <s v="XXS6T57701"/>
    <s v="2454"/>
    <s v="Iváncsa"/>
    <s v="Szövetkezet köz 1."/>
    <s v="ok"/>
    <n v="2"/>
    <n v="2"/>
    <x v="5"/>
    <n v="1"/>
    <n v="1"/>
    <n v="1"/>
  </r>
  <r>
    <s v="MTB Magyar Takarékszövetkezeti Bank"/>
    <s v="S6T57702"/>
    <s v="ProCash 2050"/>
    <s v="XXS6T57702"/>
    <s v="2451"/>
    <s v="Ercsi"/>
    <s v="Szent István u. 3."/>
    <s v="ok"/>
    <n v="2"/>
    <n v="2"/>
    <x v="5"/>
    <n v="1"/>
    <n v="1"/>
    <n v="1"/>
  </r>
  <r>
    <s v="MTB Magyar Takarékszövetkezeti Bank"/>
    <s v="S6T57703"/>
    <s v="ProCash 2050"/>
    <s v="XXS6T57703"/>
    <s v="2465"/>
    <s v="Ráckeresztúr"/>
    <s v="Hősök tere 4/2"/>
    <s v="ok"/>
    <n v="2"/>
    <n v="2"/>
    <x v="5"/>
    <n v="1"/>
    <n v="1"/>
    <n v="1"/>
  </r>
  <r>
    <s v="MTB Magyar Takarékszövetkezeti Bank"/>
    <s v="S6T57704"/>
    <s v="ProCash 2050"/>
    <s v="XXS6T57704"/>
    <s v="2490"/>
    <s v="Pusztaszabolcs"/>
    <s v="Adonyi u. 41."/>
    <s v="ok"/>
    <n v="2"/>
    <n v="2"/>
    <x v="5"/>
    <n v="1"/>
    <n v="1"/>
    <n v="1"/>
  </r>
  <r>
    <s v="MTB Magyar Takarékszövetkezeti Bank"/>
    <s v="S6T57801"/>
    <s v="Diebold-Opteva 562r 3 High-Standard ATM"/>
    <s v="562RRH100425"/>
    <s v="8000"/>
    <s v="Székesfehérvár"/>
    <s v="Budai út 42."/>
    <s v="ok"/>
    <n v="2"/>
    <n v="2"/>
    <x v="4"/>
    <e v="#N/A"/>
    <n v="0"/>
    <n v="2"/>
  </r>
  <r>
    <s v="MTB Magyar Takarékszövetkezeti Bank"/>
    <s v="S6T57802"/>
    <s v="OPT562 1GIG-DVD-UPS-LAN-A6-CEN3(4HIGH)"/>
    <s v="1562RH120085"/>
    <s v="2481"/>
    <s v="Velence"/>
    <s v="Gerle u. 2."/>
    <s v="ok"/>
    <n v="2"/>
    <n v="2"/>
    <x v="7"/>
    <n v="1"/>
    <n v="1"/>
    <n v="1"/>
  </r>
  <r>
    <s v="MTB Magyar Takarékszövetkezeti Bank"/>
    <s v="S6T57803"/>
    <s v="Diebold-Opteva 562r 3 High-Standard ATM"/>
    <s v="562RRH100904"/>
    <s v="2484"/>
    <s v="Agárd"/>
    <s v="Balatoni út 43."/>
    <s v="ok"/>
    <n v="2"/>
    <n v="2"/>
    <x v="7"/>
    <n v="1"/>
    <n v="1"/>
    <n v="1"/>
  </r>
  <r>
    <s v="MTB Magyar Takarékszövetkezeti Bank"/>
    <s v="S6T57804"/>
    <s v="OPT562 1GIG-DVD-UPS-LAN-A6-CEN3(4HIGH)"/>
    <s v="1562RCF00033"/>
    <s v="8111"/>
    <s v="Seregélyes"/>
    <s v="Fő u. 169."/>
    <s v="ok"/>
    <n v="2"/>
    <n v="2"/>
    <x v="7"/>
    <n v="1"/>
    <n v="1"/>
    <n v="1"/>
  </r>
  <r>
    <s v="MTB Magyar Takarékszövetkezeti Bank"/>
    <s v="S6T57806"/>
    <s v="Diebold-Opteva 760 ATM Outdoor"/>
    <s v="1760RCF00086"/>
    <s v="8127"/>
    <s v="Aba"/>
    <s v="Petofi S. u. 95."/>
    <s v="ok"/>
    <n v="2"/>
    <n v="2"/>
    <x v="4"/>
    <n v="1"/>
    <n v="1"/>
    <n v="1"/>
  </r>
  <r>
    <s v="MTB Magyar Takarékszövetkezeti Bank"/>
    <s v="S6T57807"/>
    <s v="Diebold-Opteva 520 ATM Indoor"/>
    <s v="1520FCF00563"/>
    <s v="8130"/>
    <s v="Enying"/>
    <s v="Deák F. u. 1."/>
    <s v="ok"/>
    <n v="2"/>
    <n v="2"/>
    <x v="4"/>
    <e v="#N/A"/>
    <n v="0"/>
    <n v="2"/>
  </r>
  <r>
    <s v="MTB Magyar Takarékszövetkezeti Bank"/>
    <s v="S6T57808"/>
    <s v="ProCash Compact"/>
    <s v="6100195845"/>
    <s v="1042"/>
    <s v="Budapest"/>
    <s v="Árpád u. 90-92."/>
    <s v="ok"/>
    <n v="2"/>
    <n v="2"/>
    <x v="5"/>
    <e v="#N/A"/>
    <n v="0"/>
    <n v="2"/>
  </r>
  <r>
    <s v="MTB Magyar Takarékszövetkezeti Bank"/>
    <s v="S6T57809"/>
    <s v="OPT562 1GIG-DVD-UPS-LAN-A6-CEN3(4HIGH)"/>
    <s v="1562RH135485"/>
    <s v="2462"/>
    <s v="Martonvásár"/>
    <s v="Brunszwick Teréz u 3."/>
    <s v="ok"/>
    <n v="2"/>
    <n v="2"/>
    <x v="7"/>
    <n v="1"/>
    <n v="1"/>
    <n v="1"/>
  </r>
  <r>
    <s v="MTB Magyar Takarékszövetkezeti Bank"/>
    <s v="S6T57811"/>
    <s v="Diebold-Opteva 522 Lobby Cash Dispenser"/>
    <s v="1522FH110228"/>
    <s v="8151"/>
    <s v="Szabadbattyán"/>
    <s v="Csíkvár tér 10."/>
    <s v="ok"/>
    <n v="2"/>
    <n v="2"/>
    <x v="4"/>
    <e v="#N/A"/>
    <n v="0"/>
    <n v="2"/>
  </r>
  <r>
    <s v="MTB Magyar Takarékszövetkezeti Bank"/>
    <s v="S6T57812"/>
    <s v="OPT562 1GIG-DVD-UPS-LAN-A6-CEN3(4HIGH)"/>
    <s v="1562R3301393"/>
    <s v="2476"/>
    <s v="Pázmánd"/>
    <s v="Fő utca 87."/>
    <s v="ok"/>
    <n v="2"/>
    <n v="2"/>
    <x v="4"/>
    <n v="1"/>
    <n v="1"/>
    <n v="1"/>
  </r>
  <r>
    <s v="MTB Magyar Takarékszövetkezeti Bank"/>
    <s v="S6T57813"/>
    <s v="Diebold-Opteva 522 Lobby Cash Dispenser"/>
    <s v="1560RCF01059"/>
    <s v="2475"/>
    <s v="Kápolnásnyék"/>
    <s v="Fő u. 29."/>
    <s v="ok"/>
    <n v="2"/>
    <n v="2"/>
    <x v="4"/>
    <n v="1"/>
    <n v="1"/>
    <n v="1"/>
  </r>
  <r>
    <s v="MTB Magyar Takarékszövetkezeti Bank"/>
    <s v="S6T58102"/>
    <s v="ProCash 2150"/>
    <s v="5300005109"/>
    <s v="7017"/>
    <s v="Mezőszilas"/>
    <s v="Petőfi Sándor u. 12."/>
    <s v="ok"/>
    <n v="2"/>
    <n v="2"/>
    <x v="7"/>
    <n v="1"/>
    <n v="1"/>
    <n v="1"/>
  </r>
  <r>
    <s v="MTB Magyar Takarékszövetkezeti Bank"/>
    <s v="S6T58103"/>
    <s v="ProCash 2000xe USB Rearload"/>
    <s v="5300355516X"/>
    <s v="8136"/>
    <s v="Lajoskomárom"/>
    <s v="Enyingi u. 3."/>
    <s v="ok"/>
    <n v="2"/>
    <n v="2"/>
    <x v="7"/>
    <n v="1"/>
    <n v="1"/>
    <n v="1"/>
  </r>
  <r>
    <s v="MTB Magyar Takarékszövetkezeti Bank"/>
    <s v="S6T58104"/>
    <s v="ProCash 2050xe USB"/>
    <s v="5300624978"/>
    <s v="7013"/>
    <s v="Cece"/>
    <s v="Jókai Mór u. 2."/>
    <s v="ok"/>
    <n v="2"/>
    <n v="2"/>
    <x v="7"/>
    <n v="1"/>
    <n v="1"/>
    <n v="1"/>
  </r>
  <r>
    <s v="MTB Magyar Takarékszövetkezeti Bank"/>
    <s v="S6T58105"/>
    <s v="ProCash 2050xe USB"/>
    <s v="5300648551"/>
    <s v="8124"/>
    <s v="Káloz"/>
    <s v="Bajcsy-Zsilinszky u. 3."/>
    <s v="ok"/>
    <n v="2"/>
    <n v="2"/>
    <x v="7"/>
    <n v="1"/>
    <n v="1"/>
    <n v="1"/>
  </r>
  <r>
    <s v="MTB Magyar Takarékszövetkezeti Bank"/>
    <s v="S6T58106"/>
    <s v="ProCash 1500xe RL USB"/>
    <s v="5300651212X"/>
    <s v="8135"/>
    <s v="Dég"/>
    <s v="Széchenyi u. 49."/>
    <s v="ok"/>
    <n v="2"/>
    <n v="2"/>
    <x v="7"/>
    <n v="1"/>
    <n v="1"/>
    <n v="1"/>
  </r>
  <r>
    <s v="MTB Magyar Takarékszövetkezeti Bank"/>
    <s v="S6T58108"/>
    <s v="ProCash 2050xe USB"/>
    <s v="5300776003X"/>
    <s v="7000"/>
    <s v="Sárbogárd"/>
    <s v="Ady Endre út 107."/>
    <s v="ok"/>
    <n v="2"/>
    <n v="2"/>
    <x v="7"/>
    <n v="1"/>
    <n v="1"/>
    <n v="1"/>
  </r>
  <r>
    <s v="MTB Magyar Takarékszövetkezeti Bank"/>
    <s v="S6T58902"/>
    <s v="Diebold-Opteva 760 ATM Outdoor"/>
    <s v="1760RH121756"/>
    <s v="9343"/>
    <s v="Beled"/>
    <s v="Rákóczi út 131."/>
    <s v="ok"/>
    <n v="2"/>
    <n v="2"/>
    <x v="8"/>
    <n v="1"/>
    <n v="1"/>
    <n v="1"/>
  </r>
  <r>
    <s v="MTB Magyar Takarékszövetkezeti Bank"/>
    <s v="S6T58903"/>
    <s v="OPT562 1GIG-DVD-UPS-LAN-A6-CEN3(4HIGH)"/>
    <s v="1562RH157484"/>
    <s v="9342"/>
    <s v="Mihályi"/>
    <s v="Hunyadi u. 9."/>
    <s v="ok"/>
    <n v="2"/>
    <n v="2"/>
    <x v="8"/>
    <n v="1"/>
    <n v="1"/>
    <n v="1"/>
  </r>
  <r>
    <s v="MTB Magyar Takarékszövetkezeti Bank"/>
    <s v="S6T59001"/>
    <s v="OPT562 1GIG-DVD-UPS-LAN-A6-CEN3(4HIGH)"/>
    <s v="1562R3320388"/>
    <s v="9155"/>
    <s v="Lébény"/>
    <s v="Fő u. 85."/>
    <s v="ok"/>
    <n v="2"/>
    <n v="2"/>
    <x v="19"/>
    <n v="1"/>
    <n v="1"/>
    <n v="1"/>
  </r>
  <r>
    <s v="MTB Magyar Takarékszövetkezeti Bank"/>
    <s v="S6T59002"/>
    <s v="OPT562 1GIG-DVD-UPS-LAN-A6-CEN3(4HIGH)"/>
    <s v="1562RH145965"/>
    <s v="9181"/>
    <s v="Kimle"/>
    <s v="Fő út 92."/>
    <s v="ok"/>
    <n v="2"/>
    <n v="2"/>
    <x v="19"/>
    <n v="1"/>
    <n v="1"/>
    <n v="1"/>
  </r>
  <r>
    <s v="MTB Magyar Takarékszövetkezeti Bank"/>
    <s v="S6T59003"/>
    <s v="ProCash 2000xe Frontload"/>
    <s v="5300128281"/>
    <s v="9151"/>
    <s v="Abda"/>
    <s v="Bécsi út 67/a."/>
    <s v="ok"/>
    <n v="2"/>
    <n v="2"/>
    <x v="5"/>
    <n v="1"/>
    <n v="1"/>
    <n v="1"/>
  </r>
  <r>
    <s v="MTB Magyar Takarékszövetkezeti Bank"/>
    <s v="S6T59004"/>
    <s v="OPT562 1GIG-DVD-UPS-LAN-A6-CEN3(4HIGH)"/>
    <s v="1562RH128151"/>
    <s v="9184"/>
    <s v="Kunsziget"/>
    <s v="Kossuth tér 1."/>
    <s v="ok"/>
    <n v="2"/>
    <n v="2"/>
    <x v="19"/>
    <e v="#N/A"/>
    <n v="0"/>
    <n v="2"/>
  </r>
  <r>
    <s v="MTB Magyar Takarékszövetkezeti Bank"/>
    <s v="S6T59005"/>
    <s v="OPT562 1GIG-DVD-UPS-LAN-A6-CEN3(4HIGH)"/>
    <s v="562RRH103148"/>
    <s v="9153"/>
    <s v="Öttevény"/>
    <s v="Fő út 104"/>
    <s v="ok"/>
    <n v="2"/>
    <n v="2"/>
    <x v="19"/>
    <e v="#N/A"/>
    <n v="0"/>
    <n v="2"/>
  </r>
  <r>
    <s v="MTB Magyar Takarékszövetkezeti Bank"/>
    <s v="S6T59102"/>
    <s v="Diebold-Opteva 760 ATM Outdoor"/>
    <s v="1760RH123965"/>
    <s v="9461"/>
    <s v="Lövő"/>
    <s v="Fő u. 203."/>
    <s v="ok"/>
    <n v="2"/>
    <n v="2"/>
    <x v="8"/>
    <n v="1"/>
    <n v="1"/>
    <n v="1"/>
  </r>
  <r>
    <s v="MTB Magyar Takarékszövetkezeti Bank"/>
    <s v="S6T59103"/>
    <s v="OPT562 1GIG-DVD-UPS-LAN-A6-CEN3(4HIGH)"/>
    <s v="1562RH147979"/>
    <s v="9437"/>
    <s v="Hegykő"/>
    <s v="Petőfi u. 10."/>
    <s v="ok"/>
    <n v="2"/>
    <n v="2"/>
    <x v="8"/>
    <e v="#N/A"/>
    <n v="0"/>
    <n v="2"/>
  </r>
  <r>
    <s v="MTB Magyar Takarékszövetkezeti Bank"/>
    <s v="S6T59108"/>
    <s v="OPT562 1GIG-DVD-UPS-LAN-A6-CEN3(4HIGH)"/>
    <s v="1562RH129335"/>
    <s v="9374"/>
    <s v="Iván"/>
    <s v="Hunyadi u. 2."/>
    <s v="ok"/>
    <n v="2"/>
    <n v="2"/>
    <x v="8"/>
    <e v="#N/A"/>
    <n v="0"/>
    <n v="2"/>
  </r>
  <r>
    <s v="MTB Magyar Takarékszövetkezeti Bank"/>
    <s v="S6T59109"/>
    <s v="OPT562 1GIG-DVD-UPS-LAN-A6-CEN3(4HIGH)"/>
    <s v="1562RH129813"/>
    <s v="9476"/>
    <s v="Zsira"/>
    <s v="Rákóczi út 27."/>
    <s v="ok"/>
    <n v="2"/>
    <n v="2"/>
    <x v="8"/>
    <e v="#N/A"/>
    <n v="0"/>
    <n v="2"/>
  </r>
  <r>
    <s v="MTB Magyar Takarékszövetkezeti Bank"/>
    <s v="S6T59202"/>
    <s v="ProCash 2050"/>
    <s v="5300002841"/>
    <s v="9082"/>
    <s v="Nyúl"/>
    <s v="Kossuth u. 52."/>
    <s v="ok"/>
    <n v="2"/>
    <n v="2"/>
    <x v="5"/>
    <n v="1"/>
    <n v="1"/>
    <n v="1"/>
  </r>
  <r>
    <s v="MTB Magyar Takarékszövetkezeti Bank"/>
    <s v="S6T59203"/>
    <s v="Diebold-Opteva 760 ATM Outdoor"/>
    <s v="1760RH128420"/>
    <s v="9081"/>
    <s v="Győrújbarát"/>
    <s v="Liszt F. u. 5."/>
    <s v="ok"/>
    <n v="2"/>
    <n v="2"/>
    <x v="19"/>
    <n v="1"/>
    <n v="1"/>
    <n v="1"/>
  </r>
  <r>
    <s v="MTB Magyar Takarékszövetkezeti Bank"/>
    <s v="S6T59205"/>
    <s v="ProCash 2150xe"/>
    <s v="5300336137"/>
    <s v="9144"/>
    <s v="Kóny"/>
    <s v="Béke u.2/A"/>
    <s v="ok"/>
    <n v="2"/>
    <n v="2"/>
    <x v="5"/>
    <e v="#N/A"/>
    <n v="0"/>
    <n v="2"/>
  </r>
  <r>
    <s v="MTB Magyar Takarékszövetkezeti Bank"/>
    <s v="S6T59207"/>
    <s v="ProCash 2050"/>
    <s v="XXS6T59207"/>
    <s v="9022"/>
    <s v="Győr"/>
    <s v="Lehel u. 27."/>
    <s v="ok"/>
    <n v="2"/>
    <n v="2"/>
    <x v="5"/>
    <n v="1"/>
    <n v="1"/>
    <n v="1"/>
  </r>
  <r>
    <s v="MTB Magyar Takarékszövetkezeti Bank"/>
    <s v="S6T59211"/>
    <s v="Diebold-Opteva 760 ATM Outdoor"/>
    <s v="1760RH121121"/>
    <s v="9113"/>
    <s v="Koroncó"/>
    <s v="Rákóczi u. 52."/>
    <s v="ok"/>
    <n v="2"/>
    <n v="2"/>
    <x v="19"/>
    <e v="#N/A"/>
    <n v="0"/>
    <n v="2"/>
  </r>
  <r>
    <s v="MTB Magyar Takarékszövetkezeti Bank"/>
    <s v="S6T59503"/>
    <s v="OPT562 1GIG-DVD-UPS-LAN-A6-CEN3(4HIGH)"/>
    <s v="1562RH139152"/>
    <s v="9224"/>
    <s v="Rajka"/>
    <s v="Kossuth u. 37/a"/>
    <s v="ok"/>
    <n v="2"/>
    <n v="2"/>
    <x v="19"/>
    <e v="#N/A"/>
    <n v="0"/>
    <n v="2"/>
  </r>
  <r>
    <s v="MTB Magyar Takarékszövetkezeti Bank"/>
    <s v="S6T59504"/>
    <s v="Diebold-Opteva 520 ATM Indoor"/>
    <s v="1520F3306269"/>
    <s v="9300"/>
    <s v="Csorna"/>
    <s v="Soproni u. 93."/>
    <s v="ok"/>
    <n v="2"/>
    <n v="2"/>
    <x v="8"/>
    <e v="#N/A"/>
    <n v="0"/>
    <n v="2"/>
  </r>
  <r>
    <s v="MTB Magyar Takarékszövetkezeti Bank"/>
    <s v="S6T59505"/>
    <s v="Diebold-Opteva 760 ATM Outdoor"/>
    <s v="1760RH120876"/>
    <s v="9225"/>
    <s v="Dunakiliti"/>
    <s v="Kossuth u. 88."/>
    <s v="ok"/>
    <n v="2"/>
    <n v="2"/>
    <x v="19"/>
    <e v="#N/A"/>
    <n v="0"/>
    <n v="2"/>
  </r>
  <r>
    <s v="MTB Magyar Takarékszövetkezeti Bank"/>
    <s v="S6T59506"/>
    <s v="Diebold-Opteva 760 ATM Outdoor"/>
    <s v="1760RH120875"/>
    <s v="9223"/>
    <s v="Bezenye"/>
    <s v="Szabadság u. 54."/>
    <s v="ok"/>
    <n v="2"/>
    <n v="2"/>
    <x v="19"/>
    <e v="#N/A"/>
    <n v="0"/>
    <n v="2"/>
  </r>
  <r>
    <s v="MTB Magyar Takarékszövetkezeti Bank"/>
    <s v="S6T59507"/>
    <s v="Diebold-Opteva 760 ATM Outdoor"/>
    <s v="1760RH120874"/>
    <s v="9200"/>
    <s v="Mosonmagyaróvár"/>
    <s v="Kökény u. 9."/>
    <s v="ok"/>
    <n v="2"/>
    <n v="2"/>
    <x v="19"/>
    <n v="1"/>
    <n v="1"/>
    <n v="1"/>
  </r>
  <r>
    <s v="MTB Magyar Takarékszövetkezeti Bank"/>
    <s v="S6T59509"/>
    <s v="Diebold-Opteva 760 ATM Outdoor"/>
    <s v="1760RH120878"/>
    <s v="9330"/>
    <s v="Kapuvár"/>
    <s v="Gesztenye sor 3."/>
    <s v="ok"/>
    <n v="2"/>
    <n v="2"/>
    <x v="8"/>
    <n v="1"/>
    <n v="1"/>
    <n v="1"/>
  </r>
  <r>
    <s v="MTB Magyar Takarékszövetkezeti Bank"/>
    <s v="S6T59510"/>
    <s v="Diebold-Opteva 520 ATM Indoor"/>
    <s v="1520FCF00168"/>
    <s v="9221"/>
    <s v="Levél"/>
    <s v="Fő u. 7."/>
    <s v="ok"/>
    <n v="2"/>
    <n v="2"/>
    <x v="19"/>
    <e v="#N/A"/>
    <n v="0"/>
    <n v="2"/>
  </r>
  <r>
    <s v="MTB Magyar Takarékszövetkezeti Bank"/>
    <s v="S6T59512"/>
    <s v="Diebold-Opteva 520 ATM Indoor"/>
    <s v="1520F3305617"/>
    <s v="9400"/>
    <s v="Sopron"/>
    <s v="Kőszegi u. 5."/>
    <s v="ok"/>
    <n v="2"/>
    <n v="2"/>
    <x v="8"/>
    <e v="#N/A"/>
    <n v="0"/>
    <n v="2"/>
  </r>
  <r>
    <s v="MTB Magyar Takarékszövetkezeti Bank"/>
    <s v="S6T59513"/>
    <s v="Diebold-Opteva 760 ATM Outdoor"/>
    <s v="1760RCF00641"/>
    <s v="9485"/>
    <s v="Nagycenk"/>
    <s v="Iskola u. 2."/>
    <s v="ok"/>
    <n v="2"/>
    <n v="2"/>
    <x v="8"/>
    <n v="1"/>
    <n v="1"/>
    <n v="1"/>
  </r>
  <r>
    <s v="MTB Magyar Takarékszövetkezeti Bank"/>
    <s v="S6T59514"/>
    <s v="Diebold-Opteva 500 ATM"/>
    <s v="1500F3320011"/>
    <s v="9423"/>
    <s v="Ágfalva"/>
    <s v="Fő u. 74."/>
    <s v="ok"/>
    <n v="2"/>
    <n v="2"/>
    <x v="8"/>
    <e v="#N/A"/>
    <n v="0"/>
    <n v="2"/>
  </r>
  <r>
    <s v="MTB Magyar Takarékszövetkezeti Bank"/>
    <s v="S6T59515"/>
    <s v="Diebold-Opteva 760 ATM Outdoor"/>
    <s v="1760RH120877"/>
    <s v="9371"/>
    <s v="Vitnyéd"/>
    <s v="Fő u. 1/a."/>
    <s v="ok"/>
    <n v="2"/>
    <n v="2"/>
    <x v="8"/>
    <e v="#N/A"/>
    <n v="0"/>
    <n v="2"/>
  </r>
  <r>
    <s v="MTB Magyar Takarékszövetkezeti Bank"/>
    <s v="S6T59516"/>
    <s v="Diebold-Opteva 760 ATM Outdoor"/>
    <s v="1760RH120886"/>
    <s v="9495"/>
    <s v="Kópháza"/>
    <s v="Fő u. 15."/>
    <s v="ok"/>
    <n v="2"/>
    <n v="2"/>
    <x v="8"/>
    <e v="#N/A"/>
    <n v="0"/>
    <n v="2"/>
  </r>
  <r>
    <s v="MTB Magyar Takarékszövetkezeti Bank"/>
    <s v="S6T59517"/>
    <s v="Diebold-Opteva 760 ATM Outdoor"/>
    <s v="1760RH120887"/>
    <s v="9482"/>
    <s v="Nagylózs"/>
    <s v="Kossuth u. 47."/>
    <s v="ok"/>
    <n v="2"/>
    <n v="2"/>
    <x v="8"/>
    <e v="#N/A"/>
    <n v="0"/>
    <n v="2"/>
  </r>
  <r>
    <s v="MTB Magyar Takarékszövetkezeti Bank"/>
    <s v="S6T59518"/>
    <s v="Diebold-Opteva 520 ATM Indoor"/>
    <s v="1520FH122705"/>
    <s v="9443"/>
    <s v="Petőháza"/>
    <s v="Petőfi u.1."/>
    <s v="ok"/>
    <n v="2"/>
    <n v="2"/>
    <x v="8"/>
    <n v="1"/>
    <n v="1"/>
    <n v="1"/>
  </r>
  <r>
    <s v="MTB Magyar Takarékszövetkezeti Bank"/>
    <s v="S6T59519"/>
    <s v="OPT562 1GIG-DVD-UPS-LAN-A6-CEN3(4HIGH)"/>
    <s v="1562RH138603"/>
    <s v="9244"/>
    <s v="Újrónafő"/>
    <s v="Szabadság u. 3."/>
    <s v="ok"/>
    <n v="2"/>
    <n v="2"/>
    <x v="19"/>
    <e v="#N/A"/>
    <n v="0"/>
    <n v="2"/>
  </r>
  <r>
    <s v="MTB Magyar Takarékszövetkezeti Bank"/>
    <s v="S6T59520"/>
    <s v="Diebold-Opteva 760 ATM Outdoor"/>
    <s v="1760RH122690"/>
    <s v="9484"/>
    <s v="Pereszteg"/>
    <s v="Fő u. 14."/>
    <s v="ok"/>
    <n v="2"/>
    <n v="2"/>
    <x v="8"/>
    <n v="1"/>
    <n v="1"/>
    <n v="1"/>
  </r>
  <r>
    <s v="MTB Magyar Takarékszövetkezeti Bank"/>
    <s v="S6T59521"/>
    <s v="OPT562 1GIG-DVD-UPS-LAN-A6-CEN3(4HIGH)"/>
    <s v="1562RH138186"/>
    <s v="9400"/>
    <s v="Sopron"/>
    <s v="Várkerület sor 18."/>
    <s v="ok"/>
    <n v="2"/>
    <n v="2"/>
    <x v="8"/>
    <n v="1"/>
    <n v="1"/>
    <n v="1"/>
  </r>
  <r>
    <s v="MTB Magyar Takarékszövetkezeti Bank"/>
    <s v="S6T59522"/>
    <s v="OPT562 1GIG-DVD-UPS-LAN-A6-CEN3(4HIGH)"/>
    <s v="1562RH141320"/>
    <s v="9353"/>
    <s v="Szárföld"/>
    <s v="Fő u. 16."/>
    <s v="ok"/>
    <n v="2"/>
    <n v="2"/>
    <x v="8"/>
    <e v="#N/A"/>
    <n v="0"/>
    <n v="2"/>
  </r>
  <r>
    <s v="MTB Magyar Takarékszövetkezeti Bank"/>
    <s v="S6T59523"/>
    <s v="OPT562 1GIG-DVD-UPS-LAN-A6-CEN3(4HIGH)"/>
    <s v="1562RH144648"/>
    <s v="9226"/>
    <s v="Dunasziget"/>
    <s v="Sérfenyő utca 57."/>
    <s v="ok"/>
    <n v="2"/>
    <n v="2"/>
    <x v="19"/>
    <e v="#N/A"/>
    <n v="0"/>
    <n v="2"/>
  </r>
  <r>
    <s v="MTB Magyar Takarékszövetkezeti Bank"/>
    <s v="S6T59524"/>
    <s v="Diebold-Opteva 760 ATM Outdoor"/>
    <s v="1760RH129105"/>
    <s v="9200"/>
    <s v="Mosonmagyaróvár"/>
    <s v="Bástya utca 15."/>
    <s v="ok"/>
    <n v="2"/>
    <n v="2"/>
    <x v="19"/>
    <e v="#N/A"/>
    <n v="0"/>
    <n v="2"/>
  </r>
  <r>
    <s v="MTB Magyar Takarékszövetkezeti Bank"/>
    <s v="S6T59525"/>
    <s v="Diebold-Opteva 760 ATM Outdoor"/>
    <s v="1760RH120885"/>
    <s v="9326"/>
    <s v="Szil"/>
    <s v="Hunyadi tér 14."/>
    <s v="ok"/>
    <n v="2"/>
    <n v="2"/>
    <x v="8"/>
    <n v="1"/>
    <n v="1"/>
    <n v="1"/>
  </r>
  <r>
    <s v="MTB Magyar Takarékszövetkezeti Bank"/>
    <s v="S6T59526"/>
    <s v="OPT562 1GIG-DVD-UPS-LAN-A6-CEN3(4HIGH)"/>
    <s v="1562RH159082"/>
    <s v="9100"/>
    <s v="Tét"/>
    <s v="Fő utca 86."/>
    <s v="ok"/>
    <n v="2"/>
    <n v="2"/>
    <x v="19"/>
    <n v="1"/>
    <n v="1"/>
    <n v="1"/>
  </r>
  <r>
    <s v="MTB Magyar Takarékszövetkezeti Bank"/>
    <s v="S6T59801"/>
    <s v="OPT562 1GIG-DVD-UPS-LAN-A6-CEN3(4HIGH)"/>
    <s v="1562RH137081"/>
    <s v="9121"/>
    <s v="Győrszemere"/>
    <s v="Győri út 61."/>
    <s v="ok"/>
    <n v="2"/>
    <n v="2"/>
    <x v="19"/>
    <e v="#N/A"/>
    <n v="0"/>
    <n v="2"/>
  </r>
  <r>
    <s v="MTB Magyar Takarékszövetkezeti Bank"/>
    <s v="S6T59802"/>
    <s v="OPT562 1GIG-DVD-UPS-LAN-A6-CEN3(4HIGH)"/>
    <s v="1562RH127743"/>
    <s v="9100"/>
    <s v="Tét"/>
    <s v="Fő út 86."/>
    <s v="ok"/>
    <n v="2"/>
    <n v="2"/>
    <x v="19"/>
    <n v="1"/>
    <n v="1"/>
    <n v="1"/>
  </r>
  <r>
    <s v="MTB Magyar Takarékszövetkezeti Bank"/>
    <s v="S6T59803"/>
    <s v="OPT562 1GIG-DVD-UPS-LAN-A6-CEN3(4HIGH)"/>
    <s v="1562RH128668"/>
    <s v="9028"/>
    <s v="Győr"/>
    <s v="Bartók B. út 5."/>
    <s v="ok"/>
    <n v="2"/>
    <n v="2"/>
    <x v="19"/>
    <e v="#N/A"/>
    <n v="0"/>
    <n v="2"/>
  </r>
  <r>
    <s v="MTB Magyar Takarékszövetkezeti Bank"/>
    <s v="S6T59901"/>
    <s v="ProCash 2050"/>
    <s v="5300225660"/>
    <s v="4211"/>
    <s v="Ebes"/>
    <s v="Ady Endre u. 2/a"/>
    <s v="ok"/>
    <n v="2"/>
    <n v="2"/>
    <x v="16"/>
    <n v="1"/>
    <n v="1"/>
    <n v="1"/>
  </r>
  <r>
    <s v="MTB Magyar Takarékszövetkezeti Bank"/>
    <s v="S6T59902"/>
    <s v="OPT562 1GIG-DVD-UPS-LAN-A6-CEN3(4HIGH)"/>
    <s v="1562RH155236"/>
    <s v="4071"/>
    <s v="Hortobágy"/>
    <s v="Petőfi Sándor tér 3."/>
    <s v="ok"/>
    <n v="2"/>
    <n v="2"/>
    <x v="16"/>
    <e v="#N/A"/>
    <n v="0"/>
    <n v="2"/>
  </r>
  <r>
    <s v="MTB Magyar Takarékszövetkezeti Bank"/>
    <s v="S6T59903"/>
    <s v="ProCash 2050"/>
    <s v="XXS6T59903"/>
    <s v="4060"/>
    <s v="Balmazújváros"/>
    <s v="Veres Péter utca 3."/>
    <s v="ok"/>
    <n v="2"/>
    <n v="2"/>
    <x v="16"/>
    <n v="1"/>
    <n v="1"/>
    <n v="1"/>
  </r>
  <r>
    <s v="MTB Magyar Takarékszövetkezeti Bank"/>
    <s v="S6T59904"/>
    <s v="ProCash 2050"/>
    <s v="XXS6T59904"/>
    <s v="4064"/>
    <s v="Nagyhegyes"/>
    <s v="Kossuth u. 1."/>
    <s v="ok"/>
    <n v="2"/>
    <n v="2"/>
    <x v="16"/>
    <n v="1"/>
    <n v="1"/>
    <n v="1"/>
  </r>
  <r>
    <s v="MTB Magyar Takarékszövetkezeti Bank"/>
    <s v="S6T59905"/>
    <s v="ProCash 2050"/>
    <s v="XXS6T59905"/>
    <s v="4031"/>
    <s v="Debrecen"/>
    <s v="Kishegyesi u. 46."/>
    <s v="ok"/>
    <n v="2"/>
    <n v="0"/>
    <x v="16"/>
    <e v="#N/A"/>
    <n v="0"/>
    <n v="0"/>
  </r>
  <r>
    <s v="MTB Magyar Takarékszövetkezeti Bank"/>
    <s v="S6T59906"/>
    <s v="ProCash 2050"/>
    <s v="XXS6T59906"/>
    <s v="4200"/>
    <s v="Hajdúszoboszló"/>
    <s v="Hősök tere 15."/>
    <s v="ok"/>
    <n v="2"/>
    <n v="2"/>
    <x v="16"/>
    <n v="1"/>
    <n v="1"/>
    <n v="1"/>
  </r>
  <r>
    <s v="MTB Magyar Takarékszövetkezeti Bank"/>
    <s v="S6T59908"/>
    <s v="ProCash 2050"/>
    <s v="XXS6T59908"/>
    <s v="4060"/>
    <s v="Balmazújváros"/>
    <s v="Dózsa György u. 2."/>
    <s v="ok"/>
    <n v="2"/>
    <n v="2"/>
    <x v="16"/>
    <e v="#N/A"/>
    <n v="0"/>
    <n v="2"/>
  </r>
  <r>
    <s v="MTB Magyar Takarékszövetkezeti Bank"/>
    <s v="S6T60300"/>
    <s v="Diebold-Opteva 720 ATM Indoor"/>
    <s v="1720FCF00089"/>
    <s v="4087"/>
    <s v="Hajdúdorog"/>
    <s v="Tokaji u. 6."/>
    <s v="ok"/>
    <n v="2"/>
    <n v="2"/>
    <x v="16"/>
    <n v="1"/>
    <n v="1"/>
    <n v="1"/>
  </r>
  <r>
    <s v="MTB Magyar Takarékszövetkezeti Bank"/>
    <s v="S6T60301"/>
    <s v="Diebold-Opteva 720 ATM Indoor"/>
    <s v="1720VCF00020"/>
    <s v="4220"/>
    <s v="Hajdúböszörmény"/>
    <s v="Kossuth L. u. 9."/>
    <s v="ok"/>
    <n v="2"/>
    <n v="2"/>
    <x v="16"/>
    <n v="1"/>
    <n v="1"/>
    <n v="1"/>
  </r>
  <r>
    <s v="MTB Magyar Takarékszövetkezeti Bank"/>
    <s v="S6T60302"/>
    <s v="Diebold-Opteva 720 ATM Indoor"/>
    <s v="1720FH120178"/>
    <s v="4080"/>
    <s v="Hajdúnánás"/>
    <s v="Kossuth L.u. 17."/>
    <s v="ok"/>
    <n v="2"/>
    <n v="2"/>
    <x v="16"/>
    <n v="1"/>
    <n v="1"/>
    <n v="1"/>
  </r>
  <r>
    <s v="MTB Magyar Takarékszövetkezeti Bank"/>
    <s v="S6T60303"/>
    <s v="Diebold-Opteva 760 ATM Outdoor"/>
    <s v="XXS6T60303"/>
    <s v="4025"/>
    <s v="Debrecen"/>
    <s v="Pásti u. 1/E."/>
    <s v="ok"/>
    <n v="2"/>
    <n v="0"/>
    <x v="16"/>
    <e v="#N/A"/>
    <n v="0"/>
    <n v="0"/>
  </r>
  <r>
    <s v="MTB Magyar Takarékszövetkezeti Bank"/>
    <s v="S6T60304"/>
    <s v="OPT562 1GIG-DVD-UPS-LAN-A6-CEN3(4HIGH)"/>
    <s v="1562RH137082"/>
    <s v="4086"/>
    <s v="Hajdúvíd"/>
    <s v="Krúdy Gy. utca 2."/>
    <s v="ok"/>
    <n v="2"/>
    <n v="2"/>
    <x v="16"/>
    <e v="#N/A"/>
    <n v="0"/>
    <n v="2"/>
  </r>
  <r>
    <s v="MTB Magyar Takarékszövetkezeti Bank"/>
    <s v="S6T60603"/>
    <s v="Diebold-Opteva 760 ATM Outdoor"/>
    <s v="1760RH123963"/>
    <s v="4274"/>
    <s v="Hosszúpályi"/>
    <s v="Bagosi u. 2."/>
    <s v="ok"/>
    <n v="2"/>
    <n v="2"/>
    <x v="16"/>
    <e v="#N/A"/>
    <n v="0"/>
    <n v="2"/>
  </r>
  <r>
    <s v="MTB Magyar Takarékszövetkezeti Bank"/>
    <s v="S6T60604"/>
    <s v="Diebold-Opteva 760 ATM Outdoor"/>
    <s v="1760RH123017"/>
    <s v="4254"/>
    <s v="Nyíradony"/>
    <s v="Vörösmarty u. 2."/>
    <s v="ok"/>
    <n v="2"/>
    <n v="2"/>
    <x v="16"/>
    <n v="1"/>
    <n v="1"/>
    <n v="1"/>
  </r>
  <r>
    <s v="MTB Magyar Takarékszövetkezeti Bank"/>
    <s v="S6T60605"/>
    <s v="Diebold-Opteva 760 ATM Outdoor"/>
    <s v="1760R3320411"/>
    <s v="4130"/>
    <s v="Derecske"/>
    <s v="Rákóczi u. 2."/>
    <s v="ok"/>
    <n v="2"/>
    <n v="2"/>
    <x v="16"/>
    <n v="1"/>
    <n v="1"/>
    <n v="1"/>
  </r>
  <r>
    <s v="MTB Magyar Takarékszövetkezeti Bank"/>
    <s v="S6T60606"/>
    <s v="Diebold-Opteva 760 ATM Outdoor"/>
    <s v="1760RH123016"/>
    <s v="4251"/>
    <s v="Hajdúsámson"/>
    <s v="Rákóczi u. 6."/>
    <s v="ok"/>
    <n v="2"/>
    <n v="2"/>
    <x v="16"/>
    <n v="1"/>
    <n v="1"/>
    <n v="1"/>
  </r>
  <r>
    <s v="MTB Magyar Takarékszövetkezeti Bank"/>
    <s v="S6T60609"/>
    <s v="Diebold-Opteva 760 ATM Outdoor"/>
    <s v="1760RH127394"/>
    <s v="4242"/>
    <s v="Hajdúhadház"/>
    <s v="Bocskai tér 2/a"/>
    <s v="ok"/>
    <n v="2"/>
    <n v="2"/>
    <x v="16"/>
    <e v="#N/A"/>
    <n v="0"/>
    <n v="2"/>
  </r>
  <r>
    <s v="MTB Magyar Takarékszövetkezeti Bank"/>
    <s v="S6T60610"/>
    <s v="Diebold-Opteva 760 ATM Outdoor"/>
    <s v="1760RCF00014"/>
    <s v="4243"/>
    <s v="Téglás"/>
    <s v="Dózsa u. 13."/>
    <s v="ok"/>
    <n v="2"/>
    <n v="2"/>
    <x v="16"/>
    <n v="1"/>
    <n v="1"/>
    <n v="1"/>
  </r>
  <r>
    <s v="MTB Magyar Takarékszövetkezeti Bank"/>
    <s v="S6T60611"/>
    <s v="Diebold-Opteva 760 ATM Outdoor"/>
    <s v="1760RH129104"/>
    <s v="4225"/>
    <s v="Debrecen-Józsa"/>
    <s v="Szentgyörgyfalvi u. 9."/>
    <s v="ok"/>
    <n v="2"/>
    <n v="2"/>
    <x v="16"/>
    <n v="1"/>
    <n v="1"/>
    <n v="1"/>
  </r>
  <r>
    <s v="MTB Magyar Takarékszövetkezeti Bank"/>
    <s v="S6T60612"/>
    <s v="ProCash 2050"/>
    <s v="XXS6T60612"/>
    <s v="4241"/>
    <s v="Bocskaikert"/>
    <s v="Csillag u. 1."/>
    <s v="ok"/>
    <n v="2"/>
    <n v="2"/>
    <x v="16"/>
    <n v="1"/>
    <n v="1"/>
    <n v="1"/>
  </r>
  <r>
    <s v="MTB Magyar Takarékszövetkezeti Bank"/>
    <s v="S6T60613"/>
    <s v="Diebold-Opteva 760 ATM Outdoor"/>
    <s v="1760RH123018"/>
    <s v="4033"/>
    <s v="Debrecen"/>
    <s v="Mátyás király u. 29."/>
    <s v="ok"/>
    <n v="2"/>
    <n v="2"/>
    <x v="16"/>
    <n v="1"/>
    <n v="1"/>
    <n v="1"/>
  </r>
  <r>
    <s v="MTB Magyar Takarékszövetkezeti Bank"/>
    <s v="S6T60614"/>
    <s v="ProCash 2050"/>
    <s v="5300478309"/>
    <s v="4110"/>
    <s v="Biharkeresztes"/>
    <s v="Hősök tere 10."/>
    <s v="ok"/>
    <n v="2"/>
    <n v="2"/>
    <x v="16"/>
    <n v="1"/>
    <n v="1"/>
    <n v="1"/>
  </r>
  <r>
    <s v="MTB Magyar Takarékszövetkezeti Bank"/>
    <s v="S6T60615"/>
    <s v="Diebold-Opteva 760 ATM Outdoor"/>
    <s v="1760RH120978"/>
    <s v="4116"/>
    <s v="Berekböszörmény"/>
    <s v="Köztársaság tér 2-4."/>
    <s v="ok"/>
    <n v="2"/>
    <n v="2"/>
    <x v="16"/>
    <e v="#N/A"/>
    <n v="0"/>
    <n v="2"/>
  </r>
  <r>
    <s v="MTB Magyar Takarékszövetkezeti Bank"/>
    <s v="S6T60617"/>
    <s v="OPT562 1GIG-DVD-UPS-LAN-A6-CEN3(4HIGH)"/>
    <s v="1562RH130871"/>
    <s v="4171"/>
    <s v="Sárrétudvari"/>
    <s v="Széchenyi út 4."/>
    <s v="ok"/>
    <n v="2"/>
    <n v="2"/>
    <x v="16"/>
    <e v="#N/A"/>
    <n v="0"/>
    <n v="2"/>
  </r>
  <r>
    <s v="MTB Magyar Takarékszövetkezeti Bank"/>
    <s v="S6T60618"/>
    <s v="OPT562 1GIG-DVD-UPS-LAN-A6-CEN3(4HIGH)"/>
    <s v="1562RH146858"/>
    <s v="4172"/>
    <s v="Biharnagybajom"/>
    <s v="Rákóczi u. 15."/>
    <s v="ok"/>
    <n v="2"/>
    <n v="2"/>
    <x v="16"/>
    <e v="#N/A"/>
    <n v="0"/>
    <n v="2"/>
  </r>
  <r>
    <s v="MTB Magyar Takarékszövetkezeti Bank"/>
    <s v="S6T60619"/>
    <s v="Diebold-Opteva 760 ATM Outdoor"/>
    <s v="XXS6T60619"/>
    <s v="4125"/>
    <s v="Pocsaj"/>
    <s v="Nagy u. 28."/>
    <s v="ok"/>
    <n v="2"/>
    <n v="0"/>
    <x v="16"/>
    <e v="#N/A"/>
    <n v="0"/>
    <n v="0"/>
  </r>
  <r>
    <s v="MTB Magyar Takarékszövetkezeti Bank"/>
    <s v="S6T60620"/>
    <s v="Diebold-Opteva 560 ATM Outdoor"/>
    <s v="1560RCF00832"/>
    <s v="4281"/>
    <s v="Létavértes"/>
    <s v="Baross u. 1."/>
    <s v="ok"/>
    <n v="2"/>
    <n v="2"/>
    <x v="16"/>
    <e v="#N/A"/>
    <n v="0"/>
    <n v="2"/>
  </r>
  <r>
    <s v="MTB Magyar Takarékszövetkezeti Bank"/>
    <s v="S6T60621"/>
    <s v="OPT562 1GIG-DVD-UPS-LAN-A6-CEN3(4HIGH)"/>
    <s v="1562RH139366"/>
    <s v="4141"/>
    <s v="Furta"/>
    <s v="Szabadság tér 1."/>
    <s v="ok"/>
    <n v="2"/>
    <n v="2"/>
    <x v="16"/>
    <e v="#N/A"/>
    <n v="0"/>
    <n v="2"/>
  </r>
  <r>
    <s v="MTB Magyar Takarékszövetkezeti Bank"/>
    <s v="S6T60622"/>
    <s v="OPT562 1GIG-DVD-UPS-LAN-A6-CEN3(4HIGH)"/>
    <s v="1562RH143430"/>
    <s v="4272"/>
    <s v="Sáránd"/>
    <s v="Nagy utca 50."/>
    <s v="ok"/>
    <n v="2"/>
    <n v="2"/>
    <x v="16"/>
    <e v="#N/A"/>
    <n v="0"/>
    <n v="2"/>
  </r>
  <r>
    <s v="MTB Magyar Takarékszövetkezeti Bank"/>
    <s v="S6T60623"/>
    <s v="OPT562 1GIG-DVD-UPS-LAN-A6-CEN3(4HIGH)"/>
    <s v="1562RH132390"/>
    <s v="4127"/>
    <s v="Nagykereki"/>
    <s v="Kossuth u. 8."/>
    <s v="ok"/>
    <n v="2"/>
    <n v="2"/>
    <x v="16"/>
    <n v="1"/>
    <n v="1"/>
    <n v="1"/>
  </r>
  <r>
    <s v="MTB Magyar Takarékszövetkezeti Bank"/>
    <s v="S6T60624"/>
    <s v="OPT562 1GIG-DVD-UPS-LAN-A6-CEN3(4HIGH)"/>
    <s v="1562RH131286"/>
    <s v="4000"/>
    <s v="Debrecen"/>
    <s v="Bethlen G. u. 6-8."/>
    <s v="ok"/>
    <n v="2"/>
    <n v="2"/>
    <x v="16"/>
    <e v="#N/A"/>
    <n v="0"/>
    <n v="2"/>
  </r>
  <r>
    <s v="MTB Magyar Takarékszövetkezeti Bank"/>
    <s v="S6T60625"/>
    <s v="Diebold-Opteva 562r 3 High-Standard ATM"/>
    <s v="1562RH139369"/>
    <s v="4135"/>
    <s v="Kőrösszegapáti"/>
    <s v="Kossuth u. 46."/>
    <s v="ok"/>
    <n v="2"/>
    <n v="2"/>
    <x v="16"/>
    <e v="#N/A"/>
    <n v="0"/>
    <n v="2"/>
  </r>
  <r>
    <s v="MTB Magyar Takarékszövetkezeti Bank"/>
    <s v="S6T60626"/>
    <s v="ProCash 2050"/>
    <s v="5300187123"/>
    <s v="4558"/>
    <s v="Ófehértó"/>
    <s v="Alkotmány út 58."/>
    <s v="ok"/>
    <n v="2"/>
    <n v="2"/>
    <x v="1"/>
    <e v="#N/A"/>
    <n v="0"/>
    <n v="2"/>
  </r>
  <r>
    <s v="MTB Magyar Takarékszövetkezeti Bank"/>
    <s v="S6T61401"/>
    <s v="ProCash 2150"/>
    <s v="5300735182"/>
    <s v="4287"/>
    <s v="Vámospércs"/>
    <s v="Nagy u. 9."/>
    <s v="ok"/>
    <n v="2"/>
    <n v="2"/>
    <x v="16"/>
    <e v="#N/A"/>
    <n v="0"/>
    <n v="2"/>
  </r>
  <r>
    <s v="MTB Magyar Takarékszövetkezeti Bank"/>
    <s v="S6T61403"/>
    <s v="ProCash 2054xe USB"/>
    <s v="XXS6T61403"/>
    <s v="4173"/>
    <s v="Nagyrábé"/>
    <s v="Kossuth u. 24."/>
    <s v="ok"/>
    <n v="2"/>
    <n v="2"/>
    <x v="16"/>
    <e v="#N/A"/>
    <n v="0"/>
    <n v="2"/>
  </r>
  <r>
    <s v="MTB Magyar Takarékszövetkezeti Bank"/>
    <s v="S6T61404"/>
    <s v="CSC/450 system"/>
    <s v="XXS6T61404"/>
    <s v="4161"/>
    <s v="Báránd"/>
    <s v="Vörösmarty u. 34."/>
    <s v="ok"/>
    <n v="2"/>
    <n v="0"/>
    <x v="16"/>
    <e v="#N/A"/>
    <n v="0"/>
    <n v="0"/>
  </r>
  <r>
    <s v="MTB Magyar Takarékszövetkezeti Bank"/>
    <s v="S6T61405"/>
    <s v="ProCash 2050"/>
    <s v="XXS6T61405"/>
    <s v="4183"/>
    <s v="Kaba"/>
    <s v="Rákóczi u. 20."/>
    <s v="ok"/>
    <n v="2"/>
    <n v="2"/>
    <x v="16"/>
    <n v="1"/>
    <n v="1"/>
    <n v="1"/>
  </r>
  <r>
    <s v="MTB Magyar Takarékszövetkezeti Bank"/>
    <s v="S6T61407"/>
    <s v="ProCash 2050"/>
    <s v="XXS6T61407"/>
    <s v="4150"/>
    <s v="Püspökladány"/>
    <s v="Gagarin u. 1."/>
    <s v="ok"/>
    <n v="2"/>
    <n v="2"/>
    <x v="16"/>
    <e v="#N/A"/>
    <n v="0"/>
    <n v="2"/>
  </r>
  <r>
    <s v="MTB Magyar Takarékszövetkezeti Bank"/>
    <s v="S6T61408"/>
    <s v="OPT562 1GIG-DVD-UPS-LAN-A6-CEN3(4HIGH)"/>
    <s v="1562RH127794"/>
    <s v="4264"/>
    <s v="Nyírábrány"/>
    <s v="Jókai u. 1/a"/>
    <s v="ok"/>
    <n v="2"/>
    <n v="2"/>
    <x v="16"/>
    <n v="1"/>
    <n v="1"/>
    <n v="1"/>
  </r>
  <r>
    <s v="MTB Magyar Takarékszövetkezeti Bank"/>
    <s v="S6T61601"/>
    <s v="CSC/450 system"/>
    <s v="SSB3216928"/>
    <s v="3300"/>
    <s v="Eger"/>
    <s v="Katona tér 7-9."/>
    <s v="ok"/>
    <n v="2"/>
    <n v="2"/>
    <x v="2"/>
    <e v="#N/A"/>
    <n v="0"/>
    <n v="2"/>
  </r>
  <r>
    <s v="MTB Magyar Takarékszövetkezeti Bank"/>
    <s v="S6T61602"/>
    <s v="ProCash 2150xe"/>
    <s v="5300454316"/>
    <s v="3346"/>
    <s v="Bélapátfalva"/>
    <s v="Május 1. u. 2/a"/>
    <s v="ok"/>
    <n v="2"/>
    <n v="2"/>
    <x v="6"/>
    <n v="1"/>
    <n v="1"/>
    <n v="1"/>
  </r>
  <r>
    <s v="MTB Magyar Takarékszövetkezeti Bank"/>
    <s v="S6T61900"/>
    <s v="ProCash 2050xe"/>
    <s v="5300141565"/>
    <s v="3300"/>
    <s v="Eger"/>
    <s v="Malomárok utca 31."/>
    <s v="ok"/>
    <n v="2"/>
    <n v="2"/>
    <x v="2"/>
    <e v="#N/A"/>
    <n v="0"/>
    <n v="2"/>
  </r>
  <r>
    <s v="MTB Magyar Takarékszövetkezeti Bank"/>
    <s v="S6T61904"/>
    <s v="ProCash 2050xe"/>
    <s v="5300154317"/>
    <s v="3388"/>
    <s v="Poroszló"/>
    <s v="Fő út 3."/>
    <s v="ok"/>
    <n v="2"/>
    <n v="2"/>
    <x v="6"/>
    <n v="1"/>
    <n v="1"/>
    <n v="1"/>
  </r>
  <r>
    <s v="MTB Magyar Takarékszövetkezeti Bank"/>
    <s v="S6T61905"/>
    <s v="ProCash 2050xe USB"/>
    <s v="5300827414"/>
    <s v="3350"/>
    <s v="Kál"/>
    <s v="Rózsa utca 2/a."/>
    <s v="ok"/>
    <n v="2"/>
    <n v="2"/>
    <x v="6"/>
    <n v="1"/>
    <n v="1"/>
    <n v="1"/>
  </r>
  <r>
    <s v="MTB Magyar Takarékszövetkezeti Bank"/>
    <s v="S6T61906"/>
    <s v="ProCash 2050xe"/>
    <s v="5300122093"/>
    <s v="3300"/>
    <s v="Eger"/>
    <s v="Mátyás kir. utca 102."/>
    <s v="ok"/>
    <n v="2"/>
    <n v="2"/>
    <x v="2"/>
    <n v="1"/>
    <n v="1"/>
    <n v="1"/>
  </r>
  <r>
    <s v="MTB Magyar Takarékszövetkezeti Bank"/>
    <s v="S6T61907"/>
    <s v="ProCash 2050xe"/>
    <s v="5300129573"/>
    <s v="3374"/>
    <s v="Szihalom"/>
    <s v="Hunyadi út 94."/>
    <s v="ok"/>
    <n v="2"/>
    <n v="2"/>
    <x v="6"/>
    <n v="1"/>
    <n v="1"/>
    <n v="1"/>
  </r>
  <r>
    <s v="MTB Magyar Takarékszövetkezeti Bank"/>
    <s v="S6T61908"/>
    <s v="ProCash 2050xe"/>
    <s v="5300198800"/>
    <s v="3373"/>
    <s v="Besenyőtelek"/>
    <s v="Fő út 112."/>
    <s v="ok"/>
    <n v="2"/>
    <n v="2"/>
    <x v="6"/>
    <n v="1"/>
    <n v="1"/>
    <n v="1"/>
  </r>
  <r>
    <s v="MTB Magyar Takarékszövetkezeti Bank"/>
    <s v="S6T61909"/>
    <s v="ProCash 2050xe"/>
    <s v="5300242740"/>
    <s v="3390"/>
    <s v="Füzesabony"/>
    <s v="Rákóczi út 55."/>
    <s v="ok"/>
    <n v="2"/>
    <n v="2"/>
    <x v="6"/>
    <n v="1"/>
    <n v="1"/>
    <n v="1"/>
  </r>
  <r>
    <s v="MTB Magyar Takarékszövetkezeti Bank"/>
    <s v="S6T61910"/>
    <s v="ProCash 2050xe USB"/>
    <s v="5300378708"/>
    <s v="3390"/>
    <s v="Füzesabony"/>
    <s v="Szabadság út 22."/>
    <s v="ok"/>
    <n v="2"/>
    <n v="2"/>
    <x v="6"/>
    <n v="1"/>
    <n v="1"/>
    <n v="1"/>
  </r>
  <r>
    <s v="MTB Magyar Takarékszövetkezeti Bank"/>
    <s v="S6T61911"/>
    <s v="ProCash 2050xe USB"/>
    <s v="5300379746"/>
    <s v="3386"/>
    <s v="Sarud"/>
    <s v="Kossuth út 109."/>
    <s v="ok"/>
    <n v="2"/>
    <n v="2"/>
    <x v="6"/>
    <n v="1"/>
    <n v="1"/>
    <n v="1"/>
  </r>
  <r>
    <s v="MTB Magyar Takarékszövetkezeti Bank"/>
    <s v="S6T62001"/>
    <s v="Diebold-Opteva 562r 3 High-Standard ATM"/>
    <s v="562RRH100213"/>
    <s v="3200"/>
    <s v="Gyöngyös"/>
    <s v="Magyar út 1."/>
    <s v="ok"/>
    <n v="2"/>
    <n v="2"/>
    <x v="10"/>
    <n v="1"/>
    <n v="1"/>
    <n v="1"/>
  </r>
  <r>
    <s v="MTB Magyar Takarékszövetkezeti Bank"/>
    <s v="S6T62002"/>
    <s v="OPT562 1GIG-DVD-UPS-LAN-A6-CEN3(4HIGH)"/>
    <s v="1562RCF00950"/>
    <s v="3358"/>
    <s v="Erdőtelek"/>
    <s v="Fő u. 123."/>
    <s v="ok"/>
    <n v="2"/>
    <n v="2"/>
    <x v="6"/>
    <n v="1"/>
    <n v="1"/>
    <n v="1"/>
  </r>
  <r>
    <s v="MTB Magyar Takarékszövetkezeti Bank"/>
    <s v="S6T62003"/>
    <s v="OPT562 1GIG-DVD-UPS-LAN-A6-CEN3(4HIGH)"/>
    <s v="1562RH145154"/>
    <s v="3263"/>
    <s v="Domoszló"/>
    <s v="Deák tér 6."/>
    <s v="ok"/>
    <n v="2"/>
    <n v="2"/>
    <x v="6"/>
    <n v="1"/>
    <n v="1"/>
    <n v="1"/>
  </r>
  <r>
    <s v="MTB Magyar Takarékszövetkezeti Bank"/>
    <s v="S6T62004"/>
    <s v="Diebold-Opteva 760 ATM Outdoor"/>
    <s v="1760RCF00490"/>
    <s v="3035"/>
    <s v="Gyöngyöspata"/>
    <s v="Dózsa György út 1."/>
    <s v="ok"/>
    <n v="2"/>
    <n v="2"/>
    <x v="10"/>
    <n v="1"/>
    <n v="1"/>
    <n v="1"/>
  </r>
  <r>
    <s v="MTB Magyar Takarékszövetkezeti Bank"/>
    <s v="S6T62101"/>
    <s v="ProCash 2050"/>
    <s v="5300095579"/>
    <s v="3000"/>
    <s v="Hatvan"/>
    <s v="Kossuth tér 15."/>
    <s v="ok"/>
    <n v="2"/>
    <n v="2"/>
    <x v="6"/>
    <n v="1"/>
    <n v="1"/>
    <n v="1"/>
  </r>
  <r>
    <s v="MTB Magyar Takarékszövetkezeti Bank"/>
    <s v="S6T62102"/>
    <s v="ProCash 2050"/>
    <s v="5300536252"/>
    <s v="3023"/>
    <s v="Petőfibánya"/>
    <s v="Mária u. 4."/>
    <s v="ok"/>
    <n v="2"/>
    <n v="2"/>
    <x v="6"/>
    <n v="1"/>
    <n v="1"/>
    <n v="1"/>
  </r>
  <r>
    <s v="MTB Magyar Takarékszövetkezeti Bank"/>
    <s v="S6T62103"/>
    <s v="ProCash 2050"/>
    <s v="5300216494"/>
    <s v="3021"/>
    <s v="Lőrinci"/>
    <s v="Szabadság tér 3."/>
    <s v="ok"/>
    <n v="2"/>
    <n v="2"/>
    <x v="6"/>
    <n v="1"/>
    <n v="1"/>
    <n v="1"/>
  </r>
  <r>
    <s v="MTB Magyar Takarékszövetkezeti Bank"/>
    <s v="S6T62104"/>
    <s v="ProCash 2050"/>
    <s v="5300450974"/>
    <s v="3060"/>
    <s v="Pásztó"/>
    <s v="Fő út 64."/>
    <s v="ok"/>
    <n v="2"/>
    <n v="2"/>
    <x v="6"/>
    <n v="1"/>
    <n v="1"/>
    <n v="1"/>
  </r>
  <r>
    <s v="MTB Magyar Takarékszövetkezeti Bank"/>
    <s v="S6T62301"/>
    <s v="OPT562 1GIG-DVD-UPS-LAN-A6-CEN3(4HIGH)"/>
    <s v="1562RCF01019"/>
    <s v="3291"/>
    <s v="Vámosgyörk"/>
    <s v="Petőfi út 21."/>
    <s v="ok"/>
    <n v="2"/>
    <n v="2"/>
    <x v="6"/>
    <n v="1"/>
    <n v="1"/>
    <n v="1"/>
  </r>
  <r>
    <s v="MTB Magyar Takarékszövetkezeti Bank"/>
    <s v="S6T62701"/>
    <s v="CSC/450 system"/>
    <s v="SSB3212669"/>
    <s v="3200"/>
    <s v="Gyöngyös"/>
    <s v="Bugát Pál tér 1/1"/>
    <s v="ok"/>
    <n v="2"/>
    <n v="2"/>
    <x v="6"/>
    <e v="#N/A"/>
    <n v="0"/>
    <n v="2"/>
  </r>
  <r>
    <s v="MTB Magyar Takarékszövetkezeti Bank"/>
    <s v="S6T62801"/>
    <s v="ProCash 2050xe USB"/>
    <s v="5300517450"/>
    <s v="3300"/>
    <s v="Eger"/>
    <s v="Széchenyi u. 18."/>
    <s v="ok"/>
    <n v="2"/>
    <n v="2"/>
    <x v="2"/>
    <n v="1"/>
    <n v="1"/>
    <n v="1"/>
  </r>
  <r>
    <s v="MTB Magyar Takarékszövetkezeti Bank"/>
    <s v="S6T62802"/>
    <s v="ProCash 2050xe USB"/>
    <s v="5300536272"/>
    <s v="3325"/>
    <s v="Noszvaj"/>
    <s v="Kossuth L. u. 3."/>
    <s v="ok"/>
    <n v="2"/>
    <n v="2"/>
    <x v="6"/>
    <n v="1"/>
    <n v="1"/>
    <n v="1"/>
  </r>
  <r>
    <s v="MTB Magyar Takarékszövetkezeti Bank"/>
    <s v="S6T62803"/>
    <s v="ProCash 2050xe USB"/>
    <s v="5300517465"/>
    <s v="3351"/>
    <s v="Verpelét"/>
    <s v="Szabadság tér 8/a"/>
    <s v="ok"/>
    <n v="2"/>
    <n v="2"/>
    <x v="6"/>
    <n v="1"/>
    <n v="1"/>
    <n v="1"/>
  </r>
  <r>
    <s v="MTB Magyar Takarékszövetkezeti Bank"/>
    <s v="S6T62804"/>
    <s v="CSC/450 system"/>
    <s v="SSB3208985"/>
    <s v="3332"/>
    <s v="Sirok"/>
    <s v="Széchenyi u. 3."/>
    <s v="ok"/>
    <n v="2"/>
    <n v="2"/>
    <x v="6"/>
    <e v="#N/A"/>
    <n v="0"/>
    <n v="2"/>
  </r>
  <r>
    <s v="MTB Magyar Takarékszövetkezeti Bank"/>
    <s v="S6T62805"/>
    <s v="ProCash 2050xe"/>
    <s v="5300141566"/>
    <s v="3300"/>
    <s v="Eger"/>
    <s v="Kertész út 84."/>
    <s v="ok"/>
    <n v="2"/>
    <n v="2"/>
    <x v="2"/>
    <n v="1"/>
    <n v="1"/>
    <n v="1"/>
  </r>
  <r>
    <s v="MTB Magyar Takarékszövetkezeti Bank"/>
    <s v="S6T62807"/>
    <s v="CSC/450 system"/>
    <s v="SSB3213011"/>
    <s v="3250"/>
    <s v="Pétervására"/>
    <s v="Szabadság tér 21."/>
    <s v="ok"/>
    <n v="2"/>
    <n v="2"/>
    <x v="6"/>
    <n v="1"/>
    <n v="1"/>
    <n v="1"/>
  </r>
  <r>
    <s v="MTB Magyar Takarékszövetkezeti Bank"/>
    <s v="S6T62809"/>
    <s v="CSC/450 system"/>
    <s v="SSB3211080"/>
    <s v="3394"/>
    <s v="Egerszalók"/>
    <s v="Sáfrány u. 1."/>
    <s v="ok"/>
    <n v="2"/>
    <n v="2"/>
    <x v="6"/>
    <n v="1"/>
    <n v="1"/>
    <n v="1"/>
  </r>
  <r>
    <s v="MTB Magyar Takarékszövetkezeti Bank"/>
    <s v="S6T62810"/>
    <s v="ProCash 2150"/>
    <s v="5300005168"/>
    <s v="3399"/>
    <s v="Andornaktálya"/>
    <s v="Rákóczi u. 161/a."/>
    <s v="ok"/>
    <n v="2"/>
    <n v="2"/>
    <x v="6"/>
    <e v="#N/A"/>
    <n v="0"/>
    <n v="2"/>
  </r>
  <r>
    <s v="MTB Magyar Takarékszövetkezeti Bank"/>
    <s v="S6T62814"/>
    <s v="ProCash 2050xe USB"/>
    <s v="5300521200"/>
    <s v="3327"/>
    <s v="Novaj"/>
    <s v="István u. 2."/>
    <s v="ok"/>
    <n v="2"/>
    <n v="2"/>
    <x v="6"/>
    <n v="1"/>
    <n v="1"/>
    <n v="1"/>
  </r>
  <r>
    <s v="MTB Magyar Takarékszövetkezeti Bank"/>
    <s v="S6T62815"/>
    <s v="CSC/450 system"/>
    <s v="SSB3205010"/>
    <s v="3326"/>
    <s v="Ostoros"/>
    <s v="Hősök tere 8."/>
    <s v="ok"/>
    <n v="2"/>
    <n v="2"/>
    <x v="6"/>
    <e v="#N/A"/>
    <n v="0"/>
    <n v="2"/>
  </r>
  <r>
    <s v="MTB Magyar Takarékszövetkezeti Bank"/>
    <s v="S6T62816"/>
    <s v="Diebold-Opteva 760 ATM Outdoor"/>
    <s v="1760RCF00083"/>
    <s v="3258"/>
    <s v="Tarnalelesz"/>
    <s v="Szabadság út 34."/>
    <s v="ok"/>
    <n v="0"/>
    <n v="0"/>
    <x v="6"/>
    <e v="#N/A"/>
    <n v="0"/>
    <n v="0"/>
  </r>
  <r>
    <s v="MTB Magyar Takarékszövetkezeti Bank"/>
    <s v="S6T62904"/>
    <s v="OPT562 1GIG-DVD-UPS-LAN-A6-CEN3(4HIGH)"/>
    <s v="1562RH144918"/>
    <s v="2889"/>
    <s v="Súr"/>
    <s v="Petőfi u. 65."/>
    <s v="ok"/>
    <n v="2"/>
    <n v="2"/>
    <x v="4"/>
    <n v="1"/>
    <n v="1"/>
    <n v="1"/>
  </r>
  <r>
    <s v="MTB Magyar Takarékszövetkezeti Bank"/>
    <s v="S6T62905"/>
    <s v="Diebold-Opteva 522 Lobby Cash Dispenser"/>
    <s v="1522VH101390"/>
    <s v="1061"/>
    <s v="Budapest"/>
    <s v="Jókai tér 2."/>
    <s v="ok"/>
    <n v="2"/>
    <n v="2"/>
    <x v="13"/>
    <n v="1"/>
    <n v="1"/>
    <n v="1"/>
  </r>
  <r>
    <s v="MTB Magyar Takarékszövetkezeti Bank"/>
    <s v="S6T63204"/>
    <s v="CINEO C2550"/>
    <s v="5300769318"/>
    <s v="2941"/>
    <s v="Ács"/>
    <s v="Postaköz 2."/>
    <s v="ok"/>
    <n v="2"/>
    <n v="2"/>
    <x v="5"/>
    <e v="#N/A"/>
    <n v="0"/>
    <n v="2"/>
  </r>
  <r>
    <s v="MTB Magyar Takarékszövetkezeti Bank"/>
    <s v="S6T63205"/>
    <s v="CINEO C2550"/>
    <s v="5300769369"/>
    <s v="2943"/>
    <s v="Bábolna"/>
    <s v="Béke utca. 1."/>
    <s v="ok"/>
    <n v="2"/>
    <n v="2"/>
    <x v="5"/>
    <e v="#N/A"/>
    <n v="0"/>
    <n v="2"/>
  </r>
  <r>
    <s v="MTB Magyar Takarékszövetkezeti Bank"/>
    <s v="S6T63206"/>
    <s v="ProCash 2050xe USB"/>
    <s v="5300389440"/>
    <s v="2942"/>
    <s v="Nagyigmánd"/>
    <s v="Mansbart u. 2."/>
    <s v="ok"/>
    <n v="2"/>
    <n v="2"/>
    <x v="5"/>
    <e v="#N/A"/>
    <n v="0"/>
    <n v="2"/>
  </r>
  <r>
    <s v="MTB Magyar Takarékszövetkezeti Bank"/>
    <s v="S6T63208"/>
    <s v="CINEO C2550"/>
    <s v="5300769341"/>
    <s v="2921"/>
    <s v="Szőny"/>
    <s v="Széchenyi u. 3/a."/>
    <s v="ok"/>
    <n v="2"/>
    <n v="2"/>
    <x v="5"/>
    <n v="1"/>
    <n v="1"/>
    <n v="1"/>
  </r>
  <r>
    <s v="MTB Magyar Takarékszövetkezeti Bank"/>
    <s v="S6T63209"/>
    <s v="ProCash 2150xe"/>
    <s v="5300336151"/>
    <s v="1155"/>
    <s v="Budapest"/>
    <s v="Kolozsvár u. 2/B."/>
    <s v="ok"/>
    <n v="2"/>
    <n v="2"/>
    <x v="6"/>
    <n v="1"/>
    <n v="1"/>
    <n v="1"/>
  </r>
  <r>
    <s v="MTB Magyar Takarékszövetkezeti Bank"/>
    <s v="S6T63212"/>
    <s v="ProCash 2150xe"/>
    <s v="5300336129"/>
    <s v="2545"/>
    <s v="Dunaalmás"/>
    <s v="Almási u. 57."/>
    <s v="ok"/>
    <n v="2"/>
    <n v="2"/>
    <x v="5"/>
    <n v="1"/>
    <n v="1"/>
    <n v="1"/>
  </r>
  <r>
    <s v="MTB Magyar Takarékszövetkezeti Bank"/>
    <s v="S6T63214"/>
    <s v="ProCash 2050xe USB"/>
    <s v="5300558444"/>
    <s v="2831"/>
    <s v="Tarján"/>
    <s v="Rákóczi út 8"/>
    <s v="ok"/>
    <n v="2"/>
    <n v="2"/>
    <x v="5"/>
    <n v="1"/>
    <n v="1"/>
    <n v="1"/>
  </r>
  <r>
    <s v="MTB Magyar Takarékszövetkezeti Bank"/>
    <s v="S6T63215"/>
    <s v="ProCash 2050xe USB"/>
    <s v="5300228572"/>
    <s v="2898"/>
    <s v="Kocs"/>
    <s v="Kis u. 6."/>
    <s v="ok"/>
    <n v="2"/>
    <n v="2"/>
    <x v="5"/>
    <n v="1"/>
    <n v="1"/>
    <n v="1"/>
  </r>
  <r>
    <s v="MTB Magyar Takarékszövetkezeti Bank"/>
    <s v="S6T63216"/>
    <s v="ProCash 2150xe"/>
    <s v="5300294126"/>
    <s v="2541"/>
    <s v="Lábatlan"/>
    <s v="Rákóczi út 138-140"/>
    <s v="ok"/>
    <n v="2"/>
    <n v="2"/>
    <x v="5"/>
    <n v="1"/>
    <n v="1"/>
    <n v="1"/>
  </r>
  <r>
    <s v="MTB Magyar Takarékszövetkezeti Bank"/>
    <s v="S6T63217"/>
    <s v="Diebold-Opteva 560 ATM Outdoor"/>
    <s v="1560R33001582"/>
    <s v="9177"/>
    <s v="Ásványráró"/>
    <s v="Győri u. 47."/>
    <s v="ok"/>
    <n v="2"/>
    <n v="2"/>
    <x v="19"/>
    <e v="#N/A"/>
    <n v="0"/>
    <n v="2"/>
  </r>
  <r>
    <s v="MTB Magyar Takarékszövetkezeti Bank"/>
    <s v="S6T63218"/>
    <s v="Diebold-Opteva 560 ATM Outdoor"/>
    <s v="1560R3302367"/>
    <s v="9232"/>
    <s v="Darnózseli"/>
    <s v="Felszadadulás u 46."/>
    <s v="ok"/>
    <n v="2"/>
    <n v="2"/>
    <x v="19"/>
    <e v="#N/A"/>
    <n v="0"/>
    <n v="2"/>
  </r>
  <r>
    <s v="MTB Magyar Takarékszövetkezeti Bank"/>
    <s v="S6T63220"/>
    <s v="OPT562 1GIG-DVD-UPS-LAN-A6-CEN3(4HIGH)"/>
    <s v="1562RH131872"/>
    <s v="2944"/>
    <s v="Bana"/>
    <s v="Mártírok u 14."/>
    <s v="ok"/>
    <n v="2"/>
    <n v="2"/>
    <x v="19"/>
    <e v="#N/A"/>
    <n v="0"/>
    <n v="2"/>
  </r>
  <r>
    <s v="MTB Magyar Takarékszövetkezeti Bank"/>
    <s v="S6T63221"/>
    <s v="OPT562 1GIG-DVD-UPS-LAN-A6-CEN3(4HIGH)"/>
    <s v="1562RH139098"/>
    <s v="2856"/>
    <s v="Szákszend"/>
    <s v="Száki út 96."/>
    <s v="ok"/>
    <n v="2"/>
    <n v="2"/>
    <x v="19"/>
    <n v="1"/>
    <n v="1"/>
    <n v="1"/>
  </r>
  <r>
    <s v="MTB Magyar Takarékszövetkezeti Bank"/>
    <s v="S6T63222"/>
    <s v="OPT562 1GIG-DVD-UPS-LAN-A6-CEN3(4HIGH)"/>
    <s v="1562RH139156"/>
    <s v="2834"/>
    <s v="Tardos"/>
    <s v="Rákóczi Ferenc u. 12."/>
    <s v="ok"/>
    <n v="2"/>
    <n v="2"/>
    <x v="19"/>
    <n v="1"/>
    <n v="1"/>
    <n v="1"/>
  </r>
  <r>
    <s v="MTB Magyar Takarékszövetkezeti Bank"/>
    <s v="S6T63223"/>
    <s v="OPT562 1GIG-DVD-UPS-LAN-A6-CEN3(4HIGH)"/>
    <s v="1562RH139157"/>
    <s v="2911"/>
    <s v="Mocsa"/>
    <s v="Csillag utca 1."/>
    <s v="ok"/>
    <n v="2"/>
    <n v="2"/>
    <x v="19"/>
    <n v="1"/>
    <n v="1"/>
    <n v="1"/>
  </r>
  <r>
    <s v="MTB Magyar Takarékszövetkezeti Bank"/>
    <s v="S6T63225"/>
    <s v="ProCash 2050xe USB"/>
    <s v="5300558436"/>
    <s v="2896"/>
    <s v="Szomód"/>
    <s v="Tatai utca 1."/>
    <s v="ok"/>
    <n v="2"/>
    <n v="2"/>
    <x v="5"/>
    <e v="#N/A"/>
    <n v="0"/>
    <n v="2"/>
  </r>
  <r>
    <s v="MTB Magyar Takarékszövetkezeti Bank"/>
    <s v="S6T63227"/>
    <s v="ProCash 2050xe USB"/>
    <s v="5300558416"/>
    <s v="9026"/>
    <s v="Győr"/>
    <s v="Hédervári utca 33."/>
    <s v="ok"/>
    <n v="2"/>
    <n v="2"/>
    <x v="5"/>
    <n v="1"/>
    <n v="1"/>
    <n v="1"/>
  </r>
  <r>
    <s v="MTB Magyar Takarékszövetkezeti Bank"/>
    <s v="S6T63228"/>
    <s v="ProCash 2050xe USB"/>
    <s v="5300558414"/>
    <s v="9174"/>
    <s v="Dunaszeg"/>
    <s v="Országút utca 6."/>
    <s v="ok"/>
    <n v="2"/>
    <n v="2"/>
    <x v="5"/>
    <n v="1"/>
    <n v="1"/>
    <n v="1"/>
  </r>
  <r>
    <s v="MTB Magyar Takarékszövetkezeti Bank"/>
    <s v="S6T63230"/>
    <s v="ProCash 2050xe USB"/>
    <s v="5300558412"/>
    <s v="2945"/>
    <s v="Tárkány"/>
    <s v="Sport tér 6."/>
    <s v="ok"/>
    <n v="2"/>
    <n v="2"/>
    <x v="5"/>
    <e v="#N/A"/>
    <n v="0"/>
    <n v="2"/>
  </r>
  <r>
    <s v="MTB Magyar Takarékszövetkezeti Bank"/>
    <s v="S6T63301"/>
    <s v="Diebold-Opteva 562r 3 High-Standard ATM"/>
    <s v="562RRH100579"/>
    <s v="2800"/>
    <s v="Tatabánya"/>
    <s v="Árpád u. 102."/>
    <s v="ok"/>
    <n v="2"/>
    <n v="2"/>
    <x v="19"/>
    <e v="#N/A"/>
    <n v="0"/>
    <n v="2"/>
  </r>
  <r>
    <s v="MTB Magyar Takarékszövetkezeti Bank"/>
    <s v="S6T63302"/>
    <s v="OPT562 1GIG-DVD-UPS-LAN-A6-CEN3(4HIGH)"/>
    <s v="1562RH137084"/>
    <s v="2851"/>
    <s v="Környe"/>
    <s v="Alkotmány u. 14."/>
    <s v="ok"/>
    <n v="2"/>
    <n v="2"/>
    <x v="19"/>
    <n v="1"/>
    <n v="1"/>
    <n v="1"/>
  </r>
  <r>
    <s v="MTB Magyar Takarékszövetkezeti Bank"/>
    <s v="S6T63304"/>
    <s v="OPT562 1GIG-DVD-UPS-LAN-A6-CEN3(4HIGH)"/>
    <s v="1562RCF00032"/>
    <s v="2840"/>
    <s v="Oroszlány"/>
    <s v="Rákóczi u. 7/a"/>
    <s v="ok"/>
    <n v="2"/>
    <n v="2"/>
    <x v="19"/>
    <n v="1"/>
    <n v="1"/>
    <n v="1"/>
  </r>
  <r>
    <s v="MTB Magyar Takarékszövetkezeti Bank"/>
    <s v="S6T63307"/>
    <s v="OPT562 1GIG-DVD-UPS-LAN-A6-CEN3(4HIGH)"/>
    <s v="1562RH138184"/>
    <s v="2800"/>
    <s v="Tatabánya"/>
    <s v="Ságvári u. 33. fsz. 1/b"/>
    <s v="ok"/>
    <n v="2"/>
    <n v="2"/>
    <x v="19"/>
    <n v="1"/>
    <n v="1"/>
    <n v="1"/>
  </r>
  <r>
    <s v="MTB Magyar Takarékszövetkezeti Bank"/>
    <s v="S6T63605"/>
    <s v="OPT562 1GIG-DVD-UPS-LAN-A6-CEN3(4HIGH)"/>
    <s v="XXS6T63605"/>
    <s v="2618"/>
    <s v="Nézsa"/>
    <s v="Szondi u. 108"/>
    <s v="ok"/>
    <n v="2"/>
    <n v="0"/>
    <x v="6"/>
    <e v="#N/A"/>
    <n v="0"/>
    <n v="0"/>
  </r>
  <r>
    <s v="MTB Magyar Takarékszövetkezeti Bank"/>
    <s v="S6T63801"/>
    <s v="ProCash 2050xe"/>
    <s v="5300270891"/>
    <s v="2643"/>
    <s v="Diósjenő"/>
    <s v="Kossuth u. 11/c"/>
    <s v="ok"/>
    <n v="2"/>
    <n v="2"/>
    <x v="6"/>
    <n v="1"/>
    <n v="1"/>
    <n v="1"/>
  </r>
  <r>
    <s v="MTB Magyar Takarékszövetkezeti Bank"/>
    <s v="S6T63802"/>
    <s v="OPT562 1GIG-DVD-UPS-LAN-A6-CEN3(4HIGH)"/>
    <s v="1562RH138601"/>
    <s v="2646"/>
    <s v="Drégelypalánk"/>
    <s v="Kossuth Lajos u. 50."/>
    <s v="ok"/>
    <n v="2"/>
    <n v="2"/>
    <x v="6"/>
    <n v="1"/>
    <n v="1"/>
    <n v="1"/>
  </r>
  <r>
    <s v="MTB Magyar Takarékszövetkezeti Bank"/>
    <s v="S6T64401"/>
    <s v="Diebold-Opteva 760 ATM Outdoor"/>
    <s v="1760RH126432"/>
    <s v="2371"/>
    <s v="Dabas-Sári"/>
    <s v="Szent János út 108."/>
    <s v="ok"/>
    <n v="2"/>
    <n v="2"/>
    <x v="15"/>
    <n v="1"/>
    <n v="1"/>
    <n v="1"/>
  </r>
  <r>
    <s v="MTB Magyar Takarékszövetkezeti Bank"/>
    <s v="S6T64402"/>
    <s v="Diebold-Opteva 750 ATM Outdoor"/>
    <s v="1750F3320017"/>
    <s v="2350"/>
    <s v="Bugyi"/>
    <s v="Teleki út 106."/>
    <s v="ok"/>
    <n v="2"/>
    <n v="2"/>
    <x v="15"/>
    <n v="1"/>
    <n v="1"/>
    <n v="1"/>
  </r>
  <r>
    <s v="MTB Magyar Takarékszövetkezeti Bank"/>
    <s v="S6T64404"/>
    <s v="Diebold-Opteva 750 ATM Outdoor"/>
    <s v="1750FGR20634"/>
    <s v="2365"/>
    <s v="Inárcs"/>
    <s v="Bajcsy Zs. 94."/>
    <s v="ok"/>
    <n v="2"/>
    <n v="2"/>
    <x v="15"/>
    <n v="1"/>
    <n v="1"/>
    <n v="1"/>
  </r>
  <r>
    <s v="MTB Magyar Takarékszövetkezeti Bank"/>
    <s v="S6T64405"/>
    <s v="Diebold-Opteva 760 ATM Outdoor"/>
    <s v="1760RH128978"/>
    <s v="2360"/>
    <s v="Gyál"/>
    <s v="Déryné u. 1-3."/>
    <s v="ok"/>
    <n v="2"/>
    <n v="2"/>
    <x v="15"/>
    <n v="1"/>
    <n v="1"/>
    <n v="1"/>
  </r>
  <r>
    <s v="MTB Magyar Takarékszövetkezeti Bank"/>
    <s v="S6T64406"/>
    <s v="Diebold-Opteva 760 ATM Outdoor"/>
    <s v="1760RH125092"/>
    <s v="2370"/>
    <s v="Dabas"/>
    <s v="Bartók B. út 63."/>
    <s v="ok"/>
    <n v="2"/>
    <n v="2"/>
    <x v="15"/>
    <n v="1"/>
    <n v="1"/>
    <n v="1"/>
  </r>
  <r>
    <s v="MTB Magyar Takarékszövetkezeti Bank"/>
    <s v="S6T64407"/>
    <s v="Diebold-Opteva 750 ATM Outdoor"/>
    <s v="1750FGR20980"/>
    <s v="2347"/>
    <s v="Bugyi"/>
    <s v="Templom u. 6."/>
    <s v="ok"/>
    <n v="2"/>
    <n v="2"/>
    <x v="15"/>
    <n v="1"/>
    <n v="1"/>
    <n v="1"/>
  </r>
  <r>
    <s v="MTB Magyar Takarékszövetkezeti Bank"/>
    <s v="S6T64408"/>
    <s v="Diebold-Opteva 750 ATM Outdoor"/>
    <s v="1750F3320018"/>
    <s v="2351"/>
    <s v="Alsónémedi"/>
    <s v="Fő út 66/A."/>
    <s v="ok"/>
    <n v="2"/>
    <n v="2"/>
    <x v="15"/>
    <n v="2"/>
    <n v="2"/>
    <n v="0"/>
  </r>
  <r>
    <s v="MTB Magyar Takarékszövetkezeti Bank"/>
    <s v="S6T64410"/>
    <s v="Diebold-Opteva 560 ATM Outdoor"/>
    <s v="1560R3301575"/>
    <s v="2373"/>
    <s v="Gyón"/>
    <s v="Vasút út 2."/>
    <s v="ok"/>
    <n v="2"/>
    <n v="2"/>
    <x v="15"/>
    <n v="1"/>
    <n v="1"/>
    <n v="1"/>
  </r>
  <r>
    <s v="MTB Magyar Takarékszövetkezeti Bank"/>
    <s v="S6T64413"/>
    <s v="Diebold-Opteva 560 ATM Outdoor"/>
    <s v="1560R3301867"/>
    <s v="2330"/>
    <s v="Dunaharaszti"/>
    <s v="Baktai tér 1."/>
    <s v="ok"/>
    <n v="2"/>
    <n v="2"/>
    <x v="15"/>
    <n v="1"/>
    <n v="1"/>
    <n v="1"/>
  </r>
  <r>
    <s v="MTB Magyar Takarékszövetkezeti Bank"/>
    <s v="S6T64414"/>
    <s v="OPT562 1GIG-DVD-UPS-LAN-A6-CEN3(4HIGH)"/>
    <s v="1562RCF00956"/>
    <s v="2370"/>
    <s v="Dabas"/>
    <s v="Szent István tér 2/d"/>
    <s v="ok"/>
    <n v="2"/>
    <n v="2"/>
    <x v="15"/>
    <n v="1"/>
    <n v="1"/>
    <n v="1"/>
  </r>
  <r>
    <s v="MTB Magyar Takarékszövetkezeti Bank"/>
    <s v="S6T64700"/>
    <s v="ProCash 2150xe"/>
    <s v="5300131399"/>
    <s v="2000"/>
    <s v="Szentendre"/>
    <s v="Kossuth u 22"/>
    <s v="ok"/>
    <n v="2"/>
    <n v="2"/>
    <x v="5"/>
    <n v="1"/>
    <n v="1"/>
    <n v="1"/>
  </r>
  <r>
    <s v="MTB Magyar Takarékszövetkezeti Bank"/>
    <s v="S6T64703"/>
    <s v="OPT562 1GIG-DVD-UPS-LAN-A6-CEN3(4HIGH)"/>
    <s v="1562RH120084"/>
    <s v="2131"/>
    <s v="Göd"/>
    <s v="Ady E. u. 8."/>
    <s v="ok"/>
    <n v="2"/>
    <n v="2"/>
    <x v="6"/>
    <e v="#N/A"/>
    <n v="0"/>
    <n v="2"/>
  </r>
  <r>
    <s v="MTB Magyar Takarékszövetkezeti Bank"/>
    <s v="S6T64704"/>
    <s v="ProCash 2150xe"/>
    <s v="5300065267"/>
    <s v="2025"/>
    <s v="Visegrád"/>
    <s v="Rév u.9."/>
    <s v="ok"/>
    <n v="2"/>
    <n v="2"/>
    <x v="5"/>
    <n v="1"/>
    <n v="1"/>
    <n v="1"/>
  </r>
  <r>
    <s v="MTB Magyar Takarékszövetkezeti Bank"/>
    <s v="S6T64706"/>
    <s v="ProCash 2150xe"/>
    <s v="5300130781"/>
    <s v="2021"/>
    <s v="Tahitótfalu"/>
    <s v="Petőfi u. 27"/>
    <s v="ok"/>
    <n v="2"/>
    <n v="2"/>
    <x v="5"/>
    <n v="1"/>
    <n v="1"/>
    <n v="1"/>
  </r>
  <r>
    <s v="MTB Magyar Takarékszövetkezeti Bank"/>
    <s v="S6T64707"/>
    <s v="ProCash 2050xe"/>
    <s v="5300221495"/>
    <s v="2028"/>
    <s v="Pilismarót"/>
    <s v="Köztársaság tér 4."/>
    <s v="ok"/>
    <n v="2"/>
    <n v="2"/>
    <x v="5"/>
    <n v="1"/>
    <n v="1"/>
    <n v="1"/>
  </r>
  <r>
    <s v="MTB Magyar Takarékszövetkezeti Bank"/>
    <s v="S6T64708"/>
    <s v="ProCash 2050xe"/>
    <s v="5300221432"/>
    <s v="2133"/>
    <s v="Sződliget"/>
    <s v="Dr. Kemény J. út 30."/>
    <s v="ok"/>
    <n v="2"/>
    <n v="2"/>
    <x v="6"/>
    <n v="1"/>
    <n v="1"/>
    <n v="1"/>
  </r>
  <r>
    <s v="MTB Magyar Takarékszövetkezeti Bank"/>
    <s v="S6T64709"/>
    <s v="ProCash 2050xe USB"/>
    <s v="5300354899"/>
    <s v="2134"/>
    <s v="Sződ"/>
    <s v="Dózsa György út 102"/>
    <s v="ok"/>
    <n v="2"/>
    <n v="2"/>
    <x v="6"/>
    <n v="1"/>
    <n v="1"/>
    <n v="1"/>
  </r>
  <r>
    <s v="MTB Magyar Takarékszövetkezeti Bank"/>
    <s v="S6T64710"/>
    <s v="ProCash 2050xe USB"/>
    <s v="5300709365"/>
    <s v="2015"/>
    <s v="Szigetmonostor"/>
    <s v="Ady Endre u.4/a"/>
    <s v="ok"/>
    <n v="2"/>
    <n v="2"/>
    <x v="5"/>
    <n v="1"/>
    <n v="1"/>
    <n v="1"/>
  </r>
  <r>
    <s v="MTB Magyar Takarékszövetkezeti Bank"/>
    <s v="S6T64801"/>
    <s v="ProCash 2050"/>
    <s v="XXS6T64801"/>
    <s v="2030"/>
    <s v="Érd"/>
    <s v="Budai út 20."/>
    <s v="ok"/>
    <n v="2"/>
    <n v="2"/>
    <x v="5"/>
    <n v="1"/>
    <n v="1"/>
    <n v="1"/>
  </r>
  <r>
    <s v="MTB Magyar Takarékszövetkezeti Bank"/>
    <s v="S6T64803"/>
    <s v="OPT562 1GIG-DVD-UPS-LAN-A6-CEN3(4HIGH)"/>
    <s v="1562RH144184"/>
    <s v="2045"/>
    <s v="Törökbálint"/>
    <s v="Munkácsy M. u. 11."/>
    <s v="ok"/>
    <n v="2"/>
    <n v="2"/>
    <x v="17"/>
    <e v="#N/A"/>
    <n v="0"/>
    <n v="2"/>
  </r>
  <r>
    <s v="MTB Magyar Takarékszövetkezeti Bank"/>
    <s v="S6T64804"/>
    <s v="ProCash 2150"/>
    <s v="XXS6T64804"/>
    <s v="2461"/>
    <s v="Tárnok"/>
    <s v="Rákóczi út 91."/>
    <s v="ok"/>
    <n v="2"/>
    <n v="2"/>
    <x v="5"/>
    <n v="1"/>
    <n v="1"/>
    <n v="1"/>
  </r>
  <r>
    <s v="MTB Magyar Takarékszövetkezeti Bank"/>
    <s v="S6T64805"/>
    <s v="ProCash 2050"/>
    <s v="XXS6T64805"/>
    <s v="2049"/>
    <s v="Diósd"/>
    <s v="Szent István tér 12."/>
    <s v="ok"/>
    <n v="2"/>
    <n v="2"/>
    <x v="5"/>
    <n v="1"/>
    <n v="1"/>
    <n v="1"/>
  </r>
  <r>
    <s v="MTB Magyar Takarékszövetkezeti Bank"/>
    <s v="S6T64806"/>
    <s v="ProCash 2150"/>
    <s v="XXS6T64806"/>
    <s v="2038"/>
    <s v="Sóskút"/>
    <s v="Mártírok utca 5."/>
    <s v="ok"/>
    <n v="2"/>
    <n v="2"/>
    <x v="5"/>
    <e v="#N/A"/>
    <n v="0"/>
    <n v="2"/>
  </r>
  <r>
    <s v="MTB Magyar Takarékszövetkezeti Bank"/>
    <s v="S6T64807"/>
    <s v="ProCash 2050"/>
    <s v="XXS6T64807"/>
    <s v="2030"/>
    <s v="Érd"/>
    <s v="Hegesztő u. 10."/>
    <s v="ok"/>
    <n v="2"/>
    <n v="2"/>
    <x v="5"/>
    <n v="1"/>
    <n v="1"/>
    <n v="1"/>
  </r>
  <r>
    <s v="MTB Magyar Takarékszövetkezeti Bank"/>
    <s v="S6T64808"/>
    <s v="OPT562 1GIG-DVD-UPS-LAN-A6-CEN3(4HIGH)"/>
    <s v="1562RH145968"/>
    <s v="2030"/>
    <s v="Érd"/>
    <s v="Fürdő u. 1."/>
    <s v="ok"/>
    <n v="2"/>
    <n v="2"/>
    <x v="15"/>
    <n v="1"/>
    <n v="1"/>
    <n v="1"/>
  </r>
  <r>
    <s v="MTB Magyar Takarékszövetkezeti Bank"/>
    <s v="S6T64809"/>
    <s v="ProCash 2050"/>
    <s v="XXS6T64809"/>
    <s v="2091"/>
    <s v="Etyek"/>
    <s v="Óvoda u. 2."/>
    <s v="ok"/>
    <n v="2"/>
    <n v="2"/>
    <x v="5"/>
    <n v="1"/>
    <n v="1"/>
    <n v="1"/>
  </r>
  <r>
    <s v="MTB Magyar Takarékszövetkezeti Bank"/>
    <s v="S6T64810"/>
    <s v="Diebold-Opteva 760 ATM Outdoor"/>
    <s v="1760RH126603"/>
    <s v="2092"/>
    <s v="Budakeszi"/>
    <s v="Fő u.126."/>
    <s v="ok"/>
    <n v="2"/>
    <n v="2"/>
    <x v="0"/>
    <e v="#N/A"/>
    <n v="0"/>
    <n v="2"/>
  </r>
  <r>
    <s v="MTB Magyar Takarékszövetkezeti Bank"/>
    <s v="S6T64811"/>
    <s v="Diebold-Opteva 560 ATM Outdoor"/>
    <s v="1560R3300847"/>
    <s v="2060"/>
    <s v="Bicske"/>
    <s v="Csabdi út 4."/>
    <s v="ok"/>
    <n v="2"/>
    <n v="2"/>
    <x v="19"/>
    <n v="1"/>
    <n v="1"/>
    <n v="1"/>
  </r>
  <r>
    <s v="MTB Magyar Takarékszövetkezeti Bank"/>
    <s v="S6T64812"/>
    <s v="ProCash 1500"/>
    <s v="XXS6T64812"/>
    <s v="2051"/>
    <s v="Biatorbágy"/>
    <s v="Szabadság út 11."/>
    <s v="ok"/>
    <n v="2"/>
    <n v="2"/>
    <x v="5"/>
    <n v="1"/>
    <n v="1"/>
    <n v="1"/>
  </r>
  <r>
    <s v="MTB Magyar Takarékszövetkezeti Bank"/>
    <s v="S6T64813"/>
    <s v="Diebold-Opteva 522 Lobby Cash Dispenser"/>
    <s v="1522FH102740"/>
    <s v="2053"/>
    <s v="Herceghalom"/>
    <s v="Zsámbéki út 16."/>
    <s v="ok"/>
    <n v="2"/>
    <n v="2"/>
    <x v="19"/>
    <n v="1"/>
    <n v="1"/>
    <n v="1"/>
  </r>
  <r>
    <s v="MTB Magyar Takarékszövetkezeti Bank"/>
    <s v="S6T65101"/>
    <s v="Diebold-Opteva 520 ATM Indoor"/>
    <s v="1520FH121289"/>
    <s v="1189"/>
    <s v="Budapest"/>
    <s v="Üllői út 399."/>
    <s v="ok"/>
    <n v="2"/>
    <n v="2"/>
    <x v="15"/>
    <n v="1"/>
    <n v="1"/>
    <n v="1"/>
  </r>
  <r>
    <s v="MTB Magyar Takarékszövetkezeti Bank"/>
    <s v="S6T65102"/>
    <s v="Diebold-Opteva 560 ATM Outdoor"/>
    <s v="1560R3304426"/>
    <s v="2220"/>
    <s v="Vecsés"/>
    <s v="Telepi út 50/a"/>
    <s v="ok"/>
    <n v="2"/>
    <n v="2"/>
    <x v="15"/>
    <n v="1"/>
    <n v="1"/>
    <n v="1"/>
  </r>
  <r>
    <s v="MTB Magyar Takarékszövetkezeti Bank"/>
    <s v="S6T65103"/>
    <s v="Diebold-Opteva 760 ATM Outdoor"/>
    <s v="1760RCF00107"/>
    <s v="2241"/>
    <s v="Sülysáp"/>
    <s v="Malom u. 1/a"/>
    <s v="ok"/>
    <n v="2"/>
    <n v="2"/>
    <x v="10"/>
    <n v="1"/>
    <n v="1"/>
    <n v="1"/>
  </r>
  <r>
    <s v="MTB Magyar Takarékszövetkezeti Bank"/>
    <s v="S6T65104"/>
    <s v="Diebold-Opteva 560 ATM Outdoor"/>
    <s v="1560RCF00824"/>
    <s v="2225"/>
    <s v="Üllő"/>
    <s v="Pesti út 71."/>
    <s v="ok"/>
    <n v="2"/>
    <n v="2"/>
    <x v="15"/>
    <n v="1"/>
    <n v="1"/>
    <n v="1"/>
  </r>
  <r>
    <s v="MTB Magyar Takarékszövetkezeti Bank"/>
    <s v="S6T65105"/>
    <s v="Diebold-Opteva 522 Lobby Cash Dispenser"/>
    <s v="1522FH100497"/>
    <s v="2234"/>
    <s v="Maglód"/>
    <s v="Fő u. 13."/>
    <s v="ok"/>
    <n v="2"/>
    <n v="2"/>
    <x v="10"/>
    <n v="1"/>
    <n v="1"/>
    <n v="1"/>
  </r>
  <r>
    <s v="MTB Magyar Takarékszövetkezeti Bank"/>
    <s v="S6T65106"/>
    <s v="OPT562 1GIG-DVD-UPS-LAN-A6-CEN3(4HIGH)"/>
    <s v="1562RH150123"/>
    <s v="1054"/>
    <s v="Budapest"/>
    <s v="Báthory u. 1."/>
    <s v="ok"/>
    <n v="2"/>
    <n v="2"/>
    <x v="13"/>
    <n v="1"/>
    <n v="1"/>
    <n v="1"/>
  </r>
  <r>
    <s v="MTB Magyar Takarékszövetkezeti Bank"/>
    <s v="S6T65107"/>
    <s v="Diebold-Opteva 760 ATM Outdoor"/>
    <s v="1760RH127659"/>
    <s v="2230"/>
    <s v="Gyömrő"/>
    <s v="Táncsics M. út 82."/>
    <s v="ok"/>
    <n v="2"/>
    <n v="2"/>
    <x v="10"/>
    <n v="1"/>
    <n v="1"/>
    <n v="1"/>
  </r>
  <r>
    <s v="MTB Magyar Takarékszövetkezeti Bank"/>
    <s v="S6T65108"/>
    <s v="Diebold-Opteva 560 ATM Outdoor"/>
    <s v="1560R3300546"/>
    <s v="2244"/>
    <s v="Úri"/>
    <s v="Rákóczi út 31."/>
    <s v="ok"/>
    <n v="2"/>
    <n v="2"/>
    <x v="10"/>
    <n v="1"/>
    <n v="1"/>
    <n v="1"/>
  </r>
  <r>
    <s v="MTB Magyar Takarékszövetkezeti Bank"/>
    <s v="S6T65109"/>
    <s v="OPT562 1GIG-DVD-UPS-LAN-A6-CEN3(4HIGH)"/>
    <s v="1562R3320354"/>
    <s v="2235"/>
    <s v="Mende"/>
    <s v="Fő u. 3."/>
    <s v="ok"/>
    <n v="2"/>
    <n v="2"/>
    <x v="10"/>
    <n v="1"/>
    <n v="1"/>
    <n v="1"/>
  </r>
  <r>
    <s v="MTB Magyar Takarékszövetkezeti Bank"/>
    <s v="S6T65110"/>
    <s v="Diebold-Opteva 560 ATM Outdoor"/>
    <s v="1560R3302909"/>
    <s v="2233"/>
    <s v="Ecser"/>
    <s v="Széchenyi út 29."/>
    <s v="ok"/>
    <n v="2"/>
    <n v="2"/>
    <x v="10"/>
    <n v="1"/>
    <n v="1"/>
    <n v="1"/>
  </r>
  <r>
    <s v="MTB Magyar Takarékszövetkezeti Bank"/>
    <s v="S6T65111"/>
    <s v="Diebold-Opteva 520 ATM Indoor"/>
    <s v="1520V3300495"/>
    <s v="2723"/>
    <s v="Nyáregyháza"/>
    <s v="Nyáry Pál u. 19."/>
    <s v="ok"/>
    <n v="2"/>
    <n v="2"/>
    <x v="15"/>
    <n v="1"/>
    <n v="1"/>
    <n v="1"/>
  </r>
  <r>
    <s v="MTB Magyar Takarékszövetkezeti Bank"/>
    <s v="S6T65112"/>
    <s v="Diebold-Opteva 560 ATM Outdoor"/>
    <s v="1560R3301817"/>
    <s v="2211"/>
    <s v="Vasad"/>
    <s v="Monori út 4."/>
    <s v="ok"/>
    <n v="2"/>
    <n v="2"/>
    <x v="15"/>
    <n v="1"/>
    <n v="1"/>
    <n v="1"/>
  </r>
  <r>
    <s v="MTB Magyar Takarékszövetkezeti Bank"/>
    <s v="S6T65113"/>
    <s v="Diebold-Opteva 520 ATM Indoor"/>
    <s v="1520V3300628"/>
    <s v="1165"/>
    <s v="Budapest"/>
    <s v="Centenáriumi sétány 16."/>
    <s v="ok"/>
    <n v="2"/>
    <n v="2"/>
    <x v="6"/>
    <n v="1"/>
    <n v="1"/>
    <n v="1"/>
  </r>
  <r>
    <s v="MTB Magyar Takarékszövetkezeti Bank"/>
    <s v="S6T65114"/>
    <s v="Diebold-Opteva 520 ATM Indoor"/>
    <s v="1520VH120043"/>
    <s v="2200"/>
    <s v="Monor"/>
    <s v="Kossuth u. 77."/>
    <s v="ok"/>
    <n v="2"/>
    <n v="2"/>
    <x v="15"/>
    <n v="1"/>
    <n v="1"/>
    <n v="1"/>
  </r>
  <r>
    <s v="MTB Magyar Takarékszövetkezeti Bank"/>
    <s v="S6T65115"/>
    <s v="OPT562 1GIG-DVD-UPS-LAN-A6-CEN3(4HIGH)"/>
    <s v="1562RH139370"/>
    <s v="2209"/>
    <s v="Péteri"/>
    <s v="Petőfi Sándor u. 80."/>
    <s v="ok"/>
    <n v="2"/>
    <n v="2"/>
    <x v="15"/>
    <n v="1"/>
    <n v="1"/>
    <n v="1"/>
  </r>
  <r>
    <s v="MTB Magyar Takarékszövetkezeti Bank"/>
    <s v="S6T65117"/>
    <s v="OPT562 1GIG-DVD-UPS-LAN-A6-CEN3(4HIGH)"/>
    <s v="1562R3320389"/>
    <s v="2730"/>
    <s v="Albertirsa"/>
    <s v="Pesti út 28."/>
    <s v="ok"/>
    <n v="2"/>
    <n v="2"/>
    <x v="15"/>
    <n v="1"/>
    <n v="1"/>
    <n v="1"/>
  </r>
  <r>
    <s v="MTB Magyar Takarékszövetkezeti Bank"/>
    <s v="S6T65118"/>
    <s v="Diebold-Opteva 560 ATM Outdoor"/>
    <s v="1560R3300336"/>
    <s v="2119"/>
    <s v="Pécel"/>
    <s v="Ráday Gedeon tér 10."/>
    <s v="ok"/>
    <n v="2"/>
    <n v="2"/>
    <x v="10"/>
    <n v="1"/>
    <n v="1"/>
    <n v="1"/>
  </r>
  <r>
    <s v="MTB Magyar Takarékszövetkezeti Bank"/>
    <s v="S6T65119"/>
    <s v="Diebold-Opteva 560 ATM Outdoor"/>
    <s v="1560RCF00567"/>
    <s v="2117"/>
    <s v="Isaszeg"/>
    <s v="Kossuth u. 15/a"/>
    <s v="ok"/>
    <n v="2"/>
    <n v="2"/>
    <x v="10"/>
    <n v="1"/>
    <n v="1"/>
    <n v="1"/>
  </r>
  <r>
    <s v="MTB Magyar Takarékszövetkezeti Bank"/>
    <s v="S6T65120"/>
    <s v="Diebold-Opteva 560 ATM Outdoor"/>
    <s v="1560R3300547"/>
    <s v="2143"/>
    <s v="Kistarcsa"/>
    <s v="Széchenyi út 65."/>
    <s v="ok"/>
    <n v="2"/>
    <n v="2"/>
    <x v="10"/>
    <n v="1"/>
    <n v="1"/>
    <n v="1"/>
  </r>
  <r>
    <s v="MTB Magyar Takarékszövetkezeti Bank"/>
    <s v="S6T65121"/>
    <s v="Diebold-Opteva 760 ATM Outdoor"/>
    <s v="1760RH128044"/>
    <s v="2141"/>
    <s v="Csömör"/>
    <s v="Szabadság út 16."/>
    <s v="ok"/>
    <n v="2"/>
    <n v="2"/>
    <x v="10"/>
    <n v="1"/>
    <n v="1"/>
    <n v="1"/>
  </r>
  <r>
    <s v="MTB Magyar Takarékszövetkezeti Bank"/>
    <s v="S6T65122"/>
    <s v="Diebold-Opteva 560 ATM Outdoor"/>
    <s v="XXS6T65122"/>
    <s v="2142"/>
    <s v="Nagytarcsa"/>
    <s v="Tompa M. u. 19."/>
    <s v="ok"/>
    <n v="2"/>
    <n v="2"/>
    <x v="10"/>
    <e v="#N/A"/>
    <n v="0"/>
    <n v="2"/>
  </r>
  <r>
    <s v="MTB Magyar Takarékszövetkezeti Bank"/>
    <s v="S6T65123"/>
    <s v="ProCash 2150xe"/>
    <s v="XXS6T65123"/>
    <s v="2100"/>
    <s v="Gödöllő"/>
    <s v="Petőfi Sándor tér 8."/>
    <s v="ok"/>
    <n v="2"/>
    <n v="2"/>
    <x v="6"/>
    <n v="1"/>
    <n v="1"/>
    <n v="1"/>
  </r>
  <r>
    <s v="MTB Magyar Takarékszövetkezeti Bank"/>
    <s v="S6T65124"/>
    <s v="ProCash 2050"/>
    <s v="XXS6T65124"/>
    <s v="2711"/>
    <s v="Tápiószentmárton"/>
    <s v="Kossuth L. u. 17/a"/>
    <s v="ok"/>
    <n v="2"/>
    <n v="2"/>
    <x v="5"/>
    <n v="1"/>
    <n v="1"/>
    <n v="1"/>
  </r>
  <r>
    <s v="MTB Magyar Takarékszövetkezeti Bank"/>
    <s v="S6T65125"/>
    <s v="ProCash 2050"/>
    <s v="XXS6T65125"/>
    <s v="2764"/>
    <s v="Tápióbicske"/>
    <s v="Rákóczi u. 64"/>
    <s v="ok"/>
    <n v="2"/>
    <n v="2"/>
    <x v="5"/>
    <n v="1"/>
    <n v="1"/>
    <n v="1"/>
  </r>
  <r>
    <s v="MTB Magyar Takarékszövetkezeti Bank"/>
    <s v="S6T65128"/>
    <s v="ProCash 2050"/>
    <s v="XXS6T65128"/>
    <s v="2721"/>
    <s v="Pilis"/>
    <s v="Rákóczi u. 34."/>
    <s v="ok"/>
    <n v="2"/>
    <n v="2"/>
    <x v="5"/>
    <n v="1"/>
    <n v="1"/>
    <n v="1"/>
  </r>
  <r>
    <s v="MTB Magyar Takarékszövetkezeti Bank"/>
    <s v="S6T65130"/>
    <s v="ProCash 2050"/>
    <s v="XXS6T65130"/>
    <s v="2700"/>
    <s v="Cegléd"/>
    <s v="Eötvös tér 6."/>
    <s v="ok"/>
    <n v="2"/>
    <n v="2"/>
    <x v="6"/>
    <n v="1"/>
    <n v="1"/>
    <n v="1"/>
  </r>
  <r>
    <s v="MTB Magyar Takarékszövetkezeti Bank"/>
    <s v="S6T65131"/>
    <s v="ProCash 2050"/>
    <s v="XXS6T65131"/>
    <s v="2740"/>
    <s v="Abony"/>
    <s v="Kossuth tér 3-4."/>
    <s v="ok"/>
    <n v="2"/>
    <n v="2"/>
    <x v="5"/>
    <n v="1"/>
    <n v="1"/>
    <n v="1"/>
  </r>
  <r>
    <s v="MTB Magyar Takarékszövetkezeti Bank"/>
    <s v="S6T65132"/>
    <s v="ProCash 2050"/>
    <s v="XXS6T65132"/>
    <s v="2747"/>
    <s v="Törtel"/>
    <s v="Dózsa Gy. u. 8."/>
    <s v="ok"/>
    <n v="2"/>
    <n v="2"/>
    <x v="5"/>
    <n v="1"/>
    <n v="1"/>
    <n v="1"/>
  </r>
  <r>
    <s v="MTB Magyar Takarékszövetkezeti Bank"/>
    <s v="S6T65133"/>
    <s v="ProCash 2050"/>
    <s v="XXS6T65133"/>
    <s v="2746"/>
    <s v="Jászkarajenő"/>
    <s v="Fő utca 89."/>
    <s v="ok"/>
    <n v="2"/>
    <n v="2"/>
    <x v="5"/>
    <n v="1"/>
    <n v="1"/>
    <n v="1"/>
  </r>
  <r>
    <s v="MTB Magyar Takarékszövetkezeti Bank"/>
    <s v="S6T65136"/>
    <s v="Diebold-Opteva 520 ATM Indoor"/>
    <s v="1520FH122585"/>
    <s v="2750"/>
    <s v="Nagykőrös"/>
    <s v="Rákóczi utca 1."/>
    <s v="ok"/>
    <n v="2"/>
    <n v="2"/>
    <x v="11"/>
    <e v="#N/A"/>
    <n v="0"/>
    <n v="2"/>
  </r>
  <r>
    <s v="MTB Magyar Takarékszövetkezeti Bank"/>
    <s v="S6T65200"/>
    <s v="Diebold-Opteva 760 ATM Outdoor"/>
    <s v="1760RH122174"/>
    <s v="1173"/>
    <s v="Budapest"/>
    <s v="Pesti út 41/d"/>
    <s v="ok"/>
    <n v="2"/>
    <n v="2"/>
    <x v="10"/>
    <e v="#N/A"/>
    <n v="0"/>
    <n v="2"/>
  </r>
  <r>
    <s v="MTB Magyar Takarékszövetkezeti Bank"/>
    <s v="S6T65201"/>
    <s v="Diebold-Opteva 760 ATM Outdoor"/>
    <s v="1760RH120977"/>
    <s v="2760"/>
    <s v="Nagykáta"/>
    <s v="Dózsa Gy. út 10."/>
    <s v="ok"/>
    <n v="2"/>
    <n v="2"/>
    <x v="10"/>
    <n v="2"/>
    <n v="2"/>
    <n v="0"/>
  </r>
  <r>
    <s v="MTB Magyar Takarékszövetkezeti Bank"/>
    <s v="S6T65202"/>
    <s v="Diebold-Opteva 760 ATM Outdoor"/>
    <s v="1760RCF00045"/>
    <s v="2254"/>
    <s v="Szentmártonkáta"/>
    <s v="Rákóczi út 52/c"/>
    <s v="ok"/>
    <n v="2"/>
    <n v="2"/>
    <x v="10"/>
    <n v="1"/>
    <n v="1"/>
    <n v="1"/>
  </r>
  <r>
    <s v="MTB Magyar Takarékszövetkezeti Bank"/>
    <s v="S6T65203"/>
    <s v="Diebold-Opteva 760 ATM Outdoor"/>
    <s v="1760RH120980"/>
    <s v="2766"/>
    <s v="Tápiószele"/>
    <s v="Rákóczi út 8."/>
    <s v="ok"/>
    <n v="2"/>
    <n v="2"/>
    <x v="10"/>
    <n v="1"/>
    <n v="1"/>
    <n v="1"/>
  </r>
  <r>
    <s v="MTB Magyar Takarékszövetkezeti Bank"/>
    <s v="S6T65204"/>
    <s v="Diebold-Opteva 760 ATM Outdoor"/>
    <s v="1760RH120979"/>
    <s v="2765"/>
    <s v="Farmos"/>
    <s v="Fő tér 4."/>
    <s v="ok"/>
    <n v="2"/>
    <n v="2"/>
    <x v="10"/>
    <n v="1"/>
    <n v="1"/>
    <n v="1"/>
  </r>
  <r>
    <s v="MTB Magyar Takarékszövetkezeti Bank"/>
    <s v="S6T65206"/>
    <s v="Diebold-Opteva 760 ATM Outdoor"/>
    <s v="1760RCF00491"/>
    <s v="2243"/>
    <s v="Kóka"/>
    <s v="Dózsa Gy. u. 42/a"/>
    <s v="ok"/>
    <n v="2"/>
    <n v="2"/>
    <x v="10"/>
    <n v="1"/>
    <n v="1"/>
    <n v="1"/>
  </r>
  <r>
    <s v="MTB Magyar Takarékszövetkezeti Bank"/>
    <s v="S6T65208"/>
    <s v="Diebold-Opteva 760 ATM Outdoor"/>
    <s v="1760RH120558"/>
    <s v="2767"/>
    <s v="Tápiógyörgye"/>
    <s v="Deák F. u. 10."/>
    <s v="ok"/>
    <n v="2"/>
    <n v="2"/>
    <x v="10"/>
    <n v="1"/>
    <n v="1"/>
    <n v="1"/>
  </r>
  <r>
    <s v="MTB Magyar Takarékszövetkezeti Bank"/>
    <s v="S6T65209"/>
    <s v="Diebold-Opteva 760 ATM Outdoor"/>
    <s v="1760RCF00501"/>
    <s v="2251"/>
    <s v="Tápiószecső"/>
    <s v="Honvéd u. 10."/>
    <s v="ok"/>
    <n v="2"/>
    <n v="2"/>
    <x v="10"/>
    <n v="1"/>
    <n v="1"/>
    <n v="1"/>
  </r>
  <r>
    <s v="MTB Magyar Takarékszövetkezeti Bank"/>
    <s v="S6T65210"/>
    <s v="Diebold-Opteva 760 ATM Outdoor"/>
    <s v="1760RH121758"/>
    <s v="2769"/>
    <s v="Tápiószőlős"/>
    <s v="Árpád u. 2."/>
    <s v="ok"/>
    <n v="2"/>
    <n v="2"/>
    <x v="10"/>
    <n v="1"/>
    <n v="1"/>
    <n v="1"/>
  </r>
  <r>
    <s v="MTB Magyar Takarékszövetkezeti Bank"/>
    <s v="S6T65211"/>
    <s v="Diebold-Opteva 760 ATM Outdoor"/>
    <s v="1760RCF00489"/>
    <s v="2252"/>
    <s v="Tóalmás"/>
    <s v="Fő u. 64."/>
    <s v="ok"/>
    <n v="2"/>
    <n v="2"/>
    <x v="10"/>
    <n v="1"/>
    <n v="1"/>
    <n v="1"/>
  </r>
  <r>
    <s v="MTB Magyar Takarékszövetkezeti Bank"/>
    <s v="S6T65218"/>
    <s v="OPT562 1GIG-DVD-UPS-LAN-A6-CEN3(4HIGH)"/>
    <s v="1562RH130872"/>
    <s v="3013"/>
    <s v="Ecséd"/>
    <s v="Szabadság u. 139."/>
    <s v="ok"/>
    <n v="2"/>
    <n v="2"/>
    <x v="10"/>
    <e v="#N/A"/>
    <n v="0"/>
    <n v="2"/>
  </r>
  <r>
    <s v="MTB Magyar Takarékszövetkezeti Bank"/>
    <s v="S6T65501"/>
    <s v="Diebold-Opteva 760 ATM Outdoor"/>
    <s v="1760RCF00466"/>
    <s v="2381"/>
    <s v="Táborfalva"/>
    <s v="Kossuth L. u. 24."/>
    <s v="ok"/>
    <n v="2"/>
    <n v="2"/>
    <x v="15"/>
    <n v="1"/>
    <n v="1"/>
    <n v="1"/>
  </r>
  <r>
    <s v="MTB Magyar Takarékszövetkezeti Bank"/>
    <s v="S6T65503"/>
    <s v="OPT562 1GIG-DVD-UPS-LAN-A6-CEN3(4HIGH)"/>
    <s v="1562RH132608"/>
    <s v="2376"/>
    <s v="Hernád"/>
    <s v="Köztársaság u. 47/b"/>
    <s v="ok"/>
    <n v="2"/>
    <n v="2"/>
    <x v="15"/>
    <n v="1"/>
    <n v="1"/>
    <n v="1"/>
  </r>
  <r>
    <s v="MTB Magyar Takarékszövetkezeti Bank"/>
    <s v="S6T65504"/>
    <s v="OPT562 1GIG-DVD-UPS-LAN-A6-CEN3(4HIGH)"/>
    <s v="1562RH120079"/>
    <s v="2365"/>
    <s v="Inárcs"/>
    <s v="Széchenyi út 4."/>
    <s v="ok"/>
    <n v="2"/>
    <n v="2"/>
    <x v="15"/>
    <n v="1"/>
    <n v="1"/>
    <n v="1"/>
  </r>
  <r>
    <s v="MTB Magyar Takarékszövetkezeti Bank"/>
    <s v="S6T65505"/>
    <s v="OPT562 1GIG-DVD-UPS-LAN-A6-CEN3(4HIGH)"/>
    <s v="1562RH134181"/>
    <s v="2364"/>
    <s v="Ócsa"/>
    <s v="Falu Tamás út 65."/>
    <s v="ok"/>
    <n v="2"/>
    <n v="2"/>
    <x v="15"/>
    <n v="1"/>
    <n v="1"/>
    <n v="1"/>
  </r>
  <r>
    <s v="MTB Magyar Takarékszövetkezeti Bank"/>
    <s v="S6T65506"/>
    <s v="Diebold-Opteva 562r 3 High-Standard ATM"/>
    <s v="562RRH100045"/>
    <s v="2367"/>
    <s v="Újhartyán"/>
    <s v="Újfalu út 4."/>
    <s v="ok"/>
    <n v="2"/>
    <n v="2"/>
    <x v="15"/>
    <n v="1"/>
    <n v="1"/>
    <n v="1"/>
  </r>
  <r>
    <s v="MTB Magyar Takarékszövetkezeti Bank"/>
    <s v="S6T65507"/>
    <s v="OPT562 1GIG-DVD-UPS-LAN-A6-CEN3(4HIGH)"/>
    <s v="1562RH129292"/>
    <s v="2724"/>
    <s v="Újlengyel"/>
    <s v="Kossuth u. 67."/>
    <s v="ok"/>
    <n v="2"/>
    <n v="2"/>
    <x v="15"/>
    <n v="1"/>
    <n v="1"/>
    <n v="1"/>
  </r>
  <r>
    <s v="MTB Magyar Takarékszövetkezeti Bank"/>
    <s v="S6T65508"/>
    <s v="OPT562 1GIG-DVD-UPS-LAN-A6-CEN3(4HIGH)"/>
    <s v="1562RH154598"/>
    <s v="2366"/>
    <s v="Kakucs"/>
    <s v="Sas telep 1."/>
    <s v="ok"/>
    <n v="2"/>
    <n v="2"/>
    <x v="15"/>
    <n v="1"/>
    <n v="1"/>
    <n v="1"/>
  </r>
  <r>
    <s v="MTB Magyar Takarékszövetkezeti Bank"/>
    <s v="S6T65510"/>
    <s v="Diebold-Opteva 562r 3 High-Standard ATM"/>
    <s v="562RRH100046"/>
    <s v="2377"/>
    <s v="Örkény"/>
    <s v="Kossuth u. 34/a"/>
    <s v="ok"/>
    <n v="2"/>
    <n v="2"/>
    <x v="15"/>
    <n v="1"/>
    <n v="1"/>
    <n v="1"/>
  </r>
  <r>
    <s v="MTB Magyar Takarékszövetkezeti Bank"/>
    <s v="S6T65511"/>
    <s v="Diebold-Opteva 760 ATM Outdoor"/>
    <s v="1760RCF00487"/>
    <s v="2363"/>
    <s v="Felsőpakony"/>
    <s v="Eötvös u. 22."/>
    <s v="ok"/>
    <n v="2"/>
    <n v="2"/>
    <x v="15"/>
    <n v="1"/>
    <n v="1"/>
    <n v="1"/>
  </r>
  <r>
    <s v="MTB Magyar Takarékszövetkezeti Bank"/>
    <s v="S6T65514"/>
    <s v="Diebold-Opteva 562r 3 High-Standard ATM"/>
    <s v="562RRH100044"/>
    <s v="6050"/>
    <s v="Lajosmizse"/>
    <s v="Szabadság tér 10."/>
    <s v="ok"/>
    <n v="2"/>
    <n v="2"/>
    <x v="15"/>
    <n v="1"/>
    <n v="1"/>
    <n v="1"/>
  </r>
  <r>
    <s v="MTB Magyar Takarékszövetkezeti Bank"/>
    <s v="S6T65515"/>
    <s v="Diebold-Opteva 562r 3 High-Standard ATM"/>
    <s v="562RRH100043"/>
    <s v="6000"/>
    <s v="Kecskemét"/>
    <s v="Izsáki út 70."/>
    <s v="ok"/>
    <n v="2"/>
    <n v="2"/>
    <x v="11"/>
    <n v="1"/>
    <n v="1"/>
    <n v="1"/>
  </r>
  <r>
    <s v="MTB Magyar Takarékszövetkezeti Bank"/>
    <s v="S6T65516"/>
    <s v="OPT562 1GIG-DVD-UPS-LAN-A6-CEN3(4HIGH)"/>
    <s v="1562RH141317"/>
    <s v="2316"/>
    <s v="Tököl"/>
    <s v="József Attila u. 24."/>
    <s v="ok"/>
    <n v="2"/>
    <n v="2"/>
    <x v="15"/>
    <n v="1"/>
    <n v="1"/>
    <n v="1"/>
  </r>
  <r>
    <s v="MTB Magyar Takarékszövetkezeti Bank"/>
    <s v="S6T65701"/>
    <s v="Diebold-Opteva 562r 3 High-Standard ATM"/>
    <s v="562RRH101579"/>
    <s v="2085"/>
    <s v="Pilisvörösvár"/>
    <s v="Fő u. 69."/>
    <s v="ok"/>
    <n v="2"/>
    <n v="2"/>
    <x v="0"/>
    <n v="1"/>
    <n v="1"/>
    <n v="1"/>
  </r>
  <r>
    <s v="MTB Magyar Takarékszövetkezeti Bank"/>
    <s v="S6T65702"/>
    <s v="Diebold-Opteva 562r 3 High-Standard ATM"/>
    <s v="562RRH101580"/>
    <s v="2081"/>
    <s v="Piliscsaba"/>
    <s v="Bajcsy-Zs. u. 14."/>
    <s v="ok"/>
    <n v="2"/>
    <n v="2"/>
    <x v="0"/>
    <n v="1"/>
    <n v="1"/>
    <n v="1"/>
  </r>
  <r>
    <s v="MTB Magyar Takarékszövetkezeti Bank"/>
    <s v="S6T65703"/>
    <s v="Diebold-Opteva 562r 3 High-Standard ATM"/>
    <s v="562RRH101582"/>
    <s v="2095"/>
    <s v="Pilisszántó"/>
    <s v="Kossuth L u. 89."/>
    <s v="ok"/>
    <n v="2"/>
    <n v="2"/>
    <x v="0"/>
    <n v="1"/>
    <n v="1"/>
    <n v="1"/>
  </r>
  <r>
    <s v="MTB Magyar Takarékszövetkezeti Bank"/>
    <s v="S6T65704"/>
    <s v="OPT562 1GIG-DVD-UPS-LAN-A6-CEN3(4HIGH)"/>
    <s v="1562RH125297"/>
    <s v="2084"/>
    <s v="Pilisszentiván"/>
    <s v="Szabadság út 224."/>
    <s v="ok"/>
    <n v="2"/>
    <n v="2"/>
    <x v="0"/>
    <e v="#N/A"/>
    <n v="0"/>
    <n v="2"/>
  </r>
  <r>
    <s v="MTB Magyar Takarékszövetkezeti Bank"/>
    <s v="S6T65705"/>
    <s v="Diebold-Opteva 562r 3 High-Standard ATM"/>
    <s v="562RRH101172"/>
    <s v="2013"/>
    <s v="Pomáz"/>
    <s v="Kossuth u. 5."/>
    <s v="ok"/>
    <n v="2"/>
    <n v="2"/>
    <x v="14"/>
    <e v="#N/A"/>
    <n v="0"/>
    <n v="2"/>
  </r>
  <r>
    <s v="MTB Magyar Takarékszövetkezeti Bank"/>
    <s v="S6T65706"/>
    <s v="Diebold-Opteva 562r 3 High-Standard ATM"/>
    <s v="562RRH101581"/>
    <s v="2083"/>
    <s v="Solymár"/>
    <s v="Mátyás király útja 14."/>
    <s v="ok"/>
    <n v="2"/>
    <n v="2"/>
    <x v="0"/>
    <e v="#N/A"/>
    <n v="0"/>
    <n v="2"/>
  </r>
  <r>
    <s v="MTB Magyar Takarékszövetkezeti Bank"/>
    <s v="S6T65707"/>
    <s v="Diebold-Opteva 560 ATM Outdoor"/>
    <s v="1560R3303608"/>
    <s v="2011"/>
    <s v="Budakalász"/>
    <s v="Petőfi tér 11."/>
    <s v="ok"/>
    <n v="2"/>
    <n v="2"/>
    <x v="14"/>
    <n v="1"/>
    <n v="1"/>
    <n v="1"/>
  </r>
  <r>
    <s v="MTB Magyar Takarékszövetkezeti Bank"/>
    <s v="S6T65708"/>
    <s v="OPT562 1GIG-DVD-UPS-LAN-A6-CEN3(4HIGH)"/>
    <s v="1562RH127703"/>
    <s v="2094"/>
    <s v="Nagykovácsi"/>
    <s v="Kossuth L u 67."/>
    <s v="ok"/>
    <n v="2"/>
    <n v="2"/>
    <x v="0"/>
    <e v="#N/A"/>
    <n v="0"/>
    <n v="2"/>
  </r>
  <r>
    <s v="MTB Magyar Takarékszövetkezeti Bank"/>
    <s v="S6T65709"/>
    <s v="Diebold-Opteva 562r 3 High-Standard ATM"/>
    <s v="562RRH101171"/>
    <s v="2096"/>
    <s v="Üröm"/>
    <s v="Fő tér 1."/>
    <s v="ok"/>
    <n v="2"/>
    <n v="2"/>
    <x v="0"/>
    <e v="#N/A"/>
    <n v="0"/>
    <n v="2"/>
  </r>
  <r>
    <s v="MTB Magyar Takarékszövetkezeti Bank"/>
    <s v="S6T65710"/>
    <s v="OPT562 1GIG-DVD-UPS-LAN-A6-CEN3(4HIGH)"/>
    <s v="1562RH120080"/>
    <s v="2074"/>
    <s v="Perbál"/>
    <s v="Dózsa Gy.út 17."/>
    <s v="ok"/>
    <n v="2"/>
    <n v="2"/>
    <x v="0"/>
    <e v="#N/A"/>
    <n v="0"/>
    <n v="2"/>
  </r>
  <r>
    <s v="MTB Magyar Takarékszövetkezeti Bank"/>
    <s v="S6T65711"/>
    <s v="Diebold-Opteva 560 ATM Outdoor"/>
    <s v="1560R3302476"/>
    <s v="2098"/>
    <s v="Piliszentkereszt"/>
    <s v="Fő út 29."/>
    <s v="ok"/>
    <n v="2"/>
    <n v="2"/>
    <x v="0"/>
    <n v="1"/>
    <n v="1"/>
    <n v="1"/>
  </r>
  <r>
    <s v="MTB Magyar Takarékszövetkezeti Bank"/>
    <s v="S6T65712"/>
    <s v="Diebold-Opteva 560 ATM Outdoor"/>
    <s v="1560R3303123"/>
    <s v="1032"/>
    <s v="Budapest"/>
    <s v="Bécsi út 183."/>
    <s v="ok"/>
    <n v="2"/>
    <n v="2"/>
    <x v="0"/>
    <e v="#N/A"/>
    <n v="0"/>
    <n v="2"/>
  </r>
  <r>
    <s v="MTB Magyar Takarékszövetkezeti Bank"/>
    <s v="S6T65901"/>
    <s v="OPT562 1GIG-DVD-UPS-LAN-A6-CEN3(4HIGH)"/>
    <s v="1562RH127704"/>
    <s v="2118"/>
    <s v="Dány"/>
    <s v="Pesti u. 47."/>
    <s v="ok"/>
    <n v="2"/>
    <n v="2"/>
    <x v="10"/>
    <n v="1"/>
    <n v="1"/>
    <n v="1"/>
  </r>
  <r>
    <s v="MTB Magyar Takarékszövetkezeti Bank"/>
    <s v="S6T65905"/>
    <s v="OPT562 1GIG-DVD-UPS-LAN-A6-CEN3(4HIGH)"/>
    <s v="1562RCF01176"/>
    <s v="2116"/>
    <s v="Zsámbok"/>
    <s v="Turai út 1."/>
    <s v="ok"/>
    <n v="2"/>
    <n v="2"/>
    <x v="10"/>
    <n v="1"/>
    <n v="1"/>
    <n v="1"/>
  </r>
  <r>
    <s v="MTB Magyar Takarékszövetkezeti Bank"/>
    <s v="S6T65906"/>
    <s v="OPT562 1GIG-DVD-UPS-LAN-A6-CEN3(4HIGH)"/>
    <s v="1562R3320355"/>
    <s v="1145"/>
    <s v="Budapest"/>
    <s v="Zalán u 23."/>
    <s v="ok"/>
    <n v="2"/>
    <n v="2"/>
    <x v="14"/>
    <e v="#N/A"/>
    <n v="0"/>
    <n v="2"/>
  </r>
  <r>
    <s v="MTB Magyar Takarékszövetkezeti Bank"/>
    <s v="S6T65909"/>
    <s v="OPT562 1GIG-DVD-UPS-LAN-A6-CEN3(4HIGH)"/>
    <s v="1562R3320359"/>
    <s v="2170"/>
    <s v="Aszód"/>
    <s v="Kossuth u. 1."/>
    <s v="ok"/>
    <n v="2"/>
    <n v="2"/>
    <x v="10"/>
    <n v="1"/>
    <n v="1"/>
    <n v="1"/>
  </r>
  <r>
    <s v="MTB Magyar Takarékszövetkezeti Bank"/>
    <s v="S6T65910"/>
    <s v="OPT562 1GIG-DVD-UPS-LAN-A6-CEN3(4HIGH)"/>
    <s v="1562RH129336"/>
    <s v="2173"/>
    <s v="Kartal"/>
    <s v="Petőfi út 4."/>
    <s v="ok"/>
    <n v="2"/>
    <n v="2"/>
    <x v="10"/>
    <n v="1"/>
    <n v="1"/>
    <n v="1"/>
  </r>
  <r>
    <s v="MTB Magyar Takarékszövetkezeti Bank"/>
    <s v="S6T66002"/>
    <s v="ProCash 2050xe"/>
    <s v="33271062"/>
    <s v="2120"/>
    <s v="Dunakeszi"/>
    <s v="Fő u. 66-68."/>
    <s v="ok"/>
    <n v="2"/>
    <n v="2"/>
    <x v="6"/>
    <n v="1"/>
    <n v="1"/>
    <n v="1"/>
  </r>
  <r>
    <s v="MTB Magyar Takarékszövetkezeti Bank"/>
    <s v="S6T66004"/>
    <s v="ProCash 2050"/>
    <s v="6101299708"/>
    <s v="2146"/>
    <s v="Mogyoród"/>
    <s v="Gödöllői u. 18/2"/>
    <s v="ok"/>
    <n v="2"/>
    <n v="2"/>
    <x v="6"/>
    <n v="1"/>
    <n v="1"/>
    <n v="1"/>
  </r>
  <r>
    <s v="MTB Magyar Takarékszövetkezeti Bank"/>
    <s v="S6T66005"/>
    <s v="ProCash 2050"/>
    <s v="5300027191"/>
    <s v="2113"/>
    <s v="Erdőkertes"/>
    <s v="Nemes u. 2."/>
    <s v="ok"/>
    <n v="2"/>
    <n v="2"/>
    <x v="6"/>
    <n v="1"/>
    <n v="1"/>
    <n v="1"/>
  </r>
  <r>
    <s v="MTB Magyar Takarékszövetkezeti Bank"/>
    <s v="S6T66006"/>
    <s v="ProCash 2050"/>
    <s v="5300095395"/>
    <s v="2162"/>
    <s v="Őrbottyán"/>
    <s v="Rákóczi u. 115."/>
    <s v="ok"/>
    <n v="2"/>
    <n v="2"/>
    <x v="6"/>
    <n v="1"/>
    <n v="1"/>
    <n v="1"/>
  </r>
  <r>
    <s v="MTB Magyar Takarékszövetkezeti Bank"/>
    <s v="S6T66007"/>
    <s v="ProCash 2050xe"/>
    <s v="5300136432"/>
    <s v="2626"/>
    <s v="Nagymaros"/>
    <s v="Király u. 1/a"/>
    <s v="ok"/>
    <n v="2"/>
    <n v="2"/>
    <x v="5"/>
    <n v="1"/>
    <n v="1"/>
    <n v="1"/>
  </r>
  <r>
    <s v="MTB Magyar Takarékszövetkezeti Bank"/>
    <s v="S6T66008"/>
    <s v="ProCash 2050xe USB"/>
    <s v="5300527187"/>
    <s v="2632"/>
    <s v="Letkés"/>
    <s v="Dózsa út 16."/>
    <s v="ok"/>
    <n v="2"/>
    <n v="2"/>
    <x v="5"/>
    <e v="#N/A"/>
    <n v="0"/>
    <n v="2"/>
  </r>
  <r>
    <s v="MTB Magyar Takarékszövetkezeti Bank"/>
    <s v="S6T66010"/>
    <s v="OPT562 1GIG-DVD-UPS-LAN-A6-CEN3(4HIGH)"/>
    <s v="1562RH159081"/>
    <s v="2151"/>
    <s v="Fót"/>
    <s v="Dózsa u. 54."/>
    <s v="ok"/>
    <n v="2"/>
    <n v="2"/>
    <x v="6"/>
    <e v="#N/A"/>
    <n v="0"/>
    <n v="2"/>
  </r>
  <r>
    <s v="MTB Magyar Takarékszövetkezeti Bank"/>
    <s v="S6T66011"/>
    <s v="OPT562 1GIG-DVD-UPS-LAN-A6-CEN3(4HIGH)"/>
    <s v="1562RH145753"/>
    <s v="3372"/>
    <s v="Kömlő"/>
    <s v="Fő út 8/b"/>
    <s v="ok"/>
    <n v="2"/>
    <n v="2"/>
    <x v="6"/>
    <n v="1"/>
    <n v="1"/>
    <n v="1"/>
  </r>
  <r>
    <s v="MTB Magyar Takarékszövetkezeti Bank"/>
    <s v="S6T66903"/>
    <s v="Diebold-Opteva 760 ATM Outdoor"/>
    <s v="1760RH123651"/>
    <s v="8648"/>
    <s v="Balatonmáriafürdő"/>
    <s v="Ady E. u. 8."/>
    <s v="ok"/>
    <n v="2"/>
    <n v="2"/>
    <x v="9"/>
    <n v="1"/>
    <n v="1"/>
    <n v="1"/>
  </r>
  <r>
    <s v="MTB Magyar Takarékszövetkezeti Bank"/>
    <s v="S6T66904"/>
    <s v="Diebold-Opteva 760 ATM Outdoor"/>
    <s v="1760RH122172"/>
    <s v="8713"/>
    <s v="Kéthely"/>
    <s v="Arany J. u. 2."/>
    <s v="ok"/>
    <n v="2"/>
    <n v="2"/>
    <x v="9"/>
    <n v="1"/>
    <n v="1"/>
    <n v="1"/>
  </r>
  <r>
    <s v="MTB Magyar Takarékszövetkezeti Bank"/>
    <s v="S6T66908"/>
    <s v="OPT562 1GIG-DVD-UPS-LAN-A6-CEN3(4HIGH)"/>
    <s v="XXS6T66908"/>
    <s v="8360"/>
    <s v="Keszthely"/>
    <s v="Georgikon u. 9."/>
    <s v="ok"/>
    <n v="2"/>
    <n v="2"/>
    <x v="9"/>
    <e v="#N/A"/>
    <n v="0"/>
    <n v="2"/>
  </r>
  <r>
    <s v="MTB Magyar Takarékszövetkezeti Bank"/>
    <s v="S6T66909"/>
    <s v="Diebold-Opteva 760 ATM Outdoor"/>
    <s v="1760FCF00042"/>
    <s v="8710"/>
    <s v="Balatonszentgyörgy"/>
    <s v="Berzsenyi u. 68."/>
    <s v="ok"/>
    <n v="2"/>
    <n v="2"/>
    <x v="9"/>
    <n v="1"/>
    <n v="1"/>
    <n v="1"/>
  </r>
  <r>
    <s v="MTB Magyar Takarékszövetkezeti Bank"/>
    <s v="S6T67002"/>
    <s v="Diebold-Opteva 760 ATM Outdoor"/>
    <s v="XXS6T67002"/>
    <s v="7400"/>
    <s v="Kaposvár"/>
    <s v="Teleki u. 22."/>
    <s v="ok"/>
    <n v="2"/>
    <n v="2"/>
    <x v="12"/>
    <e v="#N/A"/>
    <n v="0"/>
    <n v="2"/>
  </r>
  <r>
    <s v="MTB Magyar Takarékszövetkezeti Bank"/>
    <s v="S6T67003"/>
    <s v="ProCash 2050"/>
    <s v="XXS6T67003"/>
    <s v="8719"/>
    <s v="Böhönye"/>
    <s v="Kossuth Lajos u. 2."/>
    <s v="ok"/>
    <n v="2"/>
    <n v="2"/>
    <x v="9"/>
    <n v="1"/>
    <n v="1"/>
    <n v="1"/>
  </r>
  <r>
    <s v="MTB Magyar Takarékszövetkezeti Bank"/>
    <s v="S6T67004"/>
    <s v="ProCash 2050"/>
    <s v="XXS6T67004"/>
    <s v="8716"/>
    <s v="Mesztegnyő"/>
    <s v="Vörösmarty u. 8."/>
    <s v="ok"/>
    <n v="2"/>
    <n v="2"/>
    <x v="9"/>
    <n v="1"/>
    <n v="1"/>
    <n v="1"/>
  </r>
  <r>
    <s v="MTB Magyar Takarékszövetkezeti Bank"/>
    <s v="S6T67005"/>
    <s v="OPT562 1GIG-DVD-UPS-LAN-A6-CEN3(4HIGH)"/>
    <s v="1562RH132931"/>
    <s v="7562"/>
    <s v="Segesd"/>
    <s v="Kossuth Lajos u. 56."/>
    <s v="ok"/>
    <n v="2"/>
    <n v="2"/>
    <x v="9"/>
    <n v="1"/>
    <n v="1"/>
    <n v="1"/>
  </r>
  <r>
    <s v="MTB Magyar Takarékszövetkezeti Bank"/>
    <s v="S6T67007"/>
    <s v="ProCash 2050"/>
    <s v="XXS6T67007"/>
    <s v="8725"/>
    <s v="Iharosberény"/>
    <s v="Rákóczi F. u. 4."/>
    <s v="ok"/>
    <n v="2"/>
    <n v="2"/>
    <x v="9"/>
    <n v="1"/>
    <n v="1"/>
    <n v="1"/>
  </r>
  <r>
    <s v="MTB Magyar Takarékszövetkezeti Bank"/>
    <s v="S6T67011"/>
    <s v="Diebold-Opteva 760 ATM Outdoor"/>
    <s v="1760R3320898"/>
    <s v="8624"/>
    <s v="Balatonszárszó"/>
    <s v="Ady Endre u. 2."/>
    <s v="ok"/>
    <n v="2"/>
    <n v="2"/>
    <x v="4"/>
    <e v="#N/A"/>
    <n v="0"/>
    <n v="2"/>
  </r>
  <r>
    <s v="MTB Magyar Takarékszövetkezeti Bank"/>
    <s v="S6T67012"/>
    <s v="Diebold-Opteva 760 ATM Outdoor"/>
    <s v="1760RH122689"/>
    <s v="8630"/>
    <s v="Balatonboglár"/>
    <s v="Sétáló u. 7."/>
    <s v="ok"/>
    <n v="2"/>
    <n v="2"/>
    <x v="9"/>
    <n v="1"/>
    <n v="1"/>
    <n v="1"/>
  </r>
  <r>
    <s v="MTB Magyar Takarékszövetkezeti Bank"/>
    <s v="S6T67016"/>
    <s v="Diebold-Opteva 760 ATM Outdoor"/>
    <s v="1760RH126435"/>
    <s v="8638"/>
    <s v="Balatonlelle"/>
    <s v="Rákóczi u. 232."/>
    <s v="ok"/>
    <n v="2"/>
    <n v="2"/>
    <x v="9"/>
    <n v="1"/>
    <n v="1"/>
    <n v="1"/>
  </r>
  <r>
    <s v="MTB Magyar Takarékszövetkezeti Bank"/>
    <s v="S6T67017"/>
    <s v="CSC/450 system"/>
    <s v="XXS6T67008"/>
    <s v="8676"/>
    <s v="Karád"/>
    <s v="Kossuth Lajos utca 3."/>
    <s v="ok"/>
    <n v="2"/>
    <n v="2"/>
    <x v="9"/>
    <n v="1"/>
    <n v="1"/>
    <n v="1"/>
  </r>
  <r>
    <s v="MTB Magyar Takarékszövetkezeti Bank"/>
    <s v="S6T67601"/>
    <s v="Diebold-Opteva 760 ATM Outdoor"/>
    <s v="1760RH135390"/>
    <s v="4500"/>
    <s v="Nyírbátor"/>
    <s v="Szabadság út 5."/>
    <s v="ok"/>
    <n v="2"/>
    <n v="2"/>
    <x v="1"/>
    <n v="1"/>
    <n v="1"/>
    <n v="1"/>
  </r>
  <r>
    <s v="MTB Magyar Takarékszövetkezeti Bank"/>
    <s v="S6T67602"/>
    <s v="ProCash 2050xe"/>
    <s v="5300154223"/>
    <s v="4765"/>
    <s v="Csenger"/>
    <s v="Ady Endre út 5."/>
    <s v="ok"/>
    <n v="2"/>
    <n v="2"/>
    <x v="1"/>
    <n v="1"/>
    <n v="1"/>
    <n v="1"/>
  </r>
  <r>
    <s v="MTB Magyar Takarékszövetkezeti Bank"/>
    <s v="S6T67802"/>
    <s v="OPT562 1GIG-DVD-UPS-LAN-A6-CEN3(4HIGH)"/>
    <s v="1562R3320391"/>
    <s v="4800"/>
    <s v="Vásárosnamény"/>
    <s v="Rákóczi u. 1/a"/>
    <s v="ok"/>
    <n v="2"/>
    <n v="2"/>
    <x v="1"/>
    <n v="1"/>
    <n v="1"/>
    <n v="1"/>
  </r>
  <r>
    <s v="MTB Magyar Takarékszövetkezeti Bank"/>
    <s v="S6T67803"/>
    <s v="OPT562 1GIG-DVD-UPS-LAN-A6-CEN3(4HIGH)"/>
    <s v="1562R3320090"/>
    <s v="4951"/>
    <s v="Tiszabecs"/>
    <s v="Rákóczi u. 15."/>
    <s v="ok"/>
    <n v="2"/>
    <n v="2"/>
    <x v="1"/>
    <n v="1"/>
    <n v="1"/>
    <n v="1"/>
  </r>
  <r>
    <s v="MTB Magyar Takarékszövetkezeti Bank"/>
    <s v="S6T67804"/>
    <s v="OPT562 1GIG-DVD-UPS-LAN-A6-CEN3(4HIGH)"/>
    <s v="1562RH129277"/>
    <s v="4562"/>
    <s v="Vaja"/>
    <s v="Damjanich u. 71."/>
    <s v="ok"/>
    <n v="2"/>
    <n v="2"/>
    <x v="1"/>
    <e v="#N/A"/>
    <n v="0"/>
    <n v="2"/>
  </r>
  <r>
    <s v="MTB Magyar Takarékszövetkezeti Bank"/>
    <s v="S6T67805"/>
    <s v="OPT562 1GIG-DVD-UPS-LAN-A6-CEN3(4HIGH)"/>
    <s v="1562RH129459"/>
    <s v="4931"/>
    <s v="Tarpa"/>
    <s v="Kossuth u. 25."/>
    <s v="ok"/>
    <n v="2"/>
    <n v="2"/>
    <x v="1"/>
    <n v="1"/>
    <n v="1"/>
    <n v="1"/>
  </r>
  <r>
    <s v="MTB Magyar Takarékszövetkezeti Bank"/>
    <s v="S6T67806"/>
    <s v="OPT562 1GIG-DVD-UPS-LAN-A6-CEN3(4HIGH)"/>
    <s v="1562RH129458"/>
    <s v="4337"/>
    <s v="Jármi"/>
    <s v="Kossuth u. 45."/>
    <s v="ok"/>
    <n v="2"/>
    <n v="2"/>
    <x v="1"/>
    <n v="1"/>
    <n v="1"/>
    <n v="1"/>
  </r>
  <r>
    <s v="MTB Magyar Takarékszövetkezeti Bank"/>
    <s v="S6T67807"/>
    <s v="OPT562 1GIG-DVD-UPS-LAN-A6-CEN3(4HIGH)"/>
    <s v="1562RH138602"/>
    <s v="4741"/>
    <s v="Jánkmajtis"/>
    <s v="Kossuth u. 12."/>
    <s v="ok"/>
    <n v="2"/>
    <n v="2"/>
    <x v="1"/>
    <n v="1"/>
    <n v="1"/>
    <n v="1"/>
  </r>
  <r>
    <s v="MTB Magyar Takarékszövetkezeti Bank"/>
    <s v="S6T67901"/>
    <s v="ProCash 2050"/>
    <s v="5300476863"/>
    <s v="4600"/>
    <s v="Kisvárda"/>
    <s v="Szent László út 68."/>
    <s v="ok"/>
    <n v="2"/>
    <n v="2"/>
    <x v="1"/>
    <n v="1"/>
    <n v="1"/>
    <n v="1"/>
  </r>
  <r>
    <s v="MTB Magyar Takarékszövetkezeti Bank"/>
    <s v="S6T67902"/>
    <s v="ProCash 2050"/>
    <s v="5300127262"/>
    <s v="4644"/>
    <s v="Mándok"/>
    <s v="Petőfi Sándor u. 12."/>
    <s v="ok"/>
    <n v="2"/>
    <n v="2"/>
    <x v="1"/>
    <n v="1"/>
    <n v="1"/>
    <n v="1"/>
  </r>
  <r>
    <s v="MTB Magyar Takarékszövetkezeti Bank"/>
    <s v="S6T67903"/>
    <s v="ProCash 2050"/>
    <s v="6101399789"/>
    <s v="4621"/>
    <s v="Fényeslitke"/>
    <s v="Kossuth L. u. 92."/>
    <s v="ok"/>
    <n v="2"/>
    <n v="2"/>
    <x v="1"/>
    <e v="#N/A"/>
    <n v="0"/>
    <n v="2"/>
  </r>
  <r>
    <s v="MTB Magyar Takarékszövetkezeti Bank"/>
    <s v="S6T67904"/>
    <s v="ProCash 2050"/>
    <s v="5300270887"/>
    <s v="4524"/>
    <s v="Ajak"/>
    <s v="Kiss Ernő u. 3."/>
    <s v="ok"/>
    <n v="2"/>
    <n v="2"/>
    <x v="1"/>
    <n v="1"/>
    <n v="1"/>
    <n v="1"/>
  </r>
  <r>
    <s v="MTB Magyar Takarékszövetkezeti Bank"/>
    <s v="S6T67905"/>
    <s v="ProCash 2050"/>
    <s v="5300342402"/>
    <s v="4523"/>
    <s v="Pátroha"/>
    <s v="Kossuth u. 3."/>
    <s v="ok"/>
    <n v="2"/>
    <n v="2"/>
    <x v="1"/>
    <n v="1"/>
    <n v="1"/>
    <n v="1"/>
  </r>
  <r>
    <s v="MTB Magyar Takarékszövetkezeti Bank"/>
    <s v="S6T67906"/>
    <s v="ProCash 2050"/>
    <s v="5300476859"/>
    <s v="4492"/>
    <s v="Dombrád"/>
    <s v="Kossuth út 23/a"/>
    <s v="ok"/>
    <n v="2"/>
    <n v="2"/>
    <x v="1"/>
    <n v="1"/>
    <n v="1"/>
    <n v="1"/>
  </r>
  <r>
    <s v="MTB Magyar Takarékszövetkezeti Bank"/>
    <s v="S6T67907"/>
    <s v="ProCash 2050"/>
    <s v="5300735222"/>
    <s v="4625"/>
    <s v="Záhony"/>
    <s v="Alkotmány u. 2."/>
    <s v="ok"/>
    <n v="2"/>
    <n v="2"/>
    <x v="1"/>
    <n v="1"/>
    <n v="1"/>
    <n v="1"/>
  </r>
  <r>
    <s v="MTB Magyar Takarékszövetkezeti Bank"/>
    <s v="S6T68001"/>
    <s v="OPT562 1GIG-DVD-UPS-LAN-A6-CEN3(4HIGH)"/>
    <s v="1562RH157546"/>
    <s v="4355"/>
    <s v="Nagyecsed"/>
    <s v="Rákóczi u. 16."/>
    <s v="ok"/>
    <n v="2"/>
    <n v="2"/>
    <x v="1"/>
    <n v="1"/>
    <n v="1"/>
    <n v="1"/>
  </r>
  <r>
    <s v="MTB Magyar Takarékszövetkezeti Bank"/>
    <s v="S6T68003"/>
    <s v="OPT562 1GIG-DVD-UPS-LAN-A6-CEN3(4HIGH)"/>
    <s v="1562RH156887"/>
    <s v="4821"/>
    <s v="Ópályi"/>
    <s v="Szent II. János Pál Pápa tér 2."/>
    <s v="ok"/>
    <n v="2"/>
    <n v="2"/>
    <x v="1"/>
    <e v="#N/A"/>
    <n v="0"/>
    <n v="2"/>
  </r>
  <r>
    <s v="MTB Magyar Takarékszövetkezeti Bank"/>
    <s v="S6T68004"/>
    <s v="ProCash 2050"/>
    <s v="5300095581"/>
    <s v="4356"/>
    <s v="Nyírcsaholy"/>
    <s v="Hunyadi u. 14."/>
    <s v="ok"/>
    <n v="2"/>
    <n v="2"/>
    <x v="1"/>
    <n v="1"/>
    <n v="1"/>
    <n v="1"/>
  </r>
  <r>
    <s v="MTB Magyar Takarékszövetkezeti Bank"/>
    <s v="S6T68005"/>
    <s v="OPT562 1GIG-DVD-UPS-LAN-A6-CEN3(4HIGH)"/>
    <s v="1562RH157547"/>
    <s v="4352"/>
    <s v="Mérk"/>
    <s v="Hunyadi u. 98."/>
    <s v="ok"/>
    <n v="2"/>
    <n v="2"/>
    <x v="1"/>
    <n v="1"/>
    <n v="1"/>
    <n v="1"/>
  </r>
  <r>
    <s v="MTB Magyar Takarékszövetkezeti Bank"/>
    <s v="S6T68201"/>
    <s v="OPT562 1GIG-DVD-UPS-LAN-A6-CEN3(4HIGH)"/>
    <s v="1562RH155234"/>
    <s v="4371"/>
    <s v="Nyírlugos"/>
    <s v="Szabadság tér 1."/>
    <s v="ok"/>
    <n v="2"/>
    <n v="2"/>
    <x v="16"/>
    <e v="#N/A"/>
    <n v="0"/>
    <n v="2"/>
  </r>
  <r>
    <s v="MTB Magyar Takarékszövetkezeti Bank"/>
    <s v="S6T68202"/>
    <s v="OPT562 1GIG-DVD-UPS-LAN-A6-CEN3(4HIGH)"/>
    <s v="1562RH155238"/>
    <s v="4372"/>
    <s v="Nyírbéltek"/>
    <s v="Kossuth L. u. 16."/>
    <s v="ok"/>
    <n v="2"/>
    <n v="2"/>
    <x v="16"/>
    <n v="1"/>
    <n v="1"/>
    <n v="1"/>
  </r>
  <r>
    <s v="MTB Magyar Takarékszövetkezeti Bank"/>
    <s v="S6T68203"/>
    <s v="OPT562 1GIG-DVD-UPS-LAN-A6-CEN3(4HIGH)"/>
    <s v="1562RH155233"/>
    <s v="4361"/>
    <s v="Nyírbogát"/>
    <s v="Kossuth L. u. 7."/>
    <s v="ok"/>
    <n v="2"/>
    <n v="2"/>
    <x v="16"/>
    <n v="1"/>
    <n v="1"/>
    <n v="1"/>
  </r>
  <r>
    <s v="MTB Magyar Takarékszövetkezeti Bank"/>
    <s v="S6T68502"/>
    <s v="Diebold-Opteva 760 ATM Outdoor"/>
    <s v="1760RCF00039"/>
    <s v="4400"/>
    <s v="Nyíregyháza"/>
    <s v="Kállói út 34."/>
    <s v="ok"/>
    <n v="2"/>
    <n v="0"/>
    <x v="1"/>
    <e v="#N/A"/>
    <n v="0"/>
    <n v="0"/>
  </r>
  <r>
    <s v="MTB Magyar Takarékszövetkezeti Bank"/>
    <s v="S6T68503"/>
    <s v="Diebold-Opteva 760 ATM Outdoor"/>
    <s v="1760RCF00040"/>
    <s v="4471"/>
    <s v="Gávavencsellő"/>
    <s v="Petőfi u. 3."/>
    <s v="ok"/>
    <n v="2"/>
    <n v="2"/>
    <x v="1"/>
    <e v="#N/A"/>
    <n v="0"/>
    <n v="2"/>
  </r>
  <r>
    <s v="MTB Magyar Takarékszövetkezeti Bank"/>
    <s v="S6T68504"/>
    <s v="OPT562 1GIG-DVD-UPS-LAN-A6-CEN3(4HIGH)"/>
    <s v="1562RCF00958"/>
    <s v="4552"/>
    <s v="Napkor"/>
    <s v="Apagyi út 2."/>
    <s v="ok"/>
    <n v="2"/>
    <n v="2"/>
    <x v="1"/>
    <n v="1"/>
    <n v="1"/>
    <n v="1"/>
  </r>
  <r>
    <s v="MTB Magyar Takarékszövetkezeti Bank"/>
    <s v="S6T68505"/>
    <s v="OPT562 1GIG-DVD-UPS-LAN-A6-CEN3(4HIGH)"/>
    <s v="1562RCF00953"/>
    <s v="4400"/>
    <s v="Nyíregyháza"/>
    <s v="Fazekas J. tér 9/A"/>
    <s v="ok"/>
    <n v="2"/>
    <n v="2"/>
    <x v="1"/>
    <n v="1"/>
    <n v="1"/>
    <n v="1"/>
  </r>
  <r>
    <s v="MTB Magyar Takarékszövetkezeti Bank"/>
    <s v="S6T68506"/>
    <s v="OPT562 1GIG-DVD-UPS-LAN-A6-CEN3(4HIGH)"/>
    <s v="1562R3301392"/>
    <s v="4450"/>
    <s v="Tiszalök"/>
    <s v="Kossuth u. 79/a"/>
    <s v="ok"/>
    <n v="2"/>
    <n v="2"/>
    <x v="1"/>
    <n v="1"/>
    <n v="1"/>
    <n v="1"/>
  </r>
  <r>
    <s v="MTB Magyar Takarékszövetkezeti Bank"/>
    <s v="S6T68507"/>
    <s v="OPT562 1GIG-DVD-UPS-LAN-A6-CEN3(4HIGH)"/>
    <s v="1562RCF00948"/>
    <s v="4536"/>
    <s v="Ramocsaháza"/>
    <s v="Kossuth u. 106."/>
    <s v="ok"/>
    <n v="2"/>
    <n v="2"/>
    <x v="1"/>
    <n v="1"/>
    <n v="1"/>
    <n v="1"/>
  </r>
  <r>
    <s v="MTB Magyar Takarékszövetkezeti Bank"/>
    <s v="S6T68508"/>
    <s v="OPT562 1GIG-DVD-UPS-LAN-A6-CEN3(4HIGH)"/>
    <s v="1562RH134184"/>
    <s v="4553"/>
    <s v="Apagy"/>
    <s v="Béke u. 2/a"/>
    <s v="ok"/>
    <n v="2"/>
    <n v="2"/>
    <x v="1"/>
    <n v="1"/>
    <n v="1"/>
    <n v="1"/>
  </r>
  <r>
    <s v="MTB Magyar Takarékszövetkezeti Bank"/>
    <s v="S6T68509"/>
    <s v="OPT562 1GIG-DVD-UPS-LAN-A6-CEN3(4HIGH)"/>
    <s v="1562RH134855"/>
    <s v="4551"/>
    <s v="Nyíregyháza-Oros"/>
    <s v="Fő út 3."/>
    <s v="ok"/>
    <n v="2"/>
    <n v="2"/>
    <x v="1"/>
    <n v="1"/>
    <n v="1"/>
    <n v="1"/>
  </r>
  <r>
    <s v="MTB Magyar Takarékszövetkezeti Bank"/>
    <s v="S6T68510"/>
    <s v="OPT562 1GIG-DVD-UPS-LAN-A6-CEN3(4HIGH)"/>
    <s v="1562RH134856"/>
    <s v="4555"/>
    <s v="Levelek"/>
    <s v="Rákóczi u. 7."/>
    <s v="ok"/>
    <n v="2"/>
    <n v="2"/>
    <x v="1"/>
    <n v="1"/>
    <n v="1"/>
    <n v="1"/>
  </r>
  <r>
    <s v="MTB Magyar Takarékszövetkezeti Bank"/>
    <s v="S6T68511"/>
    <s v="OPT562 1GIG-DVD-UPS-LAN-A6-CEN3(4HIGH)"/>
    <s v="1562RH142719"/>
    <s v="4464"/>
    <s v="Tiszaeszlár"/>
    <s v="Rákóczi utca 79."/>
    <s v="ok"/>
    <n v="2"/>
    <n v="2"/>
    <x v="1"/>
    <n v="1"/>
    <n v="1"/>
    <n v="1"/>
  </r>
  <r>
    <s v="MTB Magyar Takarékszövetkezeti Bank"/>
    <s v="S6T68512"/>
    <s v="OPT562 1GIG-DVD-UPS-LAN-A6-CEN3(4HIGH)"/>
    <s v="1562RH142717"/>
    <s v="4400"/>
    <s v="Nyíregyháza"/>
    <s v="Ungvár sétány 35."/>
    <s v="ok"/>
    <n v="2"/>
    <n v="2"/>
    <x v="1"/>
    <e v="#N/A"/>
    <n v="0"/>
    <n v="2"/>
  </r>
  <r>
    <s v="MTB Magyar Takarékszövetkezeti Bank"/>
    <s v="S6T68513"/>
    <s v="OPT562 1GIG-DVD-UPS-LAN-A6-CEN3(4HIGH)"/>
    <s v="1562RH142718"/>
    <s v="4531"/>
    <s v="Nyírpazony"/>
    <s v="Vasvári Pál utca 27."/>
    <s v="ok"/>
    <n v="2"/>
    <n v="0"/>
    <x v="1"/>
    <e v="#N/A"/>
    <n v="0"/>
    <n v="0"/>
  </r>
  <r>
    <s v="MTB Magyar Takarékszövetkezeti Bank"/>
    <s v="S6T68514"/>
    <s v="OPT562 1GIG-DVD-UPS-LAN-A6-CEN3(4HIGH)"/>
    <s v="1562RH147977"/>
    <s v="4532"/>
    <s v="Nyírtura"/>
    <s v="Újmajori út 10."/>
    <s v="ok"/>
    <n v="2"/>
    <n v="2"/>
    <x v="1"/>
    <n v="1"/>
    <n v="1"/>
    <n v="1"/>
  </r>
  <r>
    <s v="MTB Magyar Takarékszövetkezeti Bank"/>
    <s v="S6T68515"/>
    <s v="OPT562 1GIG-DVD-UPS-LAN-A6-CEN3(4HIGH)"/>
    <s v="1562RH150124"/>
    <s v="4461"/>
    <s v="Nyírtelek"/>
    <s v="Arany János utca 1."/>
    <s v="ok"/>
    <n v="2"/>
    <n v="2"/>
    <x v="1"/>
    <n v="1"/>
    <n v="1"/>
    <n v="1"/>
  </r>
  <r>
    <s v="MTB Magyar Takarékszövetkezeti Bank"/>
    <s v="S6T68516"/>
    <s v="OPT562 1GIG-DVD-UPS-LAN-A6-CEN3(4HIGH)"/>
    <s v="1562R3320089"/>
    <s v="3910"/>
    <s v="Tokaj"/>
    <s v="Bajcsy-Zsilinszky Endre út 18."/>
    <s v="ok"/>
    <n v="2"/>
    <n v="2"/>
    <x v="1"/>
    <n v="1"/>
    <n v="1"/>
    <n v="1"/>
  </r>
  <r>
    <s v="MTB Magyar Takarékszövetkezeti Bank"/>
    <s v="S6T68701"/>
    <s v="ProCash 2050"/>
    <s v="5300150776"/>
    <s v="4440"/>
    <s v="Tiszavasvári"/>
    <s v="Kossuth u. 1."/>
    <s v="ok"/>
    <n v="2"/>
    <n v="2"/>
    <x v="1"/>
    <n v="1"/>
    <n v="1"/>
    <n v="1"/>
  </r>
  <r>
    <s v="MTB Magyar Takarékszövetkezeti Bank"/>
    <s v="S6T68702"/>
    <s v="ProCash 2050"/>
    <s v="5300216516"/>
    <s v="4400"/>
    <s v="Nyíregyháza"/>
    <s v="Szent István u. 27."/>
    <s v="ok"/>
    <n v="2"/>
    <n v="2"/>
    <x v="1"/>
    <n v="1"/>
    <n v="1"/>
    <n v="1"/>
  </r>
  <r>
    <s v="MTB Magyar Takarékszövetkezeti Bank"/>
    <s v="S6T68703"/>
    <s v="ProCash 2050"/>
    <s v="5300095396"/>
    <s v="4400"/>
    <s v="Nyíregyháza"/>
    <s v="Széchenyi u. 23."/>
    <s v="ok"/>
    <n v="2"/>
    <n v="2"/>
    <x v="1"/>
    <n v="1"/>
    <n v="1"/>
    <n v="1"/>
  </r>
  <r>
    <s v="MTB Magyar Takarékszövetkezeti Bank"/>
    <s v="S6T68704"/>
    <s v="ProCash 2150xe USB"/>
    <s v="5300249969"/>
    <s v="4485"/>
    <s v="Nagyhalász"/>
    <s v="Kossuth u. 9/a."/>
    <s v="ok"/>
    <n v="2"/>
    <n v="2"/>
    <x v="1"/>
    <n v="1"/>
    <n v="1"/>
    <n v="1"/>
  </r>
  <r>
    <s v="MTB Magyar Takarékszövetkezeti Bank"/>
    <s v="S6T68705"/>
    <s v="ProCash 2050"/>
    <s v="5300136431"/>
    <s v="4516"/>
    <s v="Demecser"/>
    <s v="Kétezer-egy tér 3."/>
    <s v="ok"/>
    <n v="2"/>
    <n v="2"/>
    <x v="1"/>
    <n v="1"/>
    <n v="1"/>
    <n v="1"/>
  </r>
  <r>
    <s v="MTB Magyar Takarékszövetkezeti Bank"/>
    <s v="S6T68706"/>
    <s v="Diebold-Opteva 560 ATM Outdoor"/>
    <s v="1560R3302812"/>
    <s v="4484"/>
    <s v="Ibrány"/>
    <s v="Lehel út 3."/>
    <s v="ok"/>
    <n v="2"/>
    <n v="2"/>
    <x v="1"/>
    <e v="#N/A"/>
    <n v="0"/>
    <n v="2"/>
  </r>
  <r>
    <s v="MTB Magyar Takarékszövetkezeti Bank"/>
    <s v="S6T68707"/>
    <s v="OPT562 1GIG-DVD-UPS-LAN-A6-CEN3(4HIGH)"/>
    <s v="1562RH129337"/>
    <s v="4482"/>
    <s v="Kótaj"/>
    <s v="Kossuth u. 17."/>
    <s v="ok"/>
    <n v="2"/>
    <n v="2"/>
    <x v="1"/>
    <n v="1"/>
    <n v="1"/>
    <n v="1"/>
  </r>
  <r>
    <s v="MTB Magyar Takarékszövetkezeti Bank"/>
    <s v="S6T68709"/>
    <s v="ProCash 2050"/>
    <s v="5300280569"/>
    <s v="4441"/>
    <s v="Szorgalmatos"/>
    <s v="Közép u. 2."/>
    <s v="ok"/>
    <n v="2"/>
    <n v="2"/>
    <x v="1"/>
    <n v="1"/>
    <n v="1"/>
    <n v="1"/>
  </r>
  <r>
    <s v="MTB Magyar Takarékszövetkezeti Bank"/>
    <s v="S6T68710"/>
    <s v="OPT562 1GIG-DVD-UPS-LAN-A6-CEN3(4HIGH)"/>
    <s v="1562RH142716"/>
    <s v="4474"/>
    <s v="Tiszabercel"/>
    <s v="Vásártér út 5."/>
    <s v="ok"/>
    <n v="2"/>
    <n v="2"/>
    <x v="1"/>
    <n v="1"/>
    <n v="1"/>
    <n v="1"/>
  </r>
  <r>
    <s v="MTB Magyar Takarékszövetkezeti Bank"/>
    <s v="S6T68711"/>
    <s v="Diebold-Opteva 560 ATM Outdoor"/>
    <s v="1560RCF00828"/>
    <s v="4483"/>
    <s v="Buj"/>
    <s v="Rákóczi út 3."/>
    <s v="ok"/>
    <n v="2"/>
    <n v="2"/>
    <x v="1"/>
    <n v="1"/>
    <n v="1"/>
    <n v="1"/>
  </r>
  <r>
    <s v="MTB Magyar Takarékszövetkezeti Bank"/>
    <s v="S6T68712"/>
    <s v="OPT562 1GIG-DVD-UPS-LAN-A6-CEN3(4HIGH)"/>
    <s v="1562RCF00177"/>
    <s v="4511"/>
    <s v="Nyírbogdány"/>
    <s v="Fő út 41."/>
    <s v="ok"/>
    <n v="2"/>
    <n v="2"/>
    <x v="1"/>
    <e v="#N/A"/>
    <n v="0"/>
    <n v="2"/>
  </r>
  <r>
    <s v="MTB Magyar Takarékszövetkezeti Bank"/>
    <s v="S6T68802"/>
    <s v="Diebold-Opteva 760 ATM Outdoor"/>
    <s v="1760RH126433"/>
    <s v="4320"/>
    <s v="Nagykálló"/>
    <s v="Zrínyi u. 22."/>
    <s v="ok"/>
    <n v="2"/>
    <n v="2"/>
    <x v="1"/>
    <e v="#N/A"/>
    <n v="0"/>
    <n v="2"/>
  </r>
  <r>
    <s v="MTB Magyar Takarékszövetkezeti Bank"/>
    <s v="S6T68803"/>
    <s v="Diebold-Opteva 720 ATM Indoor"/>
    <s v="1760RH124443"/>
    <s v="4400"/>
    <s v="Nyíregyháza"/>
    <s v="Országzászló tér 4."/>
    <s v="ok"/>
    <n v="2"/>
    <n v="2"/>
    <x v="1"/>
    <e v="#N/A"/>
    <n v="0"/>
    <n v="2"/>
  </r>
  <r>
    <s v="MTB Magyar Takarékszövetkezeti Bank"/>
    <s v="S6T68804"/>
    <s v="OPT562 1GIG-DVD-UPS-LAN-A6-CEN3(4HIGH)"/>
    <s v="1562RH155247"/>
    <s v="4324"/>
    <s v="Kállósemjén"/>
    <s v="Kossuth u. 104."/>
    <s v="ok"/>
    <n v="2"/>
    <n v="2"/>
    <x v="1"/>
    <n v="1"/>
    <n v="1"/>
    <n v="1"/>
  </r>
  <r>
    <s v="MTB Magyar Takarékszövetkezeti Bank"/>
    <s v="S6T68805"/>
    <s v="ProCash 2050"/>
    <s v="XXS6T68805"/>
    <s v="4700"/>
    <s v="Mátészalka"/>
    <s v="Bajcsy-Zs. u. 30/a."/>
    <s v="ok"/>
    <n v="2"/>
    <n v="0"/>
    <x v="1"/>
    <e v="#N/A"/>
    <n v="0"/>
    <n v="0"/>
  </r>
  <r>
    <s v="MTB Magyar Takarékszövetkezeti Bank"/>
    <s v="S6T68806"/>
    <s v="ProCash 2150xe"/>
    <s v="XXS6T68806"/>
    <s v="4900"/>
    <s v="Fehérgyarmat"/>
    <s v="Kossuth u. 4."/>
    <s v="ok"/>
    <n v="2"/>
    <n v="0"/>
    <x v="1"/>
    <e v="#N/A"/>
    <n v="0"/>
    <n v="0"/>
  </r>
  <r>
    <s v="MTB Magyar Takarékszövetkezeti Bank"/>
    <s v="S6T68807"/>
    <s v="ProCash 2050"/>
    <s v="5300403652"/>
    <s v="4231"/>
    <s v="Bököny"/>
    <s v="Dózsa út 5."/>
    <s v="ok"/>
    <n v="2"/>
    <n v="2"/>
    <x v="1"/>
    <n v="1"/>
    <n v="1"/>
    <n v="1"/>
  </r>
  <r>
    <s v="MTB Magyar Takarékszövetkezeti Bank"/>
    <s v="S6T68809"/>
    <s v="Diebold-Opteva 760 ATM Outdoor"/>
    <s v="1760RH128261"/>
    <s v="4233"/>
    <s v="Balkány"/>
    <s v="Ságvári u. 31."/>
    <s v="ok"/>
    <n v="2"/>
    <n v="2"/>
    <x v="1"/>
    <n v="1"/>
    <n v="1"/>
    <n v="1"/>
  </r>
  <r>
    <s v="MTB Magyar Takarékszövetkezeti Bank"/>
    <s v="S6T68810"/>
    <s v="OPT562 1GIG-DVD-UPS-LAN-A6-CEN3(4HIGH)"/>
    <s v="1562RH156886"/>
    <s v="4434"/>
    <s v="Kálmánháza"/>
    <s v="Nyíregyházi út 55."/>
    <s v="ok"/>
    <n v="2"/>
    <n v="2"/>
    <x v="1"/>
    <n v="1"/>
    <n v="1"/>
    <n v="1"/>
  </r>
  <r>
    <s v="MTB Magyar Takarékszövetkezeti Bank"/>
    <s v="S6T68811"/>
    <s v="OPT562 1GIG-DVD-UPS-LAN-A6-CEN3(4HIGH)"/>
    <s v="1562RH157548"/>
    <s v="4232"/>
    <s v="Geszteréd"/>
    <s v="Petőfi u. 9."/>
    <s v="ok"/>
    <n v="2"/>
    <n v="2"/>
    <x v="1"/>
    <n v="1"/>
    <n v="1"/>
    <n v="1"/>
  </r>
  <r>
    <s v="MTB Magyar Takarékszövetkezeti Bank"/>
    <s v="S6T68813"/>
    <s v="OPT562 1GIG-DVD-UPS-LAN-A6-CEN3(4HIGH)"/>
    <s v="1562RH135623"/>
    <s v="4405"/>
    <s v="Nyíregyháza"/>
    <s v="Lujza u. 20."/>
    <s v="ok"/>
    <n v="2"/>
    <n v="2"/>
    <x v="1"/>
    <n v="1"/>
    <n v="1"/>
    <n v="1"/>
  </r>
  <r>
    <s v="MTB Magyar Takarékszövetkezeti Bank"/>
    <s v="S6T69301"/>
    <s v="ProCash 2050xe USB"/>
    <s v="5300584737"/>
    <s v="5231"/>
    <s v="Fegyvernek"/>
    <s v="Szent Erzsébet út 138."/>
    <s v="ok"/>
    <n v="2"/>
    <n v="2"/>
    <x v="11"/>
    <n v="1"/>
    <n v="1"/>
    <n v="1"/>
  </r>
  <r>
    <s v="MTB Magyar Takarékszövetkezeti Bank"/>
    <s v="S6T69304"/>
    <s v="ProCash 2150xe"/>
    <s v="5300147994"/>
    <s v="5310"/>
    <s v="Kisújszállás"/>
    <s v="Szabadság tér 8."/>
    <s v="ok"/>
    <n v="2"/>
    <n v="2"/>
    <x v="11"/>
    <e v="#N/A"/>
    <n v="0"/>
    <n v="2"/>
  </r>
  <r>
    <s v="MTB Magyar Takarékszövetkezeti Bank"/>
    <s v="S6T69305"/>
    <s v="ProCash 2050xe USB"/>
    <s v="5300584491"/>
    <s v="5200"/>
    <s v="Törökszentmiklós"/>
    <s v="Kossuth L. út 146."/>
    <s v="ok"/>
    <n v="2"/>
    <n v="2"/>
    <x v="11"/>
    <n v="1"/>
    <n v="1"/>
    <n v="1"/>
  </r>
  <r>
    <s v="MTB Magyar Takarékszövetkezeti Bank"/>
    <s v="S6T69401"/>
    <s v="Diebold-Opteva 562r 3 High-Standard ATM"/>
    <s v="562RRH100424"/>
    <s v="5123"/>
    <s v="Jászárokszállás"/>
    <s v="Árpád tér 2."/>
    <s v="ok"/>
    <n v="2"/>
    <n v="2"/>
    <x v="10"/>
    <e v="#N/A"/>
    <n v="0"/>
    <n v="2"/>
  </r>
  <r>
    <s v="MTB Magyar Takarékszövetkezeti Bank"/>
    <s v="S6T69402"/>
    <s v="Diebold-Opteva 560 ATM Outdoor"/>
    <s v="1560RCF00831"/>
    <s v="3360"/>
    <s v="Heves"/>
    <s v="Hunyadi u. 14."/>
    <s v="ok"/>
    <n v="2"/>
    <n v="2"/>
    <x v="6"/>
    <n v="1"/>
    <n v="1"/>
    <n v="1"/>
  </r>
  <r>
    <s v="MTB Magyar Takarékszövetkezeti Bank"/>
    <s v="S6T69405"/>
    <s v="Diebold-Opteva 560 ATM Outdoor"/>
    <s v="1560R3301574"/>
    <s v="3284"/>
    <s v="Tarnaméra"/>
    <s v="Árpád út 4/2"/>
    <s v="ok"/>
    <n v="2"/>
    <n v="2"/>
    <x v="6"/>
    <n v="1"/>
    <n v="1"/>
    <n v="1"/>
  </r>
  <r>
    <s v="MTB Magyar Takarékszövetkezeti Bank"/>
    <s v="S6T69406"/>
    <s v="Diebold-Opteva 560 ATM Outdoor"/>
    <s v="1560R3301573"/>
    <s v="5061"/>
    <s v="Tiszasüly"/>
    <s v="Kiséri út 23."/>
    <s v="ok"/>
    <n v="2"/>
    <n v="2"/>
    <x v="11"/>
    <e v="#N/A"/>
    <n v="0"/>
    <n v="2"/>
  </r>
  <r>
    <s v="MTB Magyar Takarékszövetkezeti Bank"/>
    <s v="S6T69501"/>
    <s v="ProCash 2050"/>
    <s v="XXAS6T69501"/>
    <s v="5100"/>
    <s v="Jászberény"/>
    <s v="Szabadság tér 9-10."/>
    <s v="ok"/>
    <n v="2"/>
    <n v="2"/>
    <x v="10"/>
    <e v="#N/A"/>
    <n v="0"/>
    <n v="2"/>
  </r>
  <r>
    <s v="MTB Magyar Takarékszövetkezeti Bank"/>
    <s v="S6T69503"/>
    <s v="ProCash 2050"/>
    <s v="XXAS6T69503"/>
    <s v="5054"/>
    <s v="Jászalsószentgyörgy"/>
    <s v="Fő u. 66."/>
    <s v="ok"/>
    <n v="2"/>
    <n v="2"/>
    <x v="11"/>
    <n v="1"/>
    <n v="1"/>
    <n v="1"/>
  </r>
  <r>
    <s v="MTB Magyar Takarékszövetkezeti Bank"/>
    <s v="S6T69504"/>
    <s v="ProCash 2050"/>
    <s v="XXAS6T69504"/>
    <s v="5126"/>
    <s v="Jászfényszaru"/>
    <s v="Szabadság út 1."/>
    <s v="ok"/>
    <n v="2"/>
    <n v="2"/>
    <x v="10"/>
    <n v="1"/>
    <n v="1"/>
    <n v="1"/>
  </r>
  <r>
    <s v="MTB Magyar Takarékszövetkezeti Bank"/>
    <s v="S6T69505"/>
    <s v="ProCash 2050"/>
    <s v="XXAS6T69505"/>
    <s v="5111"/>
    <s v="Jászfelsőszentgyörgy"/>
    <s v="Fő út 96."/>
    <s v="ok"/>
    <n v="2"/>
    <n v="2"/>
    <x v="10"/>
    <e v="#N/A"/>
    <n v="0"/>
    <n v="2"/>
  </r>
  <r>
    <s v="MTB Magyar Takarékszövetkezeti Bank"/>
    <s v="S6T69506"/>
    <s v="ProCash 2050"/>
    <s v="XXAS6T69506"/>
    <s v="5125"/>
    <s v="Pusztamonostor"/>
    <s v="Szabadság út 74/a"/>
    <s v="ok"/>
    <n v="2"/>
    <n v="2"/>
    <x v="10"/>
    <e v="#N/A"/>
    <n v="0"/>
    <n v="2"/>
  </r>
  <r>
    <s v="MTB Magyar Takarékszövetkezeti Bank"/>
    <s v="S6T69507"/>
    <s v="ProCash 2050"/>
    <s v="XXAS6T69507"/>
    <s v="5142"/>
    <s v="Alattyán"/>
    <s v="Szent István tér 2."/>
    <s v="ok"/>
    <n v="2"/>
    <n v="2"/>
    <x v="11"/>
    <e v="#N/A"/>
    <n v="0"/>
    <n v="2"/>
  </r>
  <r>
    <s v="MTB Magyar Takarékszövetkezeti Bank"/>
    <s v="S6T69508"/>
    <s v="ProCash 2050"/>
    <s v="XXAS6T69508"/>
    <s v="5144"/>
    <s v="Jászboldogháza"/>
    <s v="Kossuth u. 2."/>
    <s v="ok"/>
    <n v="2"/>
    <n v="2"/>
    <x v="11"/>
    <n v="1"/>
    <n v="1"/>
    <n v="1"/>
  </r>
  <r>
    <s v="MTB Magyar Takarékszövetkezeti Bank"/>
    <s v="S6T69510"/>
    <s v="ProCash 2050"/>
    <s v="XXAS6T69510"/>
    <s v="5055"/>
    <s v="Jászladány"/>
    <s v="Petőfi út 2."/>
    <s v="ok"/>
    <n v="2"/>
    <n v="2"/>
    <x v="11"/>
    <n v="1"/>
    <n v="1"/>
    <n v="1"/>
  </r>
  <r>
    <s v="MTB Magyar Takarékszövetkezeti Bank"/>
    <s v="S6T69802"/>
    <s v="OPT562 1GIG-DVD-UPS-LAN-A6-CEN3(4HIGH)"/>
    <s v="1562RH121812"/>
    <s v="5400"/>
    <s v="Mezőtúr"/>
    <s v="Dózsa Gy. út 24."/>
    <s v="ok"/>
    <n v="2"/>
    <n v="2"/>
    <x v="11"/>
    <e v="#N/A"/>
    <n v="0"/>
    <n v="2"/>
  </r>
  <r>
    <s v="MTB Magyar Takarékszövetkezeti Bank"/>
    <s v="S6T69803"/>
    <s v="Diebold-Opteva 562r 3 High-Standard ATM"/>
    <s v="562RRH100578"/>
    <s v="5451"/>
    <s v="Öcsöd"/>
    <s v="Kossuth u. 15."/>
    <s v="ok"/>
    <n v="2"/>
    <n v="2"/>
    <x v="11"/>
    <e v="#N/A"/>
    <n v="0"/>
    <n v="2"/>
  </r>
  <r>
    <s v="MTB Magyar Takarékszövetkezeti Bank"/>
    <s v="S6T69804"/>
    <s v="Diebold-Opteva 562r 3 High-Standard ATM"/>
    <s v="562RRH100621"/>
    <s v="5420"/>
    <s v="Túrkeve"/>
    <s v="Petőfi tér 3-5."/>
    <s v="ok"/>
    <n v="2"/>
    <n v="2"/>
    <x v="11"/>
    <n v="1"/>
    <n v="1"/>
    <n v="1"/>
  </r>
  <r>
    <s v="MTB Magyar Takarékszövetkezeti Bank"/>
    <s v="S6T69807"/>
    <s v="OPT562 1GIG-DVD-UPS-LAN-A6-CEN3(4HIGH)"/>
    <s v="1562R3320030"/>
    <s v="5071"/>
    <s v="Besenyszög"/>
    <s v="Szabadság tér 1/a."/>
    <s v="ok"/>
    <n v="2"/>
    <n v="2"/>
    <x v="11"/>
    <n v="1"/>
    <n v="1"/>
    <n v="1"/>
  </r>
  <r>
    <s v="MTB Magyar Takarékszövetkezeti Bank"/>
    <s v="S6T69809"/>
    <s v="OPT562 1GIG-DVD-UPS-LAN-A6-CEN3(4HIGH)"/>
    <s v="1562RH129958"/>
    <s v="5085"/>
    <s v="Rákóczifalva"/>
    <s v="Rákóczi út 55."/>
    <s v="ok"/>
    <n v="2"/>
    <n v="2"/>
    <x v="11"/>
    <n v="1"/>
    <n v="1"/>
    <n v="1"/>
  </r>
  <r>
    <s v="MTB Magyar Takarékszövetkezeti Bank"/>
    <s v="S6T69811"/>
    <s v="OPT562 1GIG-DVD-UPS-LAN-A6-CEN3(4HIGH)"/>
    <s v="1562RH134183"/>
    <s v="5008"/>
    <s v="Szolnok-Szandaszőllős"/>
    <s v="Krúdy Gyula u. 112."/>
    <s v="ok"/>
    <n v="2"/>
    <n v="2"/>
    <x v="11"/>
    <n v="1"/>
    <n v="1"/>
    <n v="1"/>
  </r>
  <r>
    <s v="MTB Magyar Takarékszövetkezeti Bank"/>
    <s v="S6T69813"/>
    <s v="OPT562 1GIG-DVD-UPS-LAN-A6-CEN3(4HIGH)"/>
    <s v="1562RH139153"/>
    <s v="5211"/>
    <s v="Tiszapüspöki"/>
    <s v="Fő út 73."/>
    <s v="ok"/>
    <n v="2"/>
    <n v="2"/>
    <x v="11"/>
    <n v="1"/>
    <n v="1"/>
    <n v="1"/>
  </r>
  <r>
    <s v="MTB Magyar Takarékszövetkezeti Bank"/>
    <s v="S6T69814"/>
    <s v="Diebold-Opteva 760 ATM Outdoor"/>
    <s v="1760RH129214"/>
    <s v="5309"/>
    <s v="Berekfürdő"/>
    <s v="Berek tér 11. (Strand bejárata)"/>
    <s v="ok"/>
    <n v="2"/>
    <n v="2"/>
    <x v="16"/>
    <n v="1"/>
    <n v="1"/>
    <n v="1"/>
  </r>
  <r>
    <s v="MTB Magyar Takarékszövetkezeti Bank"/>
    <s v="S6T69818"/>
    <s v="OPT562 1GIG-DVD-UPS-LAN-A6-CEN3(4HIGH)"/>
    <s v="1562R3320352"/>
    <s v="6728"/>
    <s v="Szeged"/>
    <s v="Kollégiumi út 6."/>
    <s v="ok"/>
    <n v="2"/>
    <n v="2"/>
    <x v="3"/>
    <e v="#N/A"/>
    <n v="0"/>
    <n v="2"/>
  </r>
  <r>
    <s v="MTB Magyar Takarékszövetkezeti Bank"/>
    <s v="S6T70101"/>
    <s v="OPT562 1GIG-DVD-UPS-LAN-A6-CEN3(4HIGH)"/>
    <s v="1562RH144650"/>
    <s v="5350"/>
    <s v="Tiszafüred"/>
    <s v="Kossuth tér 17."/>
    <s v="ok"/>
    <n v="2"/>
    <n v="2"/>
    <x v="16"/>
    <n v="1"/>
    <n v="1"/>
    <n v="1"/>
  </r>
  <r>
    <s v="MTB Magyar Takarékszövetkezeti Bank"/>
    <s v="S6T70103"/>
    <s v="ProCash 2050"/>
    <s v="XXAS6T70103"/>
    <s v="5235"/>
    <s v="Tiszabura"/>
    <s v="Kossuth u. 60."/>
    <s v="ok"/>
    <n v="2"/>
    <n v="2"/>
    <x v="16"/>
    <e v="#N/A"/>
    <n v="0"/>
    <n v="2"/>
  </r>
  <r>
    <s v="MTB Magyar Takarékszövetkezeti Bank"/>
    <s v="S6T70104"/>
    <s v="ProCash 2050"/>
    <s v="XXAS6T70104"/>
    <s v="4069"/>
    <s v="Egyek"/>
    <s v="Hunyadi J. u. 59."/>
    <s v="ok"/>
    <n v="2"/>
    <n v="2"/>
    <x v="16"/>
    <n v="1"/>
    <n v="1"/>
    <n v="1"/>
  </r>
  <r>
    <s v="MTB Magyar Takarékszövetkezeti Bank"/>
    <s v="S6T70105"/>
    <s v="OPT562 1GIG-DVD-UPS-LAN-A6-CEN3(4HIGH)"/>
    <s v="1562RH135622"/>
    <s v="5321"/>
    <s v="Kunmadaras"/>
    <s v="Kunhegyesi út 10."/>
    <s v="ok"/>
    <n v="2"/>
    <n v="2"/>
    <x v="16"/>
    <n v="1"/>
    <n v="1"/>
    <n v="1"/>
  </r>
  <r>
    <s v="MTB Magyar Takarékszövetkezeti Bank"/>
    <s v="S6T70106"/>
    <s v="ProCash 2050"/>
    <s v="XXAS6T70106"/>
    <s v="5340"/>
    <s v="Kunhegyes"/>
    <s v="Szabadság tér 11."/>
    <s v="ok"/>
    <n v="2"/>
    <n v="2"/>
    <x v="16"/>
    <n v="1"/>
    <n v="1"/>
    <n v="1"/>
  </r>
  <r>
    <s v="MTB Magyar Takarékszövetkezeti Bank"/>
    <s v="S6T70107"/>
    <s v="ProCash 2050"/>
    <s v="XXAS6T70107"/>
    <s v="5300"/>
    <s v="Karcag"/>
    <s v="Kálvin u. 1-3."/>
    <s v="ok"/>
    <n v="2"/>
    <n v="2"/>
    <x v="16"/>
    <n v="1"/>
    <n v="1"/>
    <n v="1"/>
  </r>
  <r>
    <s v="MTB Magyar Takarékszövetkezeti Bank"/>
    <s v="S6T70108"/>
    <s v="ProCash 2050"/>
    <s v="XXAS6T70108"/>
    <s v="5322"/>
    <s v="Tiszaszentimre"/>
    <s v="Fő u. 4."/>
    <s v="ok"/>
    <n v="2"/>
    <n v="2"/>
    <x v="16"/>
    <n v="1"/>
    <n v="1"/>
    <n v="1"/>
  </r>
  <r>
    <s v="MTB Magyar Takarékszövetkezeti Bank"/>
    <s v="S6T70110"/>
    <s v="ProCash 2050"/>
    <s v="XXAS6T70110"/>
    <s v="5324"/>
    <s v="Tomajmonostora"/>
    <s v="Széchenyi út 63."/>
    <s v="ok"/>
    <n v="2"/>
    <n v="2"/>
    <x v="16"/>
    <n v="1"/>
    <n v="1"/>
    <n v="1"/>
  </r>
  <r>
    <s v="MTB Magyar Takarékszövetkezeti Bank"/>
    <s v="S6T70111"/>
    <s v="OPT562 1GIG-DVD-UPS-LAN-A6-CEN3(4HIGH)"/>
    <s v="1562RH120082"/>
    <s v="3384"/>
    <s v="Kisköre"/>
    <s v="Széchenyi u. 24."/>
    <s v="ok"/>
    <n v="2"/>
    <n v="2"/>
    <x v="6"/>
    <n v="1"/>
    <n v="1"/>
    <n v="1"/>
  </r>
  <r>
    <s v="MTB Magyar Takarékszövetkezeti Bank"/>
    <s v="S6T70113"/>
    <s v="OPT562 1GIG-DVD-UPS-LAN-A6-CEN3(4HIGH)"/>
    <s v="1562RH138608"/>
    <s v="5244"/>
    <s v="Tiszaszőlős"/>
    <s v="Fő út 21."/>
    <s v="ok"/>
    <n v="2"/>
    <n v="2"/>
    <x v="16"/>
    <n v="1"/>
    <n v="1"/>
    <n v="1"/>
  </r>
  <r>
    <s v="MTB Magyar Takarékszövetkezeti Bank"/>
    <s v="S6T70114"/>
    <s v="OPT562 1GIG-DVD-UPS-LAN-A6-CEN3(4HIGH)"/>
    <s v="1562RH152174"/>
    <s v="5363"/>
    <s v="Nagyiván"/>
    <s v="Fő utca 55."/>
    <s v="ok"/>
    <n v="2"/>
    <n v="2"/>
    <x v="16"/>
    <n v="1"/>
    <n v="1"/>
    <n v="1"/>
  </r>
  <r>
    <s v="MTB Magyar Takarékszövetkezeti Bank"/>
    <s v="S6T70301"/>
    <s v="ProCash 2150xe"/>
    <s v="5300278478"/>
    <s v="5052"/>
    <s v="Újszász"/>
    <s v="Erkel F. u. 2/a"/>
    <s v="ok"/>
    <n v="2"/>
    <n v="2"/>
    <x v="11"/>
    <n v="1"/>
    <n v="1"/>
    <n v="1"/>
  </r>
  <r>
    <s v="MTB Magyar Takarékszövetkezeti Bank"/>
    <s v="S6T70302"/>
    <s v="ProCash 2150xe"/>
    <s v="5300162410"/>
    <s v="2740"/>
    <s v="Abony"/>
    <s v="Szilágyi út 2."/>
    <s v="ok"/>
    <n v="2"/>
    <n v="2"/>
    <x v="5"/>
    <e v="#N/A"/>
    <n v="0"/>
    <n v="2"/>
  </r>
  <r>
    <s v="MTB Magyar Takarékszövetkezeti Bank"/>
    <s v="S6T70303"/>
    <s v="ProCash 2150xe"/>
    <s v="5300226899"/>
    <s v="5051"/>
    <s v="Zagyvarékas"/>
    <s v="Szabadság tér 14."/>
    <s v="ok"/>
    <n v="2"/>
    <n v="0"/>
    <x v="11"/>
    <e v="#N/A"/>
    <n v="0"/>
    <n v="0"/>
  </r>
  <r>
    <s v="MTB Magyar Takarékszövetkezeti Bank"/>
    <s v="S6T70305"/>
    <s v="ProCash 2150xe"/>
    <s v="5300383948"/>
    <s v="5091"/>
    <s v="Tószeg"/>
    <s v="Rákóczi út 33/A"/>
    <s v="ok"/>
    <n v="2"/>
    <n v="2"/>
    <x v="11"/>
    <e v="#N/A"/>
    <n v="0"/>
    <n v="2"/>
  </r>
  <r>
    <s v="MTB Magyar Takarékszövetkezeti Bank"/>
    <s v="S6T70306"/>
    <s v="ProCash 2050"/>
    <s v="XXS6T70306"/>
    <s v="5053"/>
    <s v="Szászberek"/>
    <s v="Kossuth L. u. 197/a"/>
    <s v="ok"/>
    <n v="2"/>
    <n v="0"/>
    <x v="11"/>
    <e v="#N/A"/>
    <n v="0"/>
    <n v="0"/>
  </r>
  <r>
    <s v="MTB Magyar Takarékszövetkezeti Bank"/>
    <s v="S6T70307"/>
    <s v="Diebold-Opteva 760 ATM Outdoor"/>
    <s v="1760RH123020"/>
    <s v="5051"/>
    <s v="Zagyvarékas"/>
    <s v="Fekete Lajos u. 1."/>
    <s v="ok"/>
    <n v="2"/>
    <n v="2"/>
    <x v="11"/>
    <n v="1"/>
    <n v="1"/>
    <n v="1"/>
  </r>
  <r>
    <s v="MTB Magyar Takarékszövetkezeti Bank"/>
    <s v="S6T70903"/>
    <s v="Diebold-Opteva 560 ATM Outdoor"/>
    <s v="XXS6T70903"/>
    <s v="8000"/>
    <s v="Székesfehérvár"/>
    <s v="Szent István tér 7."/>
    <s v="ok"/>
    <n v="2"/>
    <n v="2"/>
    <x v="4"/>
    <e v="#N/A"/>
    <n v="0"/>
    <n v="2"/>
  </r>
  <r>
    <s v="MTB Magyar Takarékszövetkezeti Bank"/>
    <s v="S6T71806_BZ"/>
    <s v="Diebold-Questar 3410 ATM"/>
    <s v="XXS6T71806_BZ"/>
    <s v="7362"/>
    <s v="Vásárosdombó"/>
    <s v="Rákóczi u. 32."/>
    <s v="ok"/>
    <n v="2"/>
    <n v="2"/>
    <x v="21"/>
    <e v="#N/A"/>
    <n v="0"/>
    <n v="2"/>
  </r>
  <r>
    <s v="MTB Magyar Takarékszövetkezeti Bank"/>
    <s v="S6T71807_BZ"/>
    <s v="Diebold-Questar 3410 ATM"/>
    <s v="XXS6T71807_BZ"/>
    <s v="7396"/>
    <s v="Magyarszék"/>
    <s v="Kossuth u. 49."/>
    <s v="ok"/>
    <n v="2"/>
    <n v="2"/>
    <x v="21"/>
    <e v="#N/A"/>
    <n v="0"/>
    <n v="2"/>
  </r>
  <r>
    <s v="MTB Magyar Takarékszövetkezeti Bank"/>
    <s v="S6T71810"/>
    <s v="Diebold-Opteva 560 ATM Outdoor"/>
    <s v="XXS6T71810"/>
    <s v="7347"/>
    <s v="Egyházaskozár"/>
    <s v="Fő tér 3/A"/>
    <s v="ok"/>
    <n v="2"/>
    <n v="2"/>
    <x v="12"/>
    <e v="#N/A"/>
    <n v="0"/>
    <n v="2"/>
  </r>
  <r>
    <s v="MTB Magyar Takarékszövetkezeti Bank"/>
    <s v="S6T71818_BZ"/>
    <s v="Diebold-Questar 3410 ATM"/>
    <s v="XXS6T71818_BZ"/>
    <s v="7181"/>
    <s v="Tevel"/>
    <s v="Dorogi u. 396."/>
    <s v="ok"/>
    <n v="2"/>
    <n v="2"/>
    <x v="21"/>
    <e v="#N/A"/>
    <n v="0"/>
    <n v="2"/>
  </r>
  <r>
    <s v="MTB Magyar Takarékszövetkezeti Bank"/>
    <s v="S6T71820_BZ"/>
    <s v="Diebold-Questar 3410 ATM"/>
    <s v="XXS6T71820_BZ"/>
    <s v="7192"/>
    <s v="Szakály"/>
    <s v="Fő út 79."/>
    <s v="ok"/>
    <n v="2"/>
    <n v="2"/>
    <x v="21"/>
    <e v="#N/A"/>
    <n v="0"/>
    <n v="2"/>
  </r>
  <r>
    <s v="MTB Magyar Takarékszövetkezeti Bank"/>
    <s v="S6T71821_BZ"/>
    <s v="Diebold-Questar 3410 ATM"/>
    <s v="XXS6T71821_BZ"/>
    <s v="7186"/>
    <s v="Aparhant"/>
    <s v="Kossuth u. 32."/>
    <s v="ok"/>
    <n v="2"/>
    <n v="2"/>
    <x v="21"/>
    <e v="#N/A"/>
    <n v="0"/>
    <n v="2"/>
  </r>
  <r>
    <s v="MTB Magyar Takarékszövetkezeti Bank"/>
    <s v="S6T71825"/>
    <s v="Diebold-Questar 3410 ATM"/>
    <s v="XXS6T71825"/>
    <s v="7193"/>
    <s v="Regöly"/>
    <s v="Hunyadi u. 2."/>
    <s v="ok"/>
    <n v="2"/>
    <n v="2"/>
    <x v="4"/>
    <e v="#N/A"/>
    <n v="0"/>
    <n v="2"/>
  </r>
  <r>
    <s v="MTB Magyar Takarékszövetkezeti Bank"/>
    <s v="S6T71829"/>
    <s v="OPT562 1GIG-DVD-UPS-LAN-A6-CEN3(4HIGH)"/>
    <s v="1562RH129293"/>
    <s v="7144"/>
    <s v="Decs"/>
    <s v="Pilisi út 3/b"/>
    <s v="ok"/>
    <n v="2"/>
    <n v="2"/>
    <x v="7"/>
    <n v="1"/>
    <n v="1"/>
    <n v="1"/>
  </r>
  <r>
    <s v="MTB Magyar Takarékszövetkezeti Bank"/>
    <s v="S6T71830"/>
    <s v="OPT562 1GIG-DVD-UPS-LAN-A6-CEN3(4HIGH)"/>
    <s v="1562RH129340"/>
    <s v="7140"/>
    <s v="Báta"/>
    <s v="Fő u. 182."/>
    <s v="ok"/>
    <n v="2"/>
    <n v="2"/>
    <x v="12"/>
    <e v="#N/A"/>
    <n v="0"/>
    <n v="2"/>
  </r>
  <r>
    <s v="MTB Magyar Takarékszövetkezeti Bank"/>
    <s v="S6T71831"/>
    <s v="Diebold-Opteva 560 ATM Outdoor"/>
    <s v="XXS6T71831"/>
    <s v="7143"/>
    <s v="Őcsény"/>
    <s v="Hősök tere 7."/>
    <s v="ok"/>
    <n v="2"/>
    <n v="2"/>
    <x v="7"/>
    <e v="#N/A"/>
    <n v="0"/>
    <n v="2"/>
  </r>
  <r>
    <s v="MTB Magyar Takarékszövetkezeti Bank"/>
    <s v="S6T71902"/>
    <s v="OPT562 1GIG-DVD-UPS-LAN-A6-CEN3(4HIGH)"/>
    <s v="1562RH142715"/>
    <s v="7122"/>
    <s v="Kakasd"/>
    <s v="Petőfi utca 327/a"/>
    <s v="ok"/>
    <n v="2"/>
    <n v="2"/>
    <x v="12"/>
    <n v="1"/>
    <n v="1"/>
    <n v="1"/>
  </r>
  <r>
    <s v="MTB Magyar Takarékszövetkezeti Bank"/>
    <s v="S6T71905"/>
    <s v="ProCash 2050"/>
    <s v="XXS6T71905"/>
    <s v="7172"/>
    <s v="Harc"/>
    <s v="Vörösmarty utca 1."/>
    <s v="ok"/>
    <n v="2"/>
    <n v="2"/>
    <x v="7"/>
    <e v="#N/A"/>
    <n v="0"/>
    <n v="2"/>
  </r>
  <r>
    <s v="MTB Magyar Takarékszövetkezeti Bank"/>
    <s v="S6T72101"/>
    <s v="Diebold-Opteva 760 ATM Outdoor"/>
    <s v="1760RCF00012"/>
    <s v="9700"/>
    <s v="Szombathely"/>
    <s v="Petőfi S. u. 18."/>
    <s v="ok"/>
    <n v="2"/>
    <n v="2"/>
    <x v="8"/>
    <n v="1"/>
    <n v="1"/>
    <n v="1"/>
  </r>
  <r>
    <s v="MTB Magyar Takarékszövetkezeti Bank"/>
    <s v="S6T72102"/>
    <s v="Diebold-Opteva 760 ATM Outdoor"/>
    <s v="1760RCF00469"/>
    <s v="9700"/>
    <s v="Szombathely"/>
    <s v="Savaria tér 1/a"/>
    <s v="ok"/>
    <n v="2"/>
    <n v="2"/>
    <x v="8"/>
    <n v="1"/>
    <n v="1"/>
    <n v="1"/>
  </r>
  <r>
    <s v="MTB Magyar Takarékszövetkezeti Bank"/>
    <s v="S6T72103"/>
    <s v="Diebold-Opteva 760 ATM Outdoor"/>
    <s v="1760R3320416"/>
    <s v="9735"/>
    <s v="Csepreg"/>
    <s v="Széchenyi tér 4."/>
    <s v="ok"/>
    <n v="2"/>
    <n v="2"/>
    <x v="8"/>
    <n v="1"/>
    <n v="1"/>
    <n v="1"/>
  </r>
  <r>
    <s v="MTB Magyar Takarékszövetkezeti Bank"/>
    <s v="S6T72105"/>
    <s v="Diebold-Opteva 760 ATM Outdoor"/>
    <s v="1760R3303365"/>
    <s v="9700"/>
    <s v="Szombathely"/>
    <s v="Szűrcsapó u. 23."/>
    <s v="ok"/>
    <n v="2"/>
    <n v="2"/>
    <x v="8"/>
    <n v="1"/>
    <n v="1"/>
    <n v="1"/>
  </r>
  <r>
    <s v="MTB Magyar Takarékszövetkezeti Bank"/>
    <s v="S6T72106"/>
    <s v="Diebold-Opteva 760 ATM Outdoor"/>
    <s v="1760RH123397"/>
    <s v="9777"/>
    <s v="Rábahídvég"/>
    <s v="Táncsics M. út 2."/>
    <s v="ok"/>
    <n v="2"/>
    <n v="2"/>
    <x v="8"/>
    <e v="#N/A"/>
    <n v="0"/>
    <n v="2"/>
  </r>
  <r>
    <s v="MTB Magyar Takarékszövetkezeti Bank"/>
    <s v="S6T72107"/>
    <s v="Diebold-Opteva 760 ATM Outdoor"/>
    <s v="1760RH123396"/>
    <s v="9941"/>
    <s v="Őriszentpéter"/>
    <s v="Városszer 106."/>
    <s v="ok"/>
    <n v="2"/>
    <n v="2"/>
    <x v="9"/>
    <n v="1"/>
    <n v="1"/>
    <n v="1"/>
  </r>
  <r>
    <s v="MTB Magyar Takarékszövetkezeti Bank"/>
    <s v="S6T72108"/>
    <s v="Diebold-Opteva 760 ATM Outdoor"/>
    <s v="1760RCF00046"/>
    <s v="9800"/>
    <s v="Vasvár"/>
    <s v="Főszolgabíró tér 1."/>
    <s v="ok"/>
    <n v="2"/>
    <n v="2"/>
    <x v="9"/>
    <n v="1"/>
    <n v="1"/>
    <n v="1"/>
  </r>
  <r>
    <s v="MTB Magyar Takarékszövetkezeti Bank"/>
    <s v="S6T72109"/>
    <s v="Diebold-Opteva 760 ATM Outdoor"/>
    <s v="1760RCF00468"/>
    <s v="9900"/>
    <s v="Körmend"/>
    <s v="Thököli u. 1."/>
    <s v="ok"/>
    <n v="2"/>
    <n v="2"/>
    <x v="8"/>
    <n v="1"/>
    <n v="1"/>
    <n v="1"/>
  </r>
  <r>
    <s v="MTB Magyar Takarékszövetkezeti Bank"/>
    <s v="S6T72110"/>
    <s v="Diebold-Opteva 760 ATM Outdoor"/>
    <s v="1760RH123395"/>
    <s v="9970"/>
    <s v="Szentgotthárd"/>
    <s v="Hunyadi u. 5."/>
    <s v="ok"/>
    <n v="2"/>
    <n v="2"/>
    <x v="8"/>
    <n v="1"/>
    <n v="1"/>
    <n v="1"/>
  </r>
  <r>
    <s v="MTB Magyar Takarékszövetkezeti Bank"/>
    <s v="S6T72111"/>
    <s v="Diebold-1064ix ATM Indoor"/>
    <s v="4789-41-08325"/>
    <s v="9798"/>
    <s v="Ják"/>
    <s v="Szabadság tér 10."/>
    <s v="ok"/>
    <n v="2"/>
    <n v="2"/>
    <x v="8"/>
    <e v="#N/A"/>
    <n v="0"/>
    <n v="2"/>
  </r>
  <r>
    <s v="MTB Magyar Takarékszövetkezeti Bank"/>
    <s v="S6T72112"/>
    <s v="Diebold-1064ix ATM Indoor"/>
    <s v="4789-41-12642"/>
    <s v="9791"/>
    <s v="Torony"/>
    <s v="Rohonczi út 2."/>
    <s v="ok"/>
    <n v="2"/>
    <n v="2"/>
    <x v="8"/>
    <e v="#N/A"/>
    <n v="0"/>
    <n v="2"/>
  </r>
  <r>
    <s v="MTB Magyar Takarékszövetkezeti Bank"/>
    <s v="S6T72113"/>
    <s v="Diebold-Opteva 522 Lobby Cash Dispenser"/>
    <s v="1522FH100302"/>
    <s v="9724"/>
    <s v="Lukácsháza"/>
    <s v="Szombathelyi u. 6."/>
    <s v="ok"/>
    <n v="2"/>
    <n v="2"/>
    <x v="8"/>
    <e v="#N/A"/>
    <n v="0"/>
    <n v="2"/>
  </r>
  <r>
    <s v="MTB Magyar Takarékszövetkezeti Bank"/>
    <s v="S6T72601"/>
    <s v="Diebold-Opteva 760 ATM Outdoor"/>
    <s v="1760RH121766"/>
    <s v="9653"/>
    <s v="Répcelak"/>
    <s v="Petőfi S. u. 50."/>
    <s v="ok"/>
    <n v="2"/>
    <n v="2"/>
    <x v="8"/>
    <n v="1"/>
    <n v="1"/>
    <n v="1"/>
  </r>
  <r>
    <s v="MTB Magyar Takarékszövetkezeti Bank"/>
    <s v="S6T72602"/>
    <s v="OPT562 1GIG-DVD-UPS-LAN-A6-CEN3(4HIGH)"/>
    <s v="1562RH136372"/>
    <s v="9500"/>
    <s v="Celldömölk"/>
    <s v="Kossuth u. 18."/>
    <s v="ok"/>
    <n v="2"/>
    <n v="2"/>
    <x v="8"/>
    <n v="1"/>
    <n v="1"/>
    <n v="1"/>
  </r>
  <r>
    <s v="MTB Magyar Takarékszövetkezeti Bank"/>
    <s v="S6T72603"/>
    <s v="Diebold-Opteva 760 ATM Outdoor"/>
    <s v="1760RCF00479"/>
    <s v="9641"/>
    <s v="Rábapaty"/>
    <s v="Alsópatyi u. 59."/>
    <s v="ok"/>
    <n v="2"/>
    <n v="2"/>
    <x v="8"/>
    <e v="#N/A"/>
    <n v="0"/>
    <n v="2"/>
  </r>
  <r>
    <s v="MTB Magyar Takarékszövetkezeti Bank"/>
    <s v="S6T72701"/>
    <s v="Diebold-Opteva 562r 3 High-Standard ATM"/>
    <s v="562RRH100580"/>
    <s v="9600"/>
    <s v="Sárvár"/>
    <s v="Batthyány u. 42/b"/>
    <s v="ok"/>
    <n v="2"/>
    <n v="2"/>
    <x v="8"/>
    <n v="1"/>
    <n v="1"/>
    <n v="1"/>
  </r>
  <r>
    <s v="MTB Magyar Takarékszövetkezeti Bank"/>
    <s v="S6T72702"/>
    <s v="Diebold-Opteva 560 ATM Outdoor"/>
    <s v="1560RCF01060"/>
    <s v="9766"/>
    <s v="Rum"/>
    <s v="Béke u. 24."/>
    <s v="ok"/>
    <n v="2"/>
    <n v="2"/>
    <x v="8"/>
    <n v="1"/>
    <n v="1"/>
    <n v="1"/>
  </r>
  <r>
    <s v="MTB Magyar Takarékszövetkezeti Bank"/>
    <s v="S6T72703"/>
    <s v="OPT562 1GIG-DVD-UPS-LAN-A6-CEN3(4HIGH)"/>
    <s v="1562RH128670"/>
    <s v="9751"/>
    <s v="Vép"/>
    <s v="Szent Imre Herceg út 3."/>
    <s v="ok"/>
    <n v="2"/>
    <n v="2"/>
    <x v="8"/>
    <n v="1"/>
    <n v="1"/>
    <n v="1"/>
  </r>
  <r>
    <s v="MTB Magyar Takarékszövetkezeti Bank"/>
    <s v="S6T72704"/>
    <s v="OPT562 1GIG-DVD-UPS-LAN-A6-CEN3(4HIGH)"/>
    <s v="1562RH128669"/>
    <s v="9545"/>
    <s v="Jánosháza"/>
    <s v="Berzsenyi u. 3."/>
    <s v="ok"/>
    <n v="2"/>
    <n v="2"/>
    <x v="9"/>
    <n v="1"/>
    <n v="1"/>
    <n v="1"/>
  </r>
  <r>
    <s v="MTB Magyar Takarékszövetkezeti Bank"/>
    <s v="S6T72707"/>
    <s v="Diebold-Opteva 562r 3 High-Standard ATM"/>
    <s v="1562RH138183"/>
    <s v="9756"/>
    <s v="Ikervár"/>
    <s v="Rákóczi u. 5."/>
    <s v="ok"/>
    <n v="2"/>
    <n v="2"/>
    <x v="8"/>
    <n v="1"/>
    <n v="1"/>
    <n v="1"/>
  </r>
  <r>
    <s v="MTB Magyar Takarékszövetkezeti Bank"/>
    <s v="S6T72801"/>
    <s v="OPT562 1GIG-DVD-UPS-LAN-A6-CEN3(4HIGH)"/>
    <s v="1562RH147978"/>
    <s v="8258"/>
    <s v="Badacsonytomaj"/>
    <s v="Kert u. 18."/>
    <s v="ok"/>
    <n v="2"/>
    <n v="2"/>
    <x v="9"/>
    <n v="1"/>
    <n v="1"/>
    <n v="1"/>
  </r>
  <r>
    <s v="MTB Magyar Takarékszövetkezeti Bank"/>
    <s v="S6T72802"/>
    <s v="Diebold-Opteva 560 ATM Outdoor"/>
    <s v="1560RCF00822"/>
    <s v="8300"/>
    <s v="Tapolca"/>
    <s v="Fő tér 4."/>
    <s v="ok"/>
    <n v="2"/>
    <n v="2"/>
    <x v="9"/>
    <n v="1"/>
    <n v="1"/>
    <n v="1"/>
  </r>
  <r>
    <s v="MTB Magyar Takarékszövetkezeti Bank"/>
    <s v="S6T72803"/>
    <s v="OPT562 1GIG-DVD-UPS-LAN-A6-CEN3(4HIGH)"/>
    <s v="1562RH132667"/>
    <s v="8330"/>
    <s v="Sümeg"/>
    <s v="Kossuth u. 17."/>
    <s v="ok"/>
    <n v="2"/>
    <n v="2"/>
    <x v="9"/>
    <n v="1"/>
    <n v="1"/>
    <n v="1"/>
  </r>
  <r>
    <s v="MTB Magyar Takarékszövetkezeti Bank"/>
    <s v="S6T72804"/>
    <s v="OPT562 1GIG-DVD-UPS-LAN-A6-CEN3(4HIGH)"/>
    <s v="1562RH129341"/>
    <s v="8474"/>
    <s v="Csabrendek"/>
    <s v="Kossuth u. 3."/>
    <s v="ok"/>
    <n v="2"/>
    <n v="2"/>
    <x v="9"/>
    <n v="1"/>
    <n v="1"/>
    <n v="1"/>
  </r>
  <r>
    <s v="MTB Magyar Takarékszövetkezeti Bank"/>
    <s v="S6T72901"/>
    <s v="OPT562 1GIG-DVD-UPS-LAN-A6-CEN3(4HIGH)"/>
    <s v="1562RCF00942"/>
    <s v="8220"/>
    <s v="Balatonalmádi"/>
    <s v="Baross G. u 11"/>
    <s v="ok"/>
    <n v="2"/>
    <n v="2"/>
    <x v="4"/>
    <n v="1"/>
    <n v="1"/>
    <n v="1"/>
  </r>
  <r>
    <s v="MTB Magyar Takarékszövetkezeti Bank"/>
    <s v="S6T72905"/>
    <s v="OPT562 1GIG-DVD-UPS-LAN-A6-CEN3(4HIGH)"/>
    <s v="1562RH146857"/>
    <s v="8174"/>
    <s v="Balatonkenese"/>
    <s v="Fő út 21."/>
    <s v="ok"/>
    <n v="2"/>
    <n v="2"/>
    <x v="4"/>
    <n v="1"/>
    <n v="1"/>
    <n v="1"/>
  </r>
  <r>
    <s v="MTB Magyar Takarékszövetkezeti Bank"/>
    <s v="S6T72906"/>
    <s v="OPT562 1GIG-DVD-UPS-LAN-A6-CEN3(4HIGH)"/>
    <s v="1562RH132934"/>
    <s v="8000"/>
    <s v="Székesfehérvár"/>
    <s v="Vörösmarty tér 1."/>
    <s v="ok"/>
    <n v="2"/>
    <n v="2"/>
    <x v="4"/>
    <e v="#N/A"/>
    <n v="0"/>
    <n v="2"/>
  </r>
  <r>
    <s v="MTB Magyar Takarékszövetkezeti Bank"/>
    <s v="S6T73601"/>
    <s v="Diebold-Opteva 560 ATM Outdoor"/>
    <s v="1560RCF00830"/>
    <s v="8444"/>
    <s v="Szentgál"/>
    <s v="Fő u. 30."/>
    <s v="ok"/>
    <n v="2"/>
    <n v="2"/>
    <x v="4"/>
    <n v="1"/>
    <n v="1"/>
    <n v="1"/>
  </r>
  <r>
    <s v="MTB Magyar Takarékszövetkezeti Bank"/>
    <s v="S6T73605"/>
    <s v="OPT562 1GIG-DVD-UPS-LAN-A6-CEN3(4HIGH)"/>
    <s v="1562RH126030"/>
    <s v="1093"/>
    <s v="Budapest"/>
    <s v="Czuczor utca 2-10."/>
    <s v="ok"/>
    <n v="2"/>
    <n v="2"/>
    <x v="17"/>
    <n v="1"/>
    <n v="1"/>
    <n v="1"/>
  </r>
  <r>
    <s v="MTB Magyar Takarékszövetkezeti Bank"/>
    <s v="S6T73608"/>
    <s v="OPT562 1GIG-DVD-UPS-LAN-A6-CEN3(4HIGH)"/>
    <s v="1562RH141913"/>
    <s v="8500"/>
    <s v="Pápa"/>
    <s v="Korona u 49."/>
    <s v="ok"/>
    <n v="2"/>
    <n v="2"/>
    <x v="8"/>
    <n v="1"/>
    <n v="1"/>
    <n v="1"/>
  </r>
  <r>
    <s v="MTB Magyar Takarékszövetkezeti Bank"/>
    <s v="S6T73611"/>
    <s v="Diebold-Opteva 560 ATM Outdoor"/>
    <s v="1560R3302811"/>
    <s v="1223"/>
    <s v="Budapest"/>
    <s v="Nagytétényi út 37-48."/>
    <s v="ok"/>
    <n v="2"/>
    <n v="2"/>
    <x v="17"/>
    <e v="#N/A"/>
    <n v="0"/>
    <n v="2"/>
  </r>
  <r>
    <s v="MTB Magyar Takarékszövetkezeti Bank"/>
    <s v="S6T73612"/>
    <s v="OPT562 1GIG-DVD-UPS-LAN-A6-CEN3(4HIGH)"/>
    <s v="1562RH157850"/>
    <s v="8060"/>
    <s v="Mór"/>
    <s v="Deák F. u. 28."/>
    <s v="ok"/>
    <n v="2"/>
    <n v="2"/>
    <x v="4"/>
    <n v="1"/>
    <n v="1"/>
    <n v="1"/>
  </r>
  <r>
    <s v="MTB Magyar Takarékszövetkezeti Bank"/>
    <s v="S6T73613"/>
    <s v="Diebold-Opteva 560 ATM Outdoor"/>
    <s v="1560R3301865"/>
    <s v="8230"/>
    <s v="Balatonfüred"/>
    <s v="Kossuth Lajos u. 20."/>
    <s v="ok"/>
    <n v="2"/>
    <n v="2"/>
    <x v="4"/>
    <e v="#N/A"/>
    <n v="0"/>
    <n v="2"/>
  </r>
  <r>
    <s v="MTB Magyar Takarékszövetkezeti Bank"/>
    <s v="S6T73614"/>
    <s v="Diebold-Opteva 520 ATM Indoor"/>
    <s v="1520FCF00163"/>
    <s v="1124"/>
    <s v="Budapest"/>
    <s v="Németvölgyi út 97."/>
    <s v="ok"/>
    <n v="2"/>
    <n v="2"/>
    <x v="0"/>
    <n v="1"/>
    <n v="1"/>
    <n v="1"/>
  </r>
  <r>
    <s v="MTB Magyar Takarékszövetkezeti Bank"/>
    <s v="S6T73615"/>
    <s v="Diebold-Opteva 560 ATM Outdoor"/>
    <s v="1560R3301581"/>
    <s v="8093"/>
    <s v="Lovasberény"/>
    <s v="Rákóczi u. 1/a."/>
    <s v="ok"/>
    <n v="2"/>
    <n v="2"/>
    <x v="4"/>
    <n v="1"/>
    <n v="1"/>
    <n v="1"/>
  </r>
  <r>
    <s v="MTB Magyar Takarékszövetkezeti Bank"/>
    <s v="S6T73616"/>
    <s v="Diebold-Opteva 520 ATM Indoor"/>
    <s v="1520FH123001"/>
    <s v="8083"/>
    <s v="Csákvár"/>
    <s v="Szabadság tér 11."/>
    <s v="ok"/>
    <n v="2"/>
    <n v="2"/>
    <x v="4"/>
    <n v="1"/>
    <n v="1"/>
    <n v="1"/>
  </r>
  <r>
    <s v="MTB Magyar Takarékszövetkezeti Bank"/>
    <s v="S6T73618"/>
    <s v="ProCash 285"/>
    <s v="56DY300087"/>
    <s v="2085"/>
    <s v="Pilisvörösvár"/>
    <s v="Fő u. 69."/>
    <s v="ok"/>
    <n v="2"/>
    <n v="2"/>
    <x v="5"/>
    <e v="#N/A"/>
    <n v="0"/>
    <n v="2"/>
  </r>
  <r>
    <s v="MTB Magyar Takarékszövetkezeti Bank"/>
    <s v="S6T73619"/>
    <s v="OPT562 1GIG-DVD-UPS-LAN-A6-CEN3(4HIGH)"/>
    <s v="1562RH145966"/>
    <s v="1201"/>
    <s v="Budapest"/>
    <s v="Kossuth L. u. 32."/>
    <s v="ok"/>
    <n v="2"/>
    <n v="2"/>
    <x v="15"/>
    <n v="1"/>
    <n v="1"/>
    <n v="1"/>
  </r>
  <r>
    <s v="MTB Magyar Takarékszövetkezeti Bank"/>
    <s v="S6T73620"/>
    <s v="OPT562 1GIG-DVD-UPS-LAN-A6-CEN3(4HIGH)"/>
    <s v="1562RH131302"/>
    <s v="8000"/>
    <s v="Székesfehérvár"/>
    <s v="Budai u. 42."/>
    <s v="ok"/>
    <n v="2"/>
    <n v="2"/>
    <x v="4"/>
    <n v="1"/>
    <n v="1"/>
    <n v="1"/>
  </r>
  <r>
    <s v="MTB Magyar Takarékszövetkezeti Bank"/>
    <s v="S6T73903"/>
    <s v="OPT562 1GIG-DVD-UPS-LAN-A6-CEN3(4HIGH)"/>
    <s v="1562RH149307"/>
    <s v="8500"/>
    <s v="Pápa"/>
    <s v="Zimmermann u 1."/>
    <s v="ok"/>
    <n v="2"/>
    <n v="2"/>
    <x v="8"/>
    <n v="1"/>
    <n v="1"/>
    <n v="1"/>
  </r>
  <r>
    <s v="MTB Magyar Takarékszövetkezeti Bank"/>
    <s v="S6T73904"/>
    <s v="OPT562 1GIG-DVD-UPS-LAN-A6-CEN3(4HIGH)"/>
    <s v="1562RCF00944"/>
    <s v="8200"/>
    <s v="Veszprém"/>
    <s v="Munkácsi u.1."/>
    <s v="ok"/>
    <n v="2"/>
    <n v="2"/>
    <x v="4"/>
    <n v="1"/>
    <n v="1"/>
    <n v="1"/>
  </r>
  <r>
    <s v="MTB Magyar Takarékszövetkezeti Bank"/>
    <s v="S6T73905"/>
    <s v="OPT562 1GIG-DVD-UPS-LAN-A6-CEN3(4HIGH)"/>
    <s v="1760RH123652"/>
    <s v="8412"/>
    <s v="Gyulafirátót"/>
    <s v="Posta u. 11."/>
    <s v="ok"/>
    <n v="2"/>
    <n v="2"/>
    <x v="4"/>
    <n v="1"/>
    <n v="1"/>
    <n v="1"/>
  </r>
  <r>
    <s v="MTB Magyar Takarékszövetkezeti Bank"/>
    <s v="S6T73906"/>
    <s v="OPT562 1GIG-DVD-UPS-LAN-A6-CEN3(4HIGH)"/>
    <s v="1562RCF00951"/>
    <s v="8175"/>
    <s v="Balatonfűzfő"/>
    <s v="Bugyogó Forrás u. 1."/>
    <s v="ok"/>
    <n v="2"/>
    <n v="2"/>
    <x v="4"/>
    <e v="#N/A"/>
    <n v="0"/>
    <n v="2"/>
  </r>
  <r>
    <s v="MTB Magyar Takarékszövetkezeti Bank"/>
    <s v="S6T73907"/>
    <s v="OPT562 1GIG-DVD-UPS-LAN-A6-CEN3(4HIGH)"/>
    <s v="1562R3320358"/>
    <s v="8500"/>
    <s v="Pápa"/>
    <s v="Wesselényi u 20b"/>
    <s v="ok"/>
    <n v="2"/>
    <n v="2"/>
    <x v="8"/>
    <n v="1"/>
    <n v="1"/>
    <n v="1"/>
  </r>
  <r>
    <s v="MTB Magyar Takarékszövetkezeti Bank"/>
    <s v="S6T73909"/>
    <s v="OPT562 1GIG-DVD-UPS-LAN-A6-CEN3(4HIGH)"/>
    <s v="1562RH149306"/>
    <s v="8417"/>
    <s v="Csetény"/>
    <s v="Hunyadi út 1."/>
    <s v="ok"/>
    <n v="2"/>
    <n v="2"/>
    <x v="4"/>
    <n v="1"/>
    <n v="1"/>
    <n v="1"/>
  </r>
  <r>
    <s v="MTB Magyar Takarékszövetkezeti Bank"/>
    <s v="S6T73912"/>
    <s v="OPT562 1GIG-DVD-UPS-LAN-A6-CEN3(4HIGH)"/>
    <s v="1562RH145155"/>
    <s v="8200"/>
    <s v="Veszprém"/>
    <s v="Egyetem utca 19."/>
    <s v="ok"/>
    <n v="2"/>
    <n v="2"/>
    <x v="4"/>
    <n v="1"/>
    <n v="1"/>
    <n v="1"/>
  </r>
  <r>
    <s v="MTB Magyar Takarékszövetkezeti Bank"/>
    <s v="S6T73913"/>
    <s v="OPT562 1GIG-DVD-UPS-LAN-A6-CEN3(4HIGH)"/>
    <s v="1562RH149305"/>
    <s v="8558"/>
    <s v="Csót"/>
    <s v="Rákóczi út 39."/>
    <s v="ok"/>
    <n v="2"/>
    <n v="2"/>
    <x v="8"/>
    <e v="#N/A"/>
    <n v="0"/>
    <n v="2"/>
  </r>
  <r>
    <s v="MTB Magyar Takarékszövetkezeti Bank"/>
    <s v="S6T74002"/>
    <s v="OPT562 1GIG-DVD-UPS-LAN-A6-CEN3(4HIGH)"/>
    <s v="1562R3320464"/>
    <s v="8945"/>
    <s v="Bak"/>
    <s v="Széchenyi tér 2."/>
    <s v="ok"/>
    <n v="2"/>
    <n v="2"/>
    <x v="9"/>
    <n v="1"/>
    <n v="1"/>
    <n v="1"/>
  </r>
  <r>
    <s v="MTB Magyar Takarékszövetkezeti Bank"/>
    <s v="S6T74004"/>
    <s v="Diebold-Opteva 560 ATM Outdoor"/>
    <s v="1560FCF00823"/>
    <s v="8948"/>
    <s v="Nova"/>
    <s v="Göcseji u. 2."/>
    <s v="ok"/>
    <n v="2"/>
    <n v="2"/>
    <x v="9"/>
    <n v="1"/>
    <n v="1"/>
    <n v="1"/>
  </r>
  <r>
    <s v="MTB Magyar Takarékszövetkezeti Bank"/>
    <s v="S6T74005"/>
    <s v="OPT562 1GIG-DVD-UPS-LAN-A6-CEN3(4HIGH)"/>
    <s v="1562RH131301"/>
    <s v="8761"/>
    <s v="Pacsa"/>
    <s v="József Attila utca (Áfész Áruház)"/>
    <s v="ok"/>
    <n v="2"/>
    <n v="2"/>
    <x v="9"/>
    <n v="1"/>
    <n v="1"/>
    <n v="1"/>
  </r>
  <r>
    <s v="MTB Magyar Takarékszövetkezeti Bank"/>
    <s v="S6T74008"/>
    <s v="OPT562 1GIG-DVD-UPS-LAN-A6-CEN3(4HIGH)"/>
    <s v="XXS6T74008"/>
    <s v="8771"/>
    <s v="Hahót"/>
    <s v="Kossuth tér 2."/>
    <s v="ok"/>
    <n v="2"/>
    <n v="2"/>
    <x v="9"/>
    <e v="#N/A"/>
    <n v="0"/>
    <n v="2"/>
  </r>
  <r>
    <s v="MTB Magyar Takarékszövetkezeti Bank"/>
    <s v="S6T74009"/>
    <s v="OPT562 1GIG-DVD-UPS-LAN-A6-CEN3(4HIGH)"/>
    <s v="1562R3320466"/>
    <s v="8897"/>
    <s v="Söjtör"/>
    <s v="Deák utca 142."/>
    <s v="ok"/>
    <n v="2"/>
    <n v="2"/>
    <x v="9"/>
    <n v="1"/>
    <n v="1"/>
    <n v="1"/>
  </r>
  <r>
    <s v="MTB Magyar Takarékszövetkezeti Bank"/>
    <s v="S6T74010"/>
    <s v="OPT562 1GIG-DVD-UPS-LAN-A6-CEN3(4HIGH)"/>
    <s v="1562RH145751"/>
    <s v="8856"/>
    <s v="Surd"/>
    <s v="Kossuth Lajos utca 9."/>
    <s v="ok"/>
    <n v="2"/>
    <n v="2"/>
    <x v="9"/>
    <n v="1"/>
    <n v="1"/>
    <n v="1"/>
  </r>
  <r>
    <s v="MTB Magyar Takarékszövetkezeti Bank"/>
    <s v="S6T74011"/>
    <s v="OPT562 1GIG-DVD-UPS-LAN-A6-CEN3(4HIGH)"/>
    <s v="XXS6T74011"/>
    <s v="8925"/>
    <s v="Búcsúszentlászló"/>
    <s v="Széchenyi u. 7."/>
    <s v="ok"/>
    <n v="2"/>
    <n v="2"/>
    <x v="9"/>
    <e v="#N/A"/>
    <n v="0"/>
    <n v="2"/>
  </r>
  <r>
    <s v="MTB Magyar Takarékszövetkezeti Bank"/>
    <s v="S6T74012"/>
    <s v="OPT562 1GIG-DVD-UPS-LAN-A6-CEN3(4HIGH)"/>
    <s v="XXS6T74012"/>
    <s v="8834"/>
    <s v="Murakeresztúr"/>
    <s v="Állomás tér 1."/>
    <s v="ok"/>
    <n v="2"/>
    <n v="2"/>
    <x v="9"/>
    <e v="#N/A"/>
    <n v="0"/>
    <n v="2"/>
  </r>
  <r>
    <s v="MTB Magyar Takarékszövetkezeti Bank"/>
    <s v="S6T74014"/>
    <s v="OPT562 1GIG-DVD-UPS-LAN-A6-CEN3(4HIGH)"/>
    <s v="1562RH142387"/>
    <s v="8935"/>
    <s v="Nagykapornak"/>
    <s v="Fő utca 30."/>
    <s v="ok"/>
    <n v="2"/>
    <n v="2"/>
    <x v="9"/>
    <n v="1"/>
    <n v="1"/>
    <n v="1"/>
  </r>
  <r>
    <s v="MTB Magyar Takarékszövetkezeti Bank"/>
    <s v="S6T74015"/>
    <s v="OPT562 1GIG-DVD-UPS-LAN-A6-CEN3(4HIGH)"/>
    <s v="1562RH159125"/>
    <s v="8945"/>
    <s v="Bak"/>
    <s v="Széchenyi tér 2."/>
    <s v="ok"/>
    <n v="2"/>
    <n v="2"/>
    <x v="9"/>
    <n v="1"/>
    <n v="1"/>
    <n v="1"/>
  </r>
  <r>
    <s v="MTB Magyar Takarékszövetkezeti Bank"/>
    <s v="S6T74505"/>
    <s v="Diebold-Questar 3410 ATM"/>
    <s v="XXS6T74505"/>
    <s v="8900"/>
    <s v="Zalaegerszeg"/>
    <s v="Ady u. 43."/>
    <s v="ok"/>
    <n v="2"/>
    <n v="2"/>
    <x v="9"/>
    <e v="#N/A"/>
    <n v="0"/>
    <n v="2"/>
  </r>
  <r>
    <s v="MTB Magyar Takarékszövetkezeti Bank"/>
    <s v="S6T74507"/>
    <s v="Diebold-Opteva 760 ATM Outdoor"/>
    <s v="1760RH128260"/>
    <s v="8391"/>
    <s v="Sármellék"/>
    <s v="Dózsa u. 317."/>
    <s v="ok"/>
    <n v="2"/>
    <n v="2"/>
    <x v="9"/>
    <n v="1"/>
    <n v="1"/>
    <n v="1"/>
  </r>
  <r>
    <s v="MTB Magyar Takarékszövetkezeti Bank"/>
    <s v="S6T74508"/>
    <s v="OPT562 1GIG-DVD-UPS-LAN-A6-CEN3(4HIGH)"/>
    <s v="1562RH145752"/>
    <s v="8315"/>
    <s v="Gyenesdiás"/>
    <s v="Kossuth u. 45."/>
    <s v="ok"/>
    <n v="2"/>
    <n v="2"/>
    <x v="9"/>
    <n v="1"/>
    <n v="1"/>
    <n v="1"/>
  </r>
  <r>
    <s v="MTB Magyar Takarékszövetkezeti Bank"/>
    <s v="S6T74509"/>
    <s v="ProCash 2050"/>
    <s v="XXS6T74509"/>
    <s v="8788"/>
    <s v="Zalaszentlászló"/>
    <s v="Kossuth u. 18."/>
    <s v="ok"/>
    <n v="2"/>
    <n v="2"/>
    <x v="9"/>
    <n v="1"/>
    <n v="1"/>
    <n v="1"/>
  </r>
  <r>
    <s v="MTB Magyar Takarékszövetkezeti Bank"/>
    <s v="S6T74511"/>
    <s v="OPT562 1GIG-DVD-UPS-LAN-A6-CEN3(4HIGH)"/>
    <s v="1562RH142403"/>
    <s v="8314"/>
    <s v="Vonyarcvashegy"/>
    <s v="Kossuth u. 42."/>
    <s v="ok"/>
    <n v="2"/>
    <n v="2"/>
    <x v="9"/>
    <n v="1"/>
    <n v="1"/>
    <n v="1"/>
  </r>
  <r>
    <s v="MTB Magyar Takarékszövetkezeti Bank"/>
    <s v="S6T75001"/>
    <s v="OPT562 1GIG-DVD-UPS-LAN-A6-CEN3(4HIGH)"/>
    <s v="1562RCF00038"/>
    <s v="8868"/>
    <s v="Letenye"/>
    <s v="Kossuth u. 15."/>
    <s v="ok"/>
    <n v="2"/>
    <n v="2"/>
    <x v="9"/>
    <n v="1"/>
    <n v="1"/>
    <n v="1"/>
  </r>
  <r>
    <s v="MTB Magyar Takarékszövetkezeti Bank"/>
    <s v="S6T75002"/>
    <s v="OPT562 1GIG-DVD-UPS-LAN-A6-CEN3(4HIGH)"/>
    <s v="1562RH130985"/>
    <s v="8960"/>
    <s v="Lenti"/>
    <s v="Kossuth u. 4."/>
    <s v="ok"/>
    <n v="2"/>
    <n v="2"/>
    <x v="9"/>
    <n v="1"/>
    <n v="1"/>
    <n v="1"/>
  </r>
  <r>
    <s v="MTB Magyar Takarékszövetkezeti Bank"/>
    <s v="S6T75003"/>
    <s v="ProCash 2050"/>
    <s v="XXS6T75003"/>
    <s v="8754"/>
    <s v="Galambok"/>
    <s v="Ady Endre út 4."/>
    <s v="ok"/>
    <n v="2"/>
    <n v="2"/>
    <x v="9"/>
    <n v="1"/>
    <n v="1"/>
    <n v="1"/>
  </r>
  <r>
    <s v="MTB Magyar Takarékszövetkezeti Bank"/>
    <s v="S6T75502"/>
    <s v="OPT562 1GIG-DVD-UPS-LAN-A6-CEN3(4HIGH)"/>
    <s v="1562RH145156"/>
    <s v="8999"/>
    <s v="Zalalövő"/>
    <s v="Petőfi út 2."/>
    <s v="ok"/>
    <n v="2"/>
    <n v="2"/>
    <x v="9"/>
    <n v="1"/>
    <n v="1"/>
    <n v="1"/>
  </r>
  <r>
    <s v="MTB Magyar Takarékszövetkezeti Bank"/>
    <s v="S6T75503"/>
    <s v="Diebold-Opteva 560 ATM Outdoor"/>
    <s v="1560R3302368"/>
    <s v="8796"/>
    <s v="Türje"/>
    <s v="Szabadság tér 4."/>
    <s v="ok"/>
    <n v="2"/>
    <n v="2"/>
    <x v="9"/>
    <n v="1"/>
    <n v="1"/>
    <n v="1"/>
  </r>
  <r>
    <s v="MTB Magyar Takarékszövetkezeti Bank"/>
    <s v="S6T75504"/>
    <s v="OPT562 1GIG-DVD-UPS-LAN-A6-CEN3(4HIGH)"/>
    <s v="1562RH152824"/>
    <s v="8790"/>
    <s v="Zalaszentgrót"/>
    <s v="Nefelejcs utca 1."/>
    <s v="ok"/>
    <n v="2"/>
    <n v="2"/>
    <x v="9"/>
    <n v="1"/>
    <n v="1"/>
    <n v="1"/>
  </r>
  <r>
    <s v="Oberbank AG Magyarországi Fióktelep"/>
    <s v="S6T18401"/>
    <s v="Diebold-Opteva 520 ATM Indoor"/>
    <s v="1520FH120085"/>
    <s v="1062"/>
    <s v="Budapest"/>
    <s v="Váci út 1-3"/>
    <s v="ok"/>
    <n v="1"/>
    <n v="1"/>
    <x v="13"/>
    <n v="1"/>
    <n v="1"/>
    <n v="0"/>
  </r>
  <r>
    <s v="Oberbank AG Magyarországi Fióktelep"/>
    <s v="S6T18402"/>
    <s v="Diebold-Opteva 520 ATM Indoor"/>
    <s v="1520F3311674"/>
    <s v="9024"/>
    <s v="Győr"/>
    <s v="Baross G. u. 43"/>
    <s v="ok"/>
    <n v="1"/>
    <n v="1"/>
    <x v="19"/>
    <n v="1"/>
    <n v="1"/>
    <n v="0"/>
  </r>
  <r>
    <s v="Oberbank AG Magyarországi Fióktelep"/>
    <s v="S6T18403"/>
    <s v="OPT562 1GIG-DVD-UPS-LAN-A6-CEN3(4HIGH)"/>
    <s v="1562R3300028"/>
    <s v="9700"/>
    <s v="Szombathely"/>
    <s v="Berzsenyi tér 2."/>
    <s v="ok"/>
    <n v="1"/>
    <n v="1"/>
    <x v="8"/>
    <n v="1"/>
    <n v="1"/>
    <n v="0"/>
  </r>
  <r>
    <s v="Oberbank AG Magyarországi Fióktelep"/>
    <s v="S6T18404"/>
    <s v="Diebold-Opteva 520 ATM Indoor"/>
    <s v="1520FCF00443"/>
    <s v="1027"/>
    <s v="Budapest"/>
    <s v="Henger u. 2"/>
    <s v="ok"/>
    <n v="1"/>
    <n v="1"/>
    <x v="0"/>
    <n v="1"/>
    <n v="1"/>
    <n v="0"/>
  </r>
  <r>
    <s v="Oberbank AG Magyarországi Fióktelep"/>
    <s v="S6T18405"/>
    <s v="Diebold-Opteva 520 ATM Indoor"/>
    <s v="1520FCF00447"/>
    <s v="4026"/>
    <s v="Debrecen"/>
    <s v="Bem tér 14. földszint 1-3"/>
    <s v="ok"/>
    <n v="1"/>
    <n v="1"/>
    <x v="16"/>
    <e v="#N/A"/>
    <n v="0"/>
    <n v="1"/>
  </r>
  <r>
    <s v="Oberbank AG Magyarországi Fióktelep"/>
    <s v="S6T18406"/>
    <s v="OPT562 1GIG-DVD-UPS-LAN-A6-CEN3(4HIGH)"/>
    <s v="1562R3300029"/>
    <s v="6000"/>
    <s v="Kecskemét"/>
    <s v="Kisfaludy u. 8."/>
    <s v="ok"/>
    <n v="1"/>
    <n v="1"/>
    <x v="11"/>
    <n v="1"/>
    <n v="1"/>
    <n v="0"/>
  </r>
  <r>
    <s v="Oberbank AG Magyarországi Fióktelep"/>
    <s v="S6T18407"/>
    <s v="OPT562 1GIG-DVD-UPS-LAN-A6-CEN3(4HIGH)"/>
    <s v="1522FH113196"/>
    <s v="6720"/>
    <s v="Szeged"/>
    <s v="Klauzál tér 2."/>
    <s v="ok"/>
    <n v="1"/>
    <n v="1"/>
    <x v="3"/>
    <e v="#N/A"/>
    <n v="0"/>
    <n v="1"/>
  </r>
  <r>
    <s v="Oberbank AG Magyarországi Fióktelep"/>
    <s v="S6T18408"/>
    <s v="Diebold-Opteva 522 Lobby Cash Dispenser"/>
    <s v="1522FH116005"/>
    <s v="8000"/>
    <s v="Székesfehérvár"/>
    <s v="Rákóczi út 1."/>
    <s v="ok"/>
    <n v="1"/>
    <n v="1"/>
    <x v="4"/>
    <e v="#N/A"/>
    <n v="0"/>
    <n v="1"/>
  </r>
  <r>
    <s v="OTP BANK Nyrt."/>
    <s v="DBD82220001"/>
    <s v="Diebold-Opteva 828 FL Cash Recycler"/>
    <s v="1828FH101652"/>
    <s v="1033"/>
    <s v="Budapest"/>
    <s v="Flórián tér 15."/>
    <s v="ok"/>
    <n v="2"/>
    <n v="2"/>
    <x v="0"/>
    <n v="1"/>
    <n v="1"/>
    <n v="1"/>
  </r>
  <r>
    <s v="OTP BANK Nyrt."/>
    <s v="DBD82220003"/>
    <s v="Diebold-Opteva 828 FL Cash Recycler"/>
    <s v="1828FH101655"/>
    <s v="1173"/>
    <s v="Budapest"/>
    <s v="Ferihegyi út 93."/>
    <s v="ok"/>
    <n v="2"/>
    <n v="2"/>
    <x v="10"/>
    <n v="1"/>
    <n v="1"/>
    <n v="1"/>
  </r>
  <r>
    <s v="OTP BANK Nyrt."/>
    <s v="DBD82220004"/>
    <s v="Diebold-Opteva 828 FL Cash Recycler"/>
    <s v="1828FH101691"/>
    <s v="5650"/>
    <s v="Mezőberény"/>
    <s v="Kossuth tér 12."/>
    <s v="ok"/>
    <n v="2"/>
    <n v="2"/>
    <x v="11"/>
    <e v="#N/A"/>
    <n v="0"/>
    <n v="2"/>
  </r>
  <r>
    <s v="OTP BANK Nyrt."/>
    <s v="DBD82220007"/>
    <s v="Diebold-Opteva 828 FL Cash Recycler"/>
    <s v="1828FH101654"/>
    <s v="1152"/>
    <s v="Budapest"/>
    <s v="Szentmihályi út 131."/>
    <s v="ok"/>
    <n v="2"/>
    <n v="2"/>
    <x v="14"/>
    <n v="1"/>
    <n v="1"/>
    <n v="1"/>
  </r>
  <r>
    <s v="OTP BANK Nyrt."/>
    <s v="DBD82220008"/>
    <s v="Diebold-Opteva 828 FL Cash Recycler"/>
    <s v="1828FH101693"/>
    <s v="1062"/>
    <s v="Budapest"/>
    <s v="Váci út 1-3."/>
    <s v="ok"/>
    <n v="2"/>
    <n v="2"/>
    <x v="13"/>
    <n v="1"/>
    <n v="1"/>
    <n v="1"/>
  </r>
  <r>
    <s v="OTP BANK Nyrt."/>
    <s v="DBD82220009"/>
    <s v="Diebold-Opteva 828 FL Cash Recycler"/>
    <s v="1828FH101692"/>
    <s v="8600"/>
    <s v="Siófok"/>
    <s v="Fő tér 10/a"/>
    <s v="ok"/>
    <n v="2"/>
    <n v="2"/>
    <x v="4"/>
    <n v="1"/>
    <n v="1"/>
    <n v="1"/>
  </r>
  <r>
    <s v="OTP BANK Nyrt."/>
    <s v="DBD82220010"/>
    <s v="Diebold-Opteva 828 FL Cash Recycler"/>
    <s v="1828FH101696"/>
    <s v="9700"/>
    <s v="Szombathely"/>
    <s v="Fő tér 3-5."/>
    <s v="ok"/>
    <n v="2"/>
    <n v="2"/>
    <x v="8"/>
    <n v="1"/>
    <n v="1"/>
    <n v="1"/>
  </r>
  <r>
    <s v="OTP BANK Nyrt."/>
    <s v="DBD82220011"/>
    <s v="Diebold-Opteva 828 FL Cash Recycler"/>
    <s v="1828FH101694"/>
    <s v="7621"/>
    <s v="Pécs"/>
    <s v="Rákóczi út 44."/>
    <s v="ok"/>
    <n v="2"/>
    <n v="2"/>
    <x v="12"/>
    <n v="1"/>
    <n v="1"/>
    <n v="1"/>
  </r>
  <r>
    <s v="OTP BANK Nyrt."/>
    <s v="DBD82220012"/>
    <s v="Diebold-Opteva 828 FL Cash Recycler"/>
    <s v="1828FH101695"/>
    <s v="4400"/>
    <s v="Nyíregyháza"/>
    <s v="Dózsa Gy. u. 2."/>
    <s v="ok"/>
    <n v="2"/>
    <n v="2"/>
    <x v="1"/>
    <n v="1"/>
    <n v="1"/>
    <n v="1"/>
  </r>
  <r>
    <s v="OTP BANK Nyrt."/>
    <s v="DBD82220013"/>
    <s v="Diebold-Opteva 828 FL Cash Recycler"/>
    <s v="1828FH101697"/>
    <s v="1239"/>
    <s v="Budapest"/>
    <s v="Bevásárló u. 2-6."/>
    <s v="ok"/>
    <n v="2"/>
    <n v="2"/>
    <x v="15"/>
    <n v="1"/>
    <n v="1"/>
    <n v="1"/>
  </r>
  <r>
    <s v="OTP BANK Nyrt."/>
    <s v="DBD82220014"/>
    <s v="Diebold-Opteva 828 FL Cash Recycler"/>
    <s v="1828FH101715"/>
    <s v="8900"/>
    <s v="Zalaegerszeg"/>
    <s v="Kisfaludy u. 15-17."/>
    <s v="ok"/>
    <n v="2"/>
    <n v="2"/>
    <x v="9"/>
    <n v="1"/>
    <n v="1"/>
    <n v="1"/>
  </r>
  <r>
    <s v="OTP BANK Nyrt."/>
    <s v="DBD82220015"/>
    <s v="Diebold-Opteva 828 FL Cash Recycler"/>
    <s v="1828FH101703"/>
    <s v="2600"/>
    <s v="Vác"/>
    <s v="Széchenyi u. 3-7."/>
    <s v="ok"/>
    <n v="2"/>
    <n v="2"/>
    <x v="6"/>
    <n v="1"/>
    <n v="1"/>
    <n v="1"/>
  </r>
  <r>
    <s v="OTP BANK Nyrt."/>
    <s v="DBD82220016"/>
    <s v="Diebold-Opteva 828 FL Cash Recycler"/>
    <s v="1828FH101699"/>
    <s v="7400"/>
    <s v="Kaposvár"/>
    <s v="Széchenyi tér 2."/>
    <s v="ok"/>
    <n v="2"/>
    <n v="2"/>
    <x v="12"/>
    <n v="1"/>
    <n v="1"/>
    <n v="1"/>
  </r>
  <r>
    <s v="OTP BANK Nyrt."/>
    <s v="DBD82220017"/>
    <s v="Diebold-Opteva 828 FL Cash Recycler"/>
    <s v="1828FH101701"/>
    <s v="5700"/>
    <s v="Gyula"/>
    <s v="Bodoky u. és Béke sugárút sarok 9."/>
    <s v="ok"/>
    <n v="2"/>
    <n v="2"/>
    <x v="3"/>
    <n v="1"/>
    <n v="1"/>
    <n v="1"/>
  </r>
  <r>
    <s v="OTP BANK Nyrt."/>
    <s v="DBD82220018"/>
    <s v="Diebold-Opteva 828 FL Cash Recycler"/>
    <s v="1828FH101719"/>
    <s v="4032"/>
    <s v="Debrecen"/>
    <s v="Füredi u. 43."/>
    <s v="ok"/>
    <n v="2"/>
    <n v="2"/>
    <x v="16"/>
    <e v="#N/A"/>
    <n v="0"/>
    <n v="2"/>
  </r>
  <r>
    <s v="OTP BANK Nyrt."/>
    <s v="DBD82220019"/>
    <s v="Diebold-Opteva 828 FL Cash Recycler"/>
    <s v="1828FH101726"/>
    <s v="6400"/>
    <s v="Kiskunhalas"/>
    <s v="Sétáló u. 7."/>
    <s v="ok"/>
    <n v="2"/>
    <n v="2"/>
    <x v="7"/>
    <n v="2"/>
    <n v="2"/>
    <n v="0"/>
  </r>
  <r>
    <s v="OTP BANK Nyrt."/>
    <s v="DBD82220020"/>
    <s v="Diebold-Opteva 828 FL Cash Recycler"/>
    <s v="1828FH101728"/>
    <s v="3300"/>
    <s v="Eger"/>
    <s v="Törvényház u. 4."/>
    <s v="ok"/>
    <n v="2"/>
    <n v="2"/>
    <x v="2"/>
    <n v="1"/>
    <n v="1"/>
    <n v="1"/>
  </r>
  <r>
    <s v="OTP BANK Nyrt."/>
    <s v="DBD82220021"/>
    <s v="Diebold-Opteva 828 FL Cash Recycler"/>
    <s v="1828FH101727"/>
    <s v="7100"/>
    <s v="Szekszárd"/>
    <s v="Szent István tér 5-7."/>
    <s v="ok"/>
    <n v="2"/>
    <n v="2"/>
    <x v="7"/>
    <n v="1"/>
    <n v="1"/>
    <n v="1"/>
  </r>
  <r>
    <s v="OTP BANK Nyrt."/>
    <s v="DBD82220022"/>
    <s v="Diebold-Opteva 828 FL Cash Recycler"/>
    <s v="1828FH101729"/>
    <s v="2400"/>
    <s v="Dunaújváros"/>
    <s v="Dózsa György u. 4/e."/>
    <s v="ok"/>
    <n v="2"/>
    <n v="2"/>
    <x v="7"/>
    <e v="#N/A"/>
    <n v="0"/>
    <n v="2"/>
  </r>
  <r>
    <s v="OTP BANK Nyrt."/>
    <s v="DBD82220023"/>
    <s v="Diebold-Opteva 828 FL Cash Recycler"/>
    <s v="1828FH101732"/>
    <s v="2310"/>
    <s v="Szigetszentmiklós"/>
    <s v="Ifjúság útja 17."/>
    <s v="ok"/>
    <n v="2"/>
    <n v="2"/>
    <x v="15"/>
    <n v="1"/>
    <n v="1"/>
    <n v="1"/>
  </r>
  <r>
    <s v="OTP BANK Nyrt."/>
    <s v="DBD82220024"/>
    <s v="Diebold-Opteva 828 FL Cash Recycler"/>
    <s v="1828FH101714"/>
    <s v="8800"/>
    <s v="Nagykanizsa"/>
    <s v="Deák tér 15."/>
    <s v="ok"/>
    <n v="2"/>
    <n v="2"/>
    <x v="9"/>
    <n v="1"/>
    <n v="1"/>
    <n v="1"/>
  </r>
  <r>
    <s v="OTP BANK Nyrt."/>
    <s v="DBD82220025"/>
    <s v="Diebold-Opteva 828 FL Cash Recycler"/>
    <s v="1828FH101713"/>
    <s v="1085"/>
    <s v="Budapest"/>
    <s v="József krt. 33."/>
    <s v="ok"/>
    <n v="2"/>
    <n v="2"/>
    <x v="13"/>
    <n v="1"/>
    <n v="1"/>
    <n v="1"/>
  </r>
  <r>
    <s v="OTP BANK Nyrt."/>
    <s v="DBD82220026"/>
    <s v="Diebold-Opteva 828 FL Cash Recycler"/>
    <s v="1828FH101700"/>
    <s v="1173"/>
    <s v="Budapest"/>
    <s v="Pesti út 5-7."/>
    <s v="ok"/>
    <n v="2"/>
    <n v="2"/>
    <x v="10"/>
    <n v="1"/>
    <n v="1"/>
    <n v="1"/>
  </r>
  <r>
    <s v="OTP BANK Nyrt."/>
    <s v="DBD82220027"/>
    <s v="Diebold-Opteva 828 FL Cash Recycler"/>
    <s v="1828FH101749"/>
    <s v="2120"/>
    <s v="Dunakeszi"/>
    <s v="Barátság u. 29."/>
    <s v="ok"/>
    <n v="2"/>
    <n v="2"/>
    <x v="14"/>
    <n v="1"/>
    <n v="1"/>
    <n v="1"/>
  </r>
  <r>
    <s v="OTP BANK Nyrt."/>
    <s v="DBD82220028"/>
    <s v="Diebold-Opteva 828 FL Cash Recycler"/>
    <s v="1828FH101702"/>
    <s v="1106"/>
    <s v="Budapest"/>
    <s v="Örs vezér tere 25."/>
    <s v="ok"/>
    <n v="2"/>
    <n v="2"/>
    <x v="17"/>
    <n v="1"/>
    <n v="1"/>
    <n v="1"/>
  </r>
  <r>
    <s v="OTP BANK Nyrt."/>
    <s v="DBD82220029"/>
    <s v="Diebold-Opteva 828 FL Cash Recycler"/>
    <s v="1828FH101717"/>
    <s v="8200"/>
    <s v="Veszprém"/>
    <s v="Budapest út 4."/>
    <s v="ok"/>
    <n v="2"/>
    <n v="2"/>
    <x v="4"/>
    <n v="1"/>
    <n v="1"/>
    <n v="1"/>
  </r>
  <r>
    <s v="OTP BANK Nyrt."/>
    <s v="DBD82220031"/>
    <s v="Diebold-Opteva 828 FL Cash Recycler"/>
    <s v="1828FH101716"/>
    <s v="6500"/>
    <s v="Baja"/>
    <s v="Deák Ferenc u. 1."/>
    <s v="ok"/>
    <n v="2"/>
    <n v="2"/>
    <x v="12"/>
    <e v="#N/A"/>
    <n v="0"/>
    <n v="2"/>
  </r>
  <r>
    <s v="OTP BANK Nyrt."/>
    <s v="DBD82220032"/>
    <s v="Diebold-Opteva 828 FL Cash Recycler"/>
    <s v="1828FH101724"/>
    <s v="2040"/>
    <s v="Budaörs"/>
    <s v="Sport út 2-4."/>
    <s v="ok"/>
    <n v="2"/>
    <n v="2"/>
    <x v="17"/>
    <n v="1"/>
    <n v="1"/>
    <n v="1"/>
  </r>
  <r>
    <s v="OTP BANK Nyrt."/>
    <s v="DBD82220033"/>
    <s v="Diebold-Opteva 828 FL Cash Recycler"/>
    <s v="1828FH101721"/>
    <s v="5100"/>
    <s v="Jászberény"/>
    <s v="Lehel vezér tér 28."/>
    <s v="ok"/>
    <n v="2"/>
    <n v="2"/>
    <x v="10"/>
    <n v="1"/>
    <n v="1"/>
    <n v="1"/>
  </r>
  <r>
    <s v="OTP BANK Nyrt."/>
    <s v="DBD82220034"/>
    <s v="Diebold-Opteva 828 FL Cash Recycler"/>
    <s v="1828FH101720"/>
    <s v="3527"/>
    <s v="Miskolc"/>
    <s v="József Attila u. 87."/>
    <s v="ok"/>
    <n v="2"/>
    <n v="2"/>
    <x v="2"/>
    <n v="1"/>
    <n v="1"/>
    <n v="1"/>
  </r>
  <r>
    <s v="OTP BANK Nyrt."/>
    <s v="DBD82220035"/>
    <s v="Diebold-Opteva 828 FL Cash Recycler"/>
    <s v="1828FH101718"/>
    <s v="5000"/>
    <s v="Szolnok"/>
    <s v="Szapáry u. 31."/>
    <s v="ok"/>
    <n v="2"/>
    <n v="2"/>
    <x v="11"/>
    <n v="1"/>
    <n v="1"/>
    <n v="1"/>
  </r>
  <r>
    <s v="OTP BANK Nyrt."/>
    <s v="DBD82220036"/>
    <s v="Diebold-Opteva 828 FL Cash Recycler"/>
    <s v="1828FH101723"/>
    <s v="4025"/>
    <s v="Debrecen"/>
    <s v="Pásti u. 1-3."/>
    <s v="ok"/>
    <n v="2"/>
    <n v="2"/>
    <x v="16"/>
    <n v="1"/>
    <n v="1"/>
    <n v="1"/>
  </r>
  <r>
    <s v="OTP BANK Nyrt."/>
    <s v="DBD82220037"/>
    <s v="Diebold-Opteva 828 FL Cash Recycler"/>
    <s v="1828FH101712"/>
    <s v="5600"/>
    <s v="Békéscsaba"/>
    <s v="Andrássy út 37-43."/>
    <s v="ok"/>
    <n v="2"/>
    <n v="2"/>
    <x v="3"/>
    <n v="1"/>
    <n v="1"/>
    <n v="1"/>
  </r>
  <r>
    <s v="OTP BANK Nyrt."/>
    <s v="DBD82220038"/>
    <s v="Diebold-Opteva 828 FL Cash Recycler"/>
    <s v="1828FH101725"/>
    <s v="1191"/>
    <s v="Budapest"/>
    <s v="Vak Bottyán u. 73. A-C."/>
    <s v="ok"/>
    <n v="2"/>
    <n v="2"/>
    <x v="10"/>
    <n v="1"/>
    <n v="1"/>
    <n v="1"/>
  </r>
  <r>
    <s v="OTP BANK Nyrt."/>
    <s v="DBD82220039"/>
    <s v="Diebold-Opteva 828 FL Cash Recycler"/>
    <s v="1828FH101722"/>
    <s v="8360"/>
    <s v="Keszthely"/>
    <s v="Kossuth Lajos u. 38."/>
    <s v="ok"/>
    <n v="2"/>
    <n v="2"/>
    <x v="9"/>
    <n v="1"/>
    <n v="1"/>
    <n v="1"/>
  </r>
  <r>
    <s v="OTP BANK Nyrt."/>
    <s v="DBD82220040"/>
    <s v="Diebold-Opteva 828 FL Cash Recycler"/>
    <s v="1828FH101656"/>
    <s v="9022"/>
    <s v="Győr"/>
    <s v="Teleki u. 51."/>
    <s v="ok"/>
    <n v="2"/>
    <n v="2"/>
    <x v="19"/>
    <n v="1"/>
    <n v="1"/>
    <n v="1"/>
  </r>
  <r>
    <s v="OTP BANK Nyrt."/>
    <s v="DBD82220041"/>
    <s v="Diebold-Opteva 828 FL Cash Recycler"/>
    <s v="1828FH101742"/>
    <s v="9200"/>
    <s v="Mosonmagyaróvár"/>
    <s v="Fő út 24."/>
    <s v="ok"/>
    <n v="2"/>
    <n v="2"/>
    <x v="19"/>
    <n v="1"/>
    <n v="1"/>
    <n v="1"/>
  </r>
  <r>
    <s v="OTP BANK Nyrt."/>
    <s v="DBD82220042"/>
    <s v="Diebold-Opteva 828 FL Cash Recycler"/>
    <s v="1828FH101740"/>
    <s v="1117"/>
    <s v="Budapest"/>
    <s v="Október Huszonharmadika u. 8-10."/>
    <s v="ok"/>
    <n v="2"/>
    <n v="2"/>
    <x v="17"/>
    <n v="1"/>
    <n v="1"/>
    <n v="1"/>
  </r>
  <r>
    <s v="OTP BANK Nyrt."/>
    <s v="DBD82220043"/>
    <s v="Diebold-Opteva 828 FL Cash Recycler"/>
    <s v="1828FH101741"/>
    <s v="1085"/>
    <s v="Budapest"/>
    <s v="Kálvin tér 12-13."/>
    <s v="ok"/>
    <n v="2"/>
    <n v="2"/>
    <x v="13"/>
    <n v="1"/>
    <n v="1"/>
    <n v="1"/>
  </r>
  <r>
    <s v="OTP BANK Nyrt."/>
    <s v="DBD82220045"/>
    <s v="Diebold-Opteva 828 FL Cash Recycler"/>
    <s v="1828FH101744"/>
    <s v="4800"/>
    <s v="Vásárosnamény"/>
    <s v="Szabadság tér 33."/>
    <s v="ok"/>
    <n v="2"/>
    <n v="2"/>
    <x v="1"/>
    <n v="1"/>
    <n v="1"/>
    <n v="1"/>
  </r>
  <r>
    <s v="OTP BANK Nyrt."/>
    <s v="DBD82220046"/>
    <s v="Diebold-Opteva 828 FL Cash Recycler"/>
    <s v="1828FH101751"/>
    <s v="6100"/>
    <s v="Kiskunfélegyháza"/>
    <s v="Petőfi tér 1."/>
    <s v="ok"/>
    <n v="2"/>
    <n v="2"/>
    <x v="11"/>
    <n v="1"/>
    <n v="1"/>
    <n v="1"/>
  </r>
  <r>
    <s v="OTP BANK Nyrt."/>
    <s v="DBD82220047"/>
    <s v="Diebold-Opteva 828 FL Cash Recycler"/>
    <s v="1828FH101762"/>
    <s v="8000"/>
    <s v="Székesfehérvár"/>
    <s v="Holland fasor 2."/>
    <s v="ok"/>
    <n v="2"/>
    <n v="2"/>
    <x v="4"/>
    <n v="1"/>
    <n v="1"/>
    <n v="1"/>
  </r>
  <r>
    <s v="OTP BANK Nyrt."/>
    <s v="DBD82220048"/>
    <s v="Diebold-Opteva 828 FL Cash Recycler"/>
    <s v="1828FH101736"/>
    <s v="8380"/>
    <s v="Hévíz"/>
    <s v="Erzsébet királyné u. 11."/>
    <s v="ok"/>
    <n v="2"/>
    <n v="2"/>
    <x v="9"/>
    <n v="1"/>
    <n v="1"/>
    <n v="1"/>
  </r>
  <r>
    <s v="OTP BANK Nyrt."/>
    <s v="DBD82220049"/>
    <s v="Diebold-Opteva 828 FL Cash Recycler"/>
    <s v="1828FH101739"/>
    <s v="1181"/>
    <s v="Budapest"/>
    <s v="Üllői út 377."/>
    <s v="ok"/>
    <n v="2"/>
    <n v="2"/>
    <x v="15"/>
    <n v="1"/>
    <n v="1"/>
    <n v="1"/>
  </r>
  <r>
    <s v="OTP BANK Nyrt."/>
    <s v="DBD82220052"/>
    <s v="Diebold-Opteva 828 FL Cash Recycler"/>
    <s v="1828FH101738"/>
    <s v="9023"/>
    <s v="Győr"/>
    <s v="Bartók Béla u. 53/b"/>
    <s v="ok"/>
    <n v="2"/>
    <n v="2"/>
    <x v="19"/>
    <n v="1"/>
    <n v="1"/>
    <n v="1"/>
  </r>
  <r>
    <s v="OTP BANK Nyrt."/>
    <s v="DBD82220053"/>
    <s v="Diebold-Opteva 828 FL Cash Recycler"/>
    <s v="1828FH101747"/>
    <s v="9300"/>
    <s v="Csorna"/>
    <s v="Soproni út 58."/>
    <s v="ok"/>
    <n v="2"/>
    <n v="2"/>
    <x v="8"/>
    <n v="1"/>
    <n v="1"/>
    <n v="1"/>
  </r>
  <r>
    <s v="OTP BANK Nyrt."/>
    <s v="DBD82220054"/>
    <s v="Diebold-Opteva 828 FL Cash Recycler"/>
    <s v="1828FH101746"/>
    <s v="2800"/>
    <s v="Tatabánya"/>
    <s v="Fő tér 32."/>
    <s v="ok"/>
    <n v="2"/>
    <n v="2"/>
    <x v="19"/>
    <n v="1"/>
    <n v="1"/>
    <n v="1"/>
  </r>
  <r>
    <s v="OTP BANK Nyrt."/>
    <s v="DBD82220055"/>
    <s v="Diebold-Opteva 828 FL Cash Recycler"/>
    <s v="1828FH101745"/>
    <s v="6000"/>
    <s v="Kecskemét"/>
    <s v="Csányi út - Korona u. 2."/>
    <s v="ok"/>
    <n v="2"/>
    <n v="2"/>
    <x v="11"/>
    <n v="1"/>
    <n v="1"/>
    <n v="1"/>
  </r>
  <r>
    <s v="OTP BANK Nyrt."/>
    <s v="DBD82220056"/>
    <s v="Diebold-Opteva 828 FL Cash Recycler"/>
    <s v="1828FH101748"/>
    <s v="1221"/>
    <s v="Budapest"/>
    <s v="Nagytétényi út 37-43."/>
    <s v="ok"/>
    <n v="2"/>
    <n v="2"/>
    <x v="17"/>
    <n v="1"/>
    <n v="1"/>
    <n v="1"/>
  </r>
  <r>
    <s v="OTP BANK Nyrt."/>
    <s v="DBD82220057"/>
    <s v="Diebold-Opteva 828 FL Cash Recycler"/>
    <s v="1828FH101750"/>
    <s v="6800"/>
    <s v="Hódmezővásárhely"/>
    <s v="Andrássy u. 1."/>
    <s v="ok"/>
    <n v="2"/>
    <n v="2"/>
    <x v="3"/>
    <n v="1"/>
    <n v="1"/>
    <n v="1"/>
  </r>
  <r>
    <s v="OTP BANK Nyrt."/>
    <s v="DBD82220058"/>
    <s v="Diebold-Opteva 828 FL Cash Recycler"/>
    <s v="1828FH101752"/>
    <s v="8000"/>
    <s v="Székesfehérvár"/>
    <s v="Ősz u. 13."/>
    <s v="ok"/>
    <n v="2"/>
    <n v="2"/>
    <x v="4"/>
    <n v="1"/>
    <n v="1"/>
    <n v="1"/>
  </r>
  <r>
    <s v="OTP BANK Nyrt."/>
    <s v="DBD82220059"/>
    <s v="Diebold-Opteva 828 FL Cash Recycler"/>
    <s v="1828FH101754"/>
    <s v="3530"/>
    <s v="Miskolc"/>
    <s v="Uitz B. u. 6."/>
    <s v="ok"/>
    <n v="2"/>
    <n v="2"/>
    <x v="2"/>
    <n v="1"/>
    <n v="1"/>
    <n v="1"/>
  </r>
  <r>
    <s v="OTP BANK Nyrt."/>
    <s v="DBD82220060"/>
    <s v="Diebold-Opteva 828 FL Cash Recycler"/>
    <s v="1828FH101755"/>
    <s v="6724"/>
    <s v="Szeged"/>
    <s v="Rókusi krt. 46-64."/>
    <s v="ok"/>
    <n v="2"/>
    <n v="2"/>
    <x v="3"/>
    <n v="1"/>
    <n v="1"/>
    <n v="1"/>
  </r>
  <r>
    <s v="OTP BANK Nyrt."/>
    <s v="DBD82220061"/>
    <s v="Diebold-Opteva 828 FL Cash Recycler"/>
    <s v="1828FH101756"/>
    <s v="3600"/>
    <s v="Ózd"/>
    <s v="Városház tér 1/a."/>
    <s v="ok"/>
    <n v="2"/>
    <n v="2"/>
    <x v="2"/>
    <n v="1"/>
    <n v="1"/>
    <n v="1"/>
  </r>
  <r>
    <s v="OTP BANK Nyrt."/>
    <s v="DBD82220063"/>
    <s v="Diebold-Opteva 828 FL Cash Recycler"/>
    <s v="1828FH101758"/>
    <s v="1042"/>
    <s v="Budapest"/>
    <s v="Árpád út 63-65."/>
    <s v="ok"/>
    <n v="2"/>
    <n v="2"/>
    <x v="0"/>
    <n v="1"/>
    <n v="1"/>
    <n v="1"/>
  </r>
  <r>
    <s v="OTP BANK Nyrt."/>
    <s v="DBD82220064"/>
    <s v="Diebold-Opteva 828 FL Cash Recycler"/>
    <s v="1828FH101759"/>
    <s v="8300"/>
    <s v="Tapolca"/>
    <s v="Fő tér 2."/>
    <s v="ok"/>
    <n v="2"/>
    <n v="2"/>
    <x v="9"/>
    <n v="2"/>
    <n v="2"/>
    <n v="0"/>
  </r>
  <r>
    <s v="OTP BANK Nyrt."/>
    <s v="DBD82220066"/>
    <s v="Diebold-Opteva 828 FL Cash Recycler"/>
    <s v="1828FH101760"/>
    <s v="4025"/>
    <s v="Debrecen"/>
    <s v="Piac u. 45-47."/>
    <s v="ok"/>
    <n v="2"/>
    <n v="2"/>
    <x v="16"/>
    <n v="1"/>
    <n v="1"/>
    <n v="1"/>
  </r>
  <r>
    <s v="OTP BANK Nyrt."/>
    <s v="DBD82220067"/>
    <s v="Diebold-Opteva 828 FL Cash Recycler"/>
    <s v="1828FH101761"/>
    <s v="5900"/>
    <s v="Orosháza"/>
    <s v="Kossuth u. 20."/>
    <s v="ok"/>
    <n v="2"/>
    <n v="2"/>
    <x v="3"/>
    <n v="1"/>
    <n v="1"/>
    <n v="1"/>
  </r>
  <r>
    <s v="OTP BANK Nyrt."/>
    <s v="DBD82220068"/>
    <s v="Diebold-Opteva 828 FL Cash Recycler"/>
    <s v="1828FH101753"/>
    <s v="3100"/>
    <s v="Salgótarján"/>
    <s v="Rákóczi u. 22."/>
    <s v="ok"/>
    <n v="2"/>
    <n v="2"/>
    <x v="6"/>
    <n v="1"/>
    <n v="1"/>
    <n v="1"/>
  </r>
  <r>
    <s v="OTP BANK Nyrt."/>
    <s v="DBD82220069"/>
    <s v="Diebold-Opteva 828 FL Cash Recycler"/>
    <s v="1828FH101763"/>
    <s v="1211"/>
    <s v="Budapest"/>
    <s v="Kossuth Lajos u. 86."/>
    <s v="ok"/>
    <n v="2"/>
    <n v="2"/>
    <x v="15"/>
    <n v="1"/>
    <n v="1"/>
    <n v="1"/>
  </r>
  <r>
    <s v="OTP BANK Nyrt."/>
    <s v="DBD82220070"/>
    <s v="Diebold-Opteva 828 FL Cash Recycler"/>
    <s v="1828FH101764"/>
    <s v="2651"/>
    <s v="Rétság"/>
    <s v="Rákóczi u. 28-30."/>
    <s v="ok"/>
    <n v="2"/>
    <n v="2"/>
    <x v="6"/>
    <n v="1"/>
    <n v="1"/>
    <n v="1"/>
  </r>
  <r>
    <s v="OTP BANK Nyrt."/>
    <s v="DBD82220071"/>
    <s v="Diebold-Opteva 828 FL Cash Recycler"/>
    <s v="1828FH101765"/>
    <s v="8230"/>
    <s v="Balatonfüred"/>
    <s v="Petőfi S. u. 8."/>
    <s v="ok"/>
    <n v="2"/>
    <n v="2"/>
    <x v="4"/>
    <n v="1"/>
    <n v="1"/>
    <n v="1"/>
  </r>
  <r>
    <s v="OTP BANK Nyrt."/>
    <s v="DBD82220072"/>
    <s v="Diebold-Opteva 828 FL Cash Recycler"/>
    <s v="1828FH101766"/>
    <s v="7800"/>
    <s v="Siklós"/>
    <s v="Felszabadulás u. 60-62."/>
    <s v="ok"/>
    <n v="2"/>
    <n v="2"/>
    <x v="12"/>
    <n v="1"/>
    <n v="1"/>
    <n v="1"/>
  </r>
  <r>
    <s v="OTP BANK Nyrt."/>
    <s v="DBD82220073"/>
    <s v="Diebold-Opteva 828 FL Cash Recycler"/>
    <s v="1828FH101767"/>
    <s v="2370"/>
    <s v="Dabas"/>
    <s v="Bartók Béla út 46."/>
    <s v="ok"/>
    <n v="2"/>
    <n v="2"/>
    <x v="15"/>
    <n v="1"/>
    <n v="1"/>
    <n v="1"/>
  </r>
  <r>
    <s v="OTP BANK Nyrt."/>
    <s v="DBD82220074"/>
    <s v="Diebold-Opteva 828 FL Cash Recycler"/>
    <s v="1828FH101768"/>
    <s v="6000"/>
    <s v="Kecskemét"/>
    <s v="Dunaföldvári út 2."/>
    <s v="ok"/>
    <n v="2"/>
    <n v="2"/>
    <x v="11"/>
    <n v="1"/>
    <n v="1"/>
    <n v="1"/>
  </r>
  <r>
    <s v="OTP BANK Nyrt."/>
    <s v="DBD82220076"/>
    <s v="Diebold-Opteva 828 FL Cash Recycler"/>
    <s v="1828FH101770"/>
    <s v="9028"/>
    <s v="Győr"/>
    <s v="Kormos u. 6."/>
    <s v="ok"/>
    <n v="2"/>
    <n v="2"/>
    <x v="19"/>
    <n v="1"/>
    <n v="1"/>
    <n v="1"/>
  </r>
  <r>
    <s v="OTP BANK Nyrt."/>
    <s v="DBD82220077"/>
    <s v="Diebold-Opteva 828 FL Cash Recycler"/>
    <s v="1828FH101771"/>
    <s v="7150"/>
    <s v="Bonyhád"/>
    <s v="Szabadság tér 10."/>
    <s v="ok"/>
    <n v="2"/>
    <n v="2"/>
    <x v="12"/>
    <n v="1"/>
    <n v="1"/>
    <n v="1"/>
  </r>
  <r>
    <s v="OTP BANK Nyrt."/>
    <s v="DBD82220078"/>
    <s v="Diebold-Opteva 828 FL Cash Recycler"/>
    <s v="1828FH101772"/>
    <s v="7632"/>
    <s v="Pécs-Kertváros"/>
    <s v="Diana tér 14."/>
    <s v="ok"/>
    <n v="2"/>
    <n v="2"/>
    <x v="12"/>
    <n v="1"/>
    <n v="1"/>
    <n v="1"/>
  </r>
  <r>
    <s v="OTP BANK Nyrt."/>
    <s v="DBD82220079"/>
    <s v="Diebold-Opteva 828 FL Cash Recycler"/>
    <s v="1828FH101773"/>
    <s v="2060"/>
    <s v="Bicske"/>
    <s v="Bocskai köz 1."/>
    <s v="ok"/>
    <n v="2"/>
    <n v="0"/>
    <x v="19"/>
    <e v="#N/A"/>
    <n v="0"/>
    <n v="0"/>
  </r>
  <r>
    <s v="OTP BANK Nyrt."/>
    <s v="DBD82220080"/>
    <s v="Diebold-Opteva 828 FL Cash Recycler"/>
    <s v="1828FH101774"/>
    <s v="2100"/>
    <s v="Gödöllő"/>
    <s v="Szabadság tér 12-13."/>
    <s v="ok"/>
    <n v="2"/>
    <n v="2"/>
    <x v="10"/>
    <n v="1"/>
    <n v="1"/>
    <n v="1"/>
  </r>
  <r>
    <s v="OTP BANK Nyrt."/>
    <s v="DBD82220081"/>
    <s v="Diebold-Opteva 828 FL Cash Recycler"/>
    <s v="1828FH101775"/>
    <s v="2500"/>
    <s v="Esztergom"/>
    <s v="Rákóczi tér 2-4."/>
    <s v="ok"/>
    <n v="2"/>
    <n v="2"/>
    <x v="14"/>
    <e v="#N/A"/>
    <n v="0"/>
    <n v="2"/>
  </r>
  <r>
    <s v="OTP BANK Nyrt."/>
    <s v="DBD82220082"/>
    <s v="Diebold-Opteva 828 FL Cash Recycler"/>
    <s v="1828FH101802"/>
    <s v="3580"/>
    <s v="Tiszaújváros"/>
    <s v="Szent István út 30."/>
    <s v="ok"/>
    <n v="2"/>
    <n v="2"/>
    <x v="2"/>
    <n v="1"/>
    <n v="1"/>
    <n v="1"/>
  </r>
  <r>
    <s v="OTP BANK Nyrt."/>
    <s v="DBD82220083"/>
    <s v="Diebold-Opteva 828 FL Cash Recycler"/>
    <s v="1828FH101803"/>
    <s v="2890"/>
    <s v="Tata"/>
    <s v="Ady E. u. 1-3."/>
    <s v="ok"/>
    <n v="2"/>
    <n v="2"/>
    <x v="19"/>
    <e v="#N/A"/>
    <n v="0"/>
    <n v="2"/>
  </r>
  <r>
    <s v="OTP BANK Nyrt."/>
    <s v="DBD82220084"/>
    <s v="Diebold-Opteva 828 FL Cash Recycler"/>
    <s v="1828FH101804"/>
    <s v="6900"/>
    <s v="Makó"/>
    <s v="Széchenyi tér 14-16."/>
    <s v="ok"/>
    <n v="2"/>
    <n v="2"/>
    <x v="3"/>
    <n v="1"/>
    <n v="1"/>
    <n v="1"/>
  </r>
  <r>
    <s v="OTP BANK Nyrt."/>
    <s v="DBD82220085"/>
    <s v="Diebold-Opteva 828 FL Cash Recycler"/>
    <s v="1828FH101805"/>
    <s v="1195"/>
    <s v="Budapest"/>
    <s v="Üllői út 285."/>
    <s v="ok"/>
    <n v="2"/>
    <n v="2"/>
    <x v="10"/>
    <n v="1"/>
    <n v="1"/>
    <n v="1"/>
  </r>
  <r>
    <s v="OTP BANK Nyrt."/>
    <s v="DBD82220086"/>
    <s v="Diebold-Opteva 828 FL Cash Recycler"/>
    <s v="1828FH102024"/>
    <s v="2483"/>
    <s v="Gárdony"/>
    <s v="Szabadság u. 18."/>
    <s v="ok"/>
    <n v="2"/>
    <n v="2"/>
    <x v="7"/>
    <n v="1"/>
    <n v="1"/>
    <n v="1"/>
  </r>
  <r>
    <s v="OTP BANK Nyrt."/>
    <s v="DBD82220087"/>
    <s v="Diebold-Opteva 828 FL Cash Recycler"/>
    <s v="1828FH101806"/>
    <s v="9400"/>
    <s v="Sopron"/>
    <s v="Várkerület 96/a"/>
    <s v="ok"/>
    <n v="2"/>
    <n v="2"/>
    <x v="8"/>
    <n v="1"/>
    <n v="1"/>
    <n v="1"/>
  </r>
  <r>
    <s v="OTP BANK Nyrt."/>
    <s v="DBD82220088"/>
    <s v="Diebold-Opteva 828 FL Cash Recycler"/>
    <s v="1828FH101807"/>
    <s v="7030"/>
    <s v="Paks"/>
    <s v="Dózsa Gy. út 33."/>
    <s v="ok"/>
    <n v="2"/>
    <n v="2"/>
    <x v="7"/>
    <n v="1"/>
    <n v="1"/>
    <n v="1"/>
  </r>
  <r>
    <s v="OTP BANK Nyrt."/>
    <s v="DBD82220089"/>
    <s v="Diebold-Opteva 828 FL Cash Recycler"/>
    <s v="1828FH101808"/>
    <s v="3060"/>
    <s v="Pásztó"/>
    <s v="Fő u. 73/a."/>
    <s v="ok"/>
    <n v="2"/>
    <n v="2"/>
    <x v="10"/>
    <n v="1"/>
    <n v="1"/>
    <n v="1"/>
  </r>
  <r>
    <s v="OTP BANK Nyrt."/>
    <s v="DBD82220090"/>
    <s v="Diebold-Opteva 828 FL Cash Recycler"/>
    <s v="1828FH102025"/>
    <s v="6320"/>
    <s v="Solt"/>
    <s v="Kossuth u. 48-50."/>
    <s v="ok"/>
    <n v="2"/>
    <n v="2"/>
    <x v="7"/>
    <n v="1"/>
    <n v="1"/>
    <n v="1"/>
  </r>
  <r>
    <s v="OTP BANK Nyrt."/>
    <s v="DBD82220091"/>
    <s v="Diebold-Opteva 828 FL Cash Recycler"/>
    <s v="1828FH101810"/>
    <s v="2670"/>
    <s v="Nagykáta"/>
    <s v="Bajcsy-Zs. u. 1."/>
    <s v="ok"/>
    <n v="2"/>
    <n v="2"/>
    <x v="10"/>
    <n v="1"/>
    <n v="1"/>
    <n v="1"/>
  </r>
  <r>
    <s v="OTP BANK Nyrt."/>
    <s v="DBD82220092"/>
    <s v="Diebold-Opteva 828 FL Cash Recycler"/>
    <s v="1828FH101811"/>
    <s v="8400"/>
    <s v="Ajka"/>
    <s v="Szabadság tér 18."/>
    <s v="ok"/>
    <n v="2"/>
    <n v="2"/>
    <x v="4"/>
    <n v="1"/>
    <n v="1"/>
    <n v="1"/>
  </r>
  <r>
    <s v="OTP BANK Nyrt."/>
    <s v="DBD82220093"/>
    <s v="Diebold-Opteva 828 FL Cash Recycler"/>
    <s v="1828FH101812"/>
    <s v="6000"/>
    <s v="Kecskemét"/>
    <s v="Szabadság tér 5."/>
    <s v="ok"/>
    <n v="2"/>
    <n v="2"/>
    <x v="11"/>
    <n v="1"/>
    <n v="1"/>
    <n v="1"/>
  </r>
  <r>
    <s v="OTP BANK Nyrt."/>
    <s v="DBD82220095"/>
    <s v="Diebold-Opteva 828 FL Cash Recycler"/>
    <s v="1828FH101815"/>
    <s v="2200"/>
    <s v="Monor"/>
    <s v="Kossuth L. u. 88/b"/>
    <s v="ok"/>
    <n v="2"/>
    <n v="2"/>
    <x v="15"/>
    <n v="1"/>
    <n v="1"/>
    <n v="1"/>
  </r>
  <r>
    <s v="OTP BANK Nyrt."/>
    <s v="DBD82220096"/>
    <s v="Diebold-Opteva 828 FL Cash Recycler"/>
    <s v="1828FH101816"/>
    <s v="5540"/>
    <s v="Szarvas"/>
    <s v="Kossuth L. tér 1."/>
    <s v="ok"/>
    <n v="2"/>
    <n v="2"/>
    <x v="11"/>
    <n v="1"/>
    <n v="1"/>
    <n v="1"/>
  </r>
  <r>
    <s v="OTP BANK Nyrt."/>
    <s v="DBD82220097"/>
    <s v="Diebold-Opteva 828 FL Cash Recycler"/>
    <s v="1828FH101814"/>
    <s v="6600"/>
    <s v="Szentes"/>
    <s v="Kossuth u. 26."/>
    <s v="ok"/>
    <n v="2"/>
    <n v="2"/>
    <x v="11"/>
    <e v="#N/A"/>
    <n v="0"/>
    <n v="2"/>
  </r>
  <r>
    <s v="OTP BANK Nyrt."/>
    <s v="DBD82220098"/>
    <s v="Diebold-Opteva 828 FL Cash Recycler"/>
    <s v="1828FH101817"/>
    <s v="9600"/>
    <s v="Sárvár"/>
    <s v="Batthyány u. 2."/>
    <s v="ok"/>
    <n v="2"/>
    <n v="2"/>
    <x v="8"/>
    <n v="1"/>
    <n v="1"/>
    <n v="1"/>
  </r>
  <r>
    <s v="OTP BANK Nyrt."/>
    <s v="DBD82220099"/>
    <s v="Diebold-Opteva 828 FL Cash Recycler"/>
    <s v="1828FH101818"/>
    <s v="6724"/>
    <s v="Szeged"/>
    <s v="Londoni körút 3."/>
    <s v="ok"/>
    <n v="2"/>
    <n v="2"/>
    <x v="3"/>
    <n v="1"/>
    <n v="1"/>
    <n v="1"/>
  </r>
  <r>
    <s v="OTP BANK Nyrt."/>
    <s v="DBD82220100"/>
    <s v="Diebold-Opteva 828 FL Cash Recycler"/>
    <s v="1828FH101769"/>
    <s v="3400"/>
    <s v="Mezőkövesd"/>
    <s v="Mátyás király u. 149."/>
    <s v="ok"/>
    <n v="2"/>
    <n v="2"/>
    <x v="2"/>
    <n v="1"/>
    <n v="1"/>
    <n v="1"/>
  </r>
  <r>
    <s v="OTP BANK Nyrt."/>
    <s v="DBD82220101"/>
    <s v="Diebold-Opteva 828 FL Cash Recycler"/>
    <s v="1828FH101809"/>
    <s v="1024"/>
    <s v="Budapest"/>
    <s v="Fény utca 11-13."/>
    <s v="ok"/>
    <n v="2"/>
    <n v="2"/>
    <x v="0"/>
    <n v="1"/>
    <n v="1"/>
    <n v="1"/>
  </r>
  <r>
    <s v="OTP BANK Nyrt."/>
    <s v="DBD82220102"/>
    <s v="Diebold-Opteva 828 FL Cash Recycler"/>
    <s v="1828FH101813"/>
    <s v="6300"/>
    <s v="Kalocsa"/>
    <s v="Szent István király krt. 43-45."/>
    <s v="ok"/>
    <n v="2"/>
    <n v="2"/>
    <x v="7"/>
    <n v="1"/>
    <n v="1"/>
    <n v="1"/>
  </r>
  <r>
    <s v="OTP BANK Nyrt."/>
    <s v="DBD82220103"/>
    <s v="Diebold-Opteva 828 FL Cash Recycler"/>
    <s v="1828FH101819"/>
    <s v="1163"/>
    <s v="Budapest"/>
    <s v="Jókai u. 3/b"/>
    <s v="ok"/>
    <n v="2"/>
    <n v="2"/>
    <x v="6"/>
    <n v="1"/>
    <n v="1"/>
    <n v="1"/>
  </r>
  <r>
    <s v="OTP BANK Nyrt."/>
    <s v="DBD82220104"/>
    <s v="Diebold-Opteva 828 FL Cash Recycler"/>
    <s v="1828FH101820"/>
    <s v="1041"/>
    <s v="Budapest"/>
    <s v="Erzsébet utca 50."/>
    <s v="ok"/>
    <n v="2"/>
    <n v="2"/>
    <x v="14"/>
    <n v="1"/>
    <n v="1"/>
    <n v="1"/>
  </r>
  <r>
    <s v="OTP BANK Nyrt."/>
    <s v="DBD82220105"/>
    <s v="Diebold-Opteva 828 FL Cash Recycler"/>
    <s v="1828FH101821"/>
    <s v="1117"/>
    <s v="Budapest"/>
    <s v="Móricz Zs. Körtér 18."/>
    <s v="ok"/>
    <n v="2"/>
    <n v="2"/>
    <x v="17"/>
    <n v="1"/>
    <n v="1"/>
    <n v="1"/>
  </r>
  <r>
    <s v="OTP BANK Nyrt."/>
    <s v="DBD82220106"/>
    <s v="Diebold-Opteva 828 FL Cash Recycler"/>
    <s v="1828FH102001"/>
    <s v="8000"/>
    <s v="Székesfehérvár"/>
    <s v="Fő u. 7."/>
    <s v="ok"/>
    <n v="2"/>
    <n v="2"/>
    <x v="4"/>
    <n v="1"/>
    <n v="1"/>
    <n v="1"/>
  </r>
  <r>
    <s v="OTP BANK Nyrt."/>
    <s v="DBD82220107"/>
    <s v="Diebold-Opteva 828 FL Cash Recycler"/>
    <s v="1828FH102002"/>
    <s v="7900"/>
    <s v="Szigetvár"/>
    <s v="Vár u. 4."/>
    <s v="ok"/>
    <n v="2"/>
    <n v="2"/>
    <x v="12"/>
    <e v="#N/A"/>
    <n v="0"/>
    <n v="2"/>
  </r>
  <r>
    <s v="OTP BANK Nyrt."/>
    <s v="DBD82220108"/>
    <s v="Diebold-Opteva 828 FL Cash Recycler"/>
    <s v="1828FH101757"/>
    <s v="1137"/>
    <s v="Budapest"/>
    <s v="Lehel út 70-76."/>
    <s v="ok"/>
    <n v="2"/>
    <n v="2"/>
    <x v="14"/>
    <n v="1"/>
    <n v="1"/>
    <n v="1"/>
  </r>
  <r>
    <s v="OTP BANK Nyrt."/>
    <s v="DBD82220109"/>
    <s v="Diebold-Opteva 828 FL Cash Recycler"/>
    <s v="1828FH102004"/>
    <s v="3700"/>
    <s v="Kazincbarcika"/>
    <s v="Egressy B. u. 50."/>
    <s v="ok"/>
    <n v="2"/>
    <n v="2"/>
    <x v="2"/>
    <n v="1"/>
    <n v="1"/>
    <n v="1"/>
  </r>
  <r>
    <s v="OTP BANK Nyrt."/>
    <s v="DBD82220110"/>
    <s v="Diebold-Opteva 828 FL Cash Recycler"/>
    <s v="1828FH102005"/>
    <s v="4025"/>
    <s v="Debrecen"/>
    <s v="Hatvan u.  2-4."/>
    <s v="ok"/>
    <n v="2"/>
    <n v="2"/>
    <x v="16"/>
    <n v="1"/>
    <n v="1"/>
    <n v="1"/>
  </r>
  <r>
    <s v="OTP BANK Nyrt."/>
    <s v="DBD82220111"/>
    <s v="Diebold-Opteva 828 FL Cash Recycler"/>
    <s v="1828FH102006"/>
    <s v="2330"/>
    <s v="Dunaharaszti"/>
    <s v="Dózsa György út 25."/>
    <s v="ok"/>
    <n v="2"/>
    <n v="2"/>
    <x v="15"/>
    <n v="1"/>
    <n v="1"/>
    <n v="1"/>
  </r>
  <r>
    <s v="OTP BANK Nyrt."/>
    <s v="DBD82220112"/>
    <s v="Diebold-Opteva 828 FL Cash Recycler"/>
    <s v="1828FH102007"/>
    <s v="9500"/>
    <s v="Celldömölk"/>
    <s v="Kossuth u.  18."/>
    <s v="ok"/>
    <n v="2"/>
    <n v="2"/>
    <x v="8"/>
    <n v="1"/>
    <n v="1"/>
    <n v="1"/>
  </r>
  <r>
    <s v="OTP BANK Nyrt."/>
    <s v="DBD82220113"/>
    <s v="Diebold-Opteva 828 FL Cash Recycler"/>
    <s v="1828FH102008"/>
    <s v="6060"/>
    <s v="Tiszakécske"/>
    <s v="Béke tér 6."/>
    <s v="ok"/>
    <n v="2"/>
    <n v="2"/>
    <x v="11"/>
    <e v="#N/A"/>
    <n v="0"/>
    <n v="2"/>
  </r>
  <r>
    <s v="OTP BANK Nyrt."/>
    <s v="DBD82220114"/>
    <s v="Diebold-Opteva 828 FL Cash Recycler"/>
    <s v="1828FH102010"/>
    <s v="1097"/>
    <s v="Budapest"/>
    <s v="Könyves K. krt. 12-14."/>
    <s v="ok"/>
    <n v="2"/>
    <n v="2"/>
    <x v="17"/>
    <n v="1"/>
    <n v="1"/>
    <n v="1"/>
  </r>
  <r>
    <s v="OTP BANK Nyrt."/>
    <s v="DBD82220115"/>
    <s v="Diebold-Opteva 828 FL Cash Recycler"/>
    <s v="1828FH102009"/>
    <s v="2234"/>
    <s v="Maglód"/>
    <s v="Esterházy J. u. 1."/>
    <s v="ok"/>
    <n v="2"/>
    <n v="2"/>
    <x v="10"/>
    <n v="1"/>
    <n v="1"/>
    <n v="1"/>
  </r>
  <r>
    <s v="OTP BANK Nyrt."/>
    <s v="DBD82220116"/>
    <s v="Diebold-Opteva 828 FL Cash Recycler"/>
    <s v="1828FH102011"/>
    <s v="3950"/>
    <s v="Sárospatak"/>
    <s v="Eötvös u. 2."/>
    <s v="ok"/>
    <n v="2"/>
    <n v="2"/>
    <x v="1"/>
    <n v="1"/>
    <n v="1"/>
    <n v="1"/>
  </r>
  <r>
    <s v="OTP BANK Nyrt."/>
    <s v="DBD82220117"/>
    <s v="Diebold-Opteva 828 FL Cash Recycler"/>
    <s v="1828FH102012"/>
    <s v="2310"/>
    <s v="Szigetszentmiklós"/>
    <s v="Háros u. 120."/>
    <s v="ok"/>
    <n v="2"/>
    <n v="2"/>
    <x v="15"/>
    <n v="1"/>
    <n v="1"/>
    <n v="1"/>
  </r>
  <r>
    <s v="OTP BANK Nyrt."/>
    <s v="DBD82220118"/>
    <s v="Diebold-Opteva 828 FL Cash Recycler"/>
    <s v="1828FH102013"/>
    <s v="1103"/>
    <s v="Budapest"/>
    <s v="Sibrik Miklós u. 30."/>
    <s v="ok"/>
    <n v="2"/>
    <n v="2"/>
    <x v="17"/>
    <n v="1"/>
    <n v="1"/>
    <n v="1"/>
  </r>
  <r>
    <s v="OTP BANK Nyrt."/>
    <s v="DBD82220119"/>
    <s v="Diebold-Opteva 828 FL Cash Recycler"/>
    <s v="1828FH102014"/>
    <s v="4080"/>
    <s v="Hajdúnánás"/>
    <s v="Köztársaság tér 17-18/A"/>
    <s v="ok"/>
    <n v="2"/>
    <n v="2"/>
    <x v="16"/>
    <n v="1"/>
    <n v="1"/>
    <n v="1"/>
  </r>
  <r>
    <s v="OTP BANK Nyrt."/>
    <s v="DBD82220120"/>
    <s v="Diebold-Opteva 828 FL Cash Recycler"/>
    <s v="1828FH102015"/>
    <s v="2840"/>
    <s v="Oroszlány"/>
    <s v="Rákóczi u. 84."/>
    <s v="ok"/>
    <n v="2"/>
    <n v="2"/>
    <x v="19"/>
    <n v="1"/>
    <n v="1"/>
    <n v="1"/>
  </r>
  <r>
    <s v="OTP BANK Nyrt."/>
    <s v="DBD82220121"/>
    <s v="Diebold-Opteva 828 FL Cash Recycler"/>
    <s v="1828FH102016"/>
    <s v="3360"/>
    <s v="Heves"/>
    <s v="Hősök tere 4."/>
    <s v="ok"/>
    <n v="2"/>
    <n v="2"/>
    <x v="6"/>
    <n v="1"/>
    <n v="1"/>
    <n v="1"/>
  </r>
  <r>
    <s v="OTP BANK Nyrt."/>
    <s v="DBD82220123"/>
    <s v="Diebold-Opteva 828 FL Cash Recycler"/>
    <s v="1828FH102018"/>
    <s v="2085"/>
    <s v="Pilisvörösvár"/>
    <s v="Fő u. 60."/>
    <s v="ok"/>
    <n v="2"/>
    <n v="2"/>
    <x v="0"/>
    <n v="1"/>
    <n v="1"/>
    <n v="1"/>
  </r>
  <r>
    <s v="OTP BANK Nyrt."/>
    <s v="DBD82220124"/>
    <s v="Diebold-Opteva 828 FL Cash Recycler"/>
    <s v="1828FH102019"/>
    <s v="8700"/>
    <s v="Marcali"/>
    <s v="Rákóczi u. 6-10."/>
    <s v="ok"/>
    <n v="2"/>
    <n v="2"/>
    <x v="9"/>
    <e v="#N/A"/>
    <n v="0"/>
    <n v="2"/>
  </r>
  <r>
    <s v="OTP BANK Nyrt."/>
    <s v="DBD82220125"/>
    <s v="Diebold-Opteva 828 FL Cash Recycler"/>
    <s v="1828FH102020"/>
    <s v="4600"/>
    <s v="Kisvárda"/>
    <s v="Szent László u. 30."/>
    <s v="ok"/>
    <n v="2"/>
    <n v="2"/>
    <x v="1"/>
    <n v="1"/>
    <n v="1"/>
    <n v="1"/>
  </r>
  <r>
    <s v="OTP BANK Nyrt."/>
    <s v="DBD82220126"/>
    <s v="Diebold-Opteva 828 FL Cash Recycler"/>
    <s v="1828FH102021"/>
    <s v="3390"/>
    <s v="Füzesabony"/>
    <s v="Rákóczi út 77."/>
    <s v="ok"/>
    <n v="2"/>
    <n v="2"/>
    <x v="6"/>
    <e v="#N/A"/>
    <n v="0"/>
    <n v="2"/>
  </r>
  <r>
    <s v="OTP BANK Nyrt."/>
    <s v="DBD82220127"/>
    <s v="Diebold-Opteva 828 FL Cash Recycler"/>
    <s v="1828FH102022"/>
    <s v="9330"/>
    <s v="Kapuvár"/>
    <s v="Szent István király u. 4-6."/>
    <s v="ok"/>
    <n v="2"/>
    <n v="2"/>
    <x v="8"/>
    <n v="1"/>
    <n v="1"/>
    <n v="1"/>
  </r>
  <r>
    <s v="OTP BANK Nyrt."/>
    <s v="DBD82220128"/>
    <s v="Diebold-Opteva 828 FL Cash Recycler"/>
    <s v="1828FH102023"/>
    <s v="4700"/>
    <s v="Mátészalka"/>
    <s v="Szalkai u. 34."/>
    <s v="ok"/>
    <n v="2"/>
    <n v="2"/>
    <x v="1"/>
    <n v="1"/>
    <n v="1"/>
    <n v="1"/>
  </r>
  <r>
    <s v="OTP BANK Nyrt."/>
    <s v="DBD82220129"/>
    <s v="Diebold-Opteva 828 FL Cash Recycler"/>
    <s v="1828FH102261"/>
    <s v="1118"/>
    <s v="Budapest"/>
    <s v="Rétköz u. 5."/>
    <s v="ok"/>
    <n v="2"/>
    <n v="2"/>
    <x v="17"/>
    <n v="1"/>
    <n v="1"/>
    <n v="1"/>
  </r>
  <r>
    <s v="OTP BANK Nyrt."/>
    <s v="DBD82220130"/>
    <s v="Diebold-Opteva 828 FL Cash Recycler"/>
    <s v="1828FH102026"/>
    <s v="2083"/>
    <s v="Solymár"/>
    <s v="Szent Flórián u. 2-4."/>
    <s v="ok"/>
    <n v="2"/>
    <n v="2"/>
    <x v="0"/>
    <n v="1"/>
    <n v="1"/>
    <n v="1"/>
  </r>
  <r>
    <s v="OTP BANK Nyrt."/>
    <s v="DBD82220131"/>
    <s v="Diebold-Opteva 828 FL Cash Recycler"/>
    <s v="1828FH102027"/>
    <s v="2230"/>
    <s v="Gyömrő"/>
    <s v="Szent István u. 17."/>
    <s v="ok"/>
    <n v="2"/>
    <n v="2"/>
    <x v="10"/>
    <n v="1"/>
    <n v="1"/>
    <n v="1"/>
  </r>
  <r>
    <s v="OTP BANK Nyrt."/>
    <s v="DBD82220132"/>
    <s v="Diebold-Opteva 828 FL Cash Recycler"/>
    <s v="1828FH102028"/>
    <s v="9700"/>
    <s v="Szombathely"/>
    <s v="Király u. 10."/>
    <s v="ok"/>
    <n v="2"/>
    <n v="2"/>
    <x v="8"/>
    <n v="1"/>
    <n v="1"/>
    <n v="1"/>
  </r>
  <r>
    <s v="OTP BANK Nyrt."/>
    <s v="DBD82220133"/>
    <s v="Diebold-Opteva 828 FL Cash Recycler"/>
    <s v="1828FH102029"/>
    <s v="6230"/>
    <s v="Soltvadkert"/>
    <s v="Szentháromság u. 2."/>
    <s v="ok"/>
    <n v="2"/>
    <n v="2"/>
    <x v="7"/>
    <e v="#N/A"/>
    <n v="0"/>
    <n v="2"/>
  </r>
  <r>
    <s v="OTP BANK Nyrt."/>
    <s v="DBD82220134"/>
    <s v="Diebold-Opteva 828 FL Cash Recycler"/>
    <s v="1828FH102017"/>
    <s v="2220"/>
    <s v="Vecsés"/>
    <s v="Fő út 246-248."/>
    <s v="ok"/>
    <n v="2"/>
    <n v="2"/>
    <x v="15"/>
    <e v="#N/A"/>
    <n v="0"/>
    <n v="2"/>
  </r>
  <r>
    <s v="OTP BANK Nyrt."/>
    <s v="DBD82220135"/>
    <s v="Diebold-Opteva 828 FL Cash Recycler"/>
    <s v="1828FH102030"/>
    <s v="8060"/>
    <s v="Mór"/>
    <s v="Deák F. u. 2."/>
    <s v="ok"/>
    <n v="2"/>
    <n v="2"/>
    <x v="4"/>
    <n v="1"/>
    <n v="1"/>
    <n v="1"/>
  </r>
  <r>
    <s v="OTP BANK Nyrt."/>
    <s v="DBD82220136"/>
    <s v="Diebold-Opteva 828 FL Cash Recycler"/>
    <s v="1828FH102180"/>
    <s v="6640"/>
    <s v="Csongrád"/>
    <s v="Szentháromság tér 2-6."/>
    <s v="ok"/>
    <n v="2"/>
    <n v="2"/>
    <x v="11"/>
    <e v="#N/A"/>
    <n v="0"/>
    <n v="2"/>
  </r>
  <r>
    <s v="OTP BANK Nyrt."/>
    <s v="DBD82220137"/>
    <s v="Diebold-Opteva 828 FL Cash Recycler"/>
    <s v="1828FH102181"/>
    <s v="7130"/>
    <s v="Tolna"/>
    <s v="Kossuth L. u. 31."/>
    <s v="ok"/>
    <n v="2"/>
    <n v="2"/>
    <x v="7"/>
    <e v="#N/A"/>
    <n v="0"/>
    <n v="2"/>
  </r>
  <r>
    <s v="OTP BANK Nyrt."/>
    <s v="DBD82220138"/>
    <s v="Diebold-Opteva 828 FL Cash Recycler"/>
    <s v="1828FH102188"/>
    <s v="4220"/>
    <s v="Hajdúböszörmény"/>
    <s v="Kossuth u. 3."/>
    <s v="ok"/>
    <n v="2"/>
    <n v="2"/>
    <x v="16"/>
    <n v="1"/>
    <n v="1"/>
    <n v="1"/>
  </r>
  <r>
    <s v="OTP BANK Nyrt."/>
    <s v="DBD82220139"/>
    <s v="Diebold-Opteva 828 FL Cash Recycler"/>
    <s v="1828FH102187"/>
    <s v="2900"/>
    <s v="Komárom"/>
    <s v="Mártírok u. 23."/>
    <s v="ok"/>
    <n v="2"/>
    <n v="2"/>
    <x v="19"/>
    <e v="#N/A"/>
    <n v="0"/>
    <n v="2"/>
  </r>
  <r>
    <s v="OTP BANK Nyrt."/>
    <s v="DBD82220140"/>
    <s v="Diebold-Opteva 828 FL Cash Recycler"/>
    <s v="1828FH102186"/>
    <s v="7000"/>
    <s v="Sárbogárd"/>
    <s v="Ady E. u. 170."/>
    <s v="ok"/>
    <n v="2"/>
    <n v="2"/>
    <x v="7"/>
    <e v="#N/A"/>
    <n v="0"/>
    <n v="2"/>
  </r>
  <r>
    <s v="OTP BANK Nyrt."/>
    <s v="DBD82220141"/>
    <s v="Diebold-Opteva 828 FL Cash Recycler"/>
    <s v="1828FH102183"/>
    <s v="7500"/>
    <s v="Nagyatád"/>
    <s v="Korányi Sándor u. 6."/>
    <s v="ok"/>
    <n v="2"/>
    <n v="2"/>
    <x v="12"/>
    <n v="1"/>
    <n v="1"/>
    <n v="1"/>
  </r>
  <r>
    <s v="OTP BANK Nyrt."/>
    <s v="DBD82220142"/>
    <s v="Diebold-Opteva 828 FL Cash Recycler"/>
    <s v="1828FH102182"/>
    <s v="3534"/>
    <s v="Miskolc"/>
    <s v="Árpád u. 2."/>
    <s v="ok"/>
    <n v="2"/>
    <n v="2"/>
    <x v="2"/>
    <n v="1"/>
    <n v="1"/>
    <n v="1"/>
  </r>
  <r>
    <s v="OTP BANK Nyrt."/>
    <s v="DBD82220143"/>
    <s v="Diebold-Opteva 828 FL Cash Recycler"/>
    <s v="1828FH102185"/>
    <s v="7700"/>
    <s v="Mohács"/>
    <s v="Jókai u. 1."/>
    <s v="ok"/>
    <n v="2"/>
    <n v="2"/>
    <x v="12"/>
    <n v="1"/>
    <n v="1"/>
    <n v="1"/>
  </r>
  <r>
    <s v="OTP BANK Nyrt."/>
    <s v="DBD82220145"/>
    <s v="Diebold-Opteva 828 FL Cash Recycler"/>
    <s v="1828FH102189"/>
    <s v="9730"/>
    <s v="Kőszeg"/>
    <s v="Kossuth u. 8."/>
    <s v="ok"/>
    <n v="2"/>
    <n v="2"/>
    <x v="8"/>
    <n v="1"/>
    <n v="1"/>
    <n v="1"/>
  </r>
  <r>
    <s v="OTP BANK Nyrt."/>
    <s v="DBD82220146"/>
    <s v="Diebold-Opteva 828 FL Cash Recycler"/>
    <s v="1828FH102184"/>
    <s v="5400"/>
    <s v="Mezőtúr"/>
    <s v="Szabadság tér 29."/>
    <s v="ok"/>
    <n v="2"/>
    <n v="2"/>
    <x v="11"/>
    <e v="#N/A"/>
    <n v="0"/>
    <n v="2"/>
  </r>
  <r>
    <s v="OTP BANK Nyrt."/>
    <s v="DBD82220147"/>
    <s v="Diebold-Opteva 828 FL Cash Recycler"/>
    <s v="1828FH102191"/>
    <s v="7400"/>
    <s v="Kaposvár"/>
    <s v="Honvéd u. 55."/>
    <s v="ok"/>
    <n v="2"/>
    <n v="2"/>
    <x v="12"/>
    <n v="1"/>
    <n v="1"/>
    <n v="1"/>
  </r>
  <r>
    <s v="OTP BANK Nyrt."/>
    <s v="DBD82220148"/>
    <s v="Diebold-Opteva 828 FL Cash Recycler"/>
    <s v="1828FH102192"/>
    <s v="1117"/>
    <s v="Budapest"/>
    <s v="Hunyadi J. u. 19."/>
    <s v="ok"/>
    <n v="2"/>
    <n v="2"/>
    <x v="17"/>
    <n v="1"/>
    <n v="1"/>
    <n v="1"/>
  </r>
  <r>
    <s v="OTP BANK Nyrt."/>
    <s v="DBD82220150"/>
    <s v="Diebold-Opteva 828 FL Cash Recycler"/>
    <s v="1828FH102193"/>
    <s v="2120"/>
    <s v="Dunakeszi"/>
    <s v="Nádas u. 7."/>
    <s v="ok"/>
    <n v="2"/>
    <n v="2"/>
    <x v="14"/>
    <n v="1"/>
    <n v="1"/>
    <n v="1"/>
  </r>
  <r>
    <s v="OTP BANK Nyrt."/>
    <s v="DBD82220151"/>
    <s v="Diebold-Opteva 828 FL Cash Recycler"/>
    <s v="1828FH102194"/>
    <s v="2141"/>
    <s v="Csömör"/>
    <s v="Határ út 6."/>
    <s v="ok"/>
    <n v="2"/>
    <n v="2"/>
    <x v="10"/>
    <n v="1"/>
    <n v="1"/>
    <n v="1"/>
  </r>
  <r>
    <s v="OTP BANK Nyrt."/>
    <s v="DBD82220152"/>
    <s v="Diebold-Opteva 828 FL Cash Recycler"/>
    <s v="1828FH102195"/>
    <s v="5430"/>
    <s v="Tiszaföldvár"/>
    <s v="Kossuth L. u. 191."/>
    <s v="ok"/>
    <n v="2"/>
    <n v="2"/>
    <x v="11"/>
    <n v="1"/>
    <n v="1"/>
    <n v="1"/>
  </r>
  <r>
    <s v="OTP BANK Nyrt."/>
    <s v="DBD82220153"/>
    <s v="Diebold-Opteva 828 FL Cash Recycler"/>
    <s v="1828FH102196"/>
    <s v="2750"/>
    <s v="Nagykőrös"/>
    <s v="Szabadság tér 2."/>
    <s v="ok"/>
    <n v="2"/>
    <n v="2"/>
    <x v="11"/>
    <n v="1"/>
    <n v="1"/>
    <n v="1"/>
  </r>
  <r>
    <s v="OTP BANK Nyrt."/>
    <s v="DBD82220154"/>
    <s v="Diebold-Opteva 828 FL Cash Recycler"/>
    <s v="1828FH102197"/>
    <s v="4300"/>
    <s v="Nyírbátor"/>
    <s v="Zrínyi u. 1."/>
    <s v="ok"/>
    <n v="2"/>
    <n v="2"/>
    <x v="1"/>
    <n v="1"/>
    <n v="1"/>
    <n v="1"/>
  </r>
  <r>
    <s v="OTP BANK Nyrt."/>
    <s v="DBD82220155"/>
    <s v="Diebold-Opteva 828 FL Cash Recycler"/>
    <s v="1828FH102199"/>
    <s v="3524"/>
    <s v="Miskolc-Avas"/>
    <s v="Klapka u. 18."/>
    <s v="ok"/>
    <n v="2"/>
    <n v="2"/>
    <x v="2"/>
    <n v="1"/>
    <n v="1"/>
    <n v="1"/>
  </r>
  <r>
    <s v="OTP BANK Nyrt."/>
    <s v="DBD82220156"/>
    <s v="Diebold-Opteva 828 FL Cash Recycler"/>
    <s v="1828FH102200"/>
    <s v="6120"/>
    <s v="Kiskunmajsa"/>
    <s v="Csendes köz 1."/>
    <s v="ok"/>
    <n v="2"/>
    <n v="2"/>
    <x v="7"/>
    <n v="1"/>
    <n v="1"/>
    <n v="1"/>
  </r>
  <r>
    <s v="OTP BANK Nyrt."/>
    <s v="DBD82220157"/>
    <s v="Diebold-Opteva 828 FL Cash Recycler"/>
    <s v="1828FH102201"/>
    <s v="1148"/>
    <s v="Budapest"/>
    <s v="Nagy Lajos király útja 19-21."/>
    <s v="ok"/>
    <n v="2"/>
    <n v="2"/>
    <x v="6"/>
    <n v="1"/>
    <n v="1"/>
    <n v="1"/>
  </r>
  <r>
    <s v="OTP BANK Nyrt."/>
    <s v="DBD82220158"/>
    <s v="Diebold-Opteva 828 FL Cash Recycler"/>
    <s v="1828FH102202"/>
    <s v="5350"/>
    <s v="Tiszafüred"/>
    <s v="Piac u. 3."/>
    <s v="ok"/>
    <n v="2"/>
    <n v="2"/>
    <x v="16"/>
    <e v="#N/A"/>
    <n v="0"/>
    <n v="2"/>
  </r>
  <r>
    <s v="OTP BANK Nyrt."/>
    <s v="DBD82220159"/>
    <s v="Diebold-Opteva 828 FL Cash Recycler"/>
    <s v="1828FH102198"/>
    <s v="7300"/>
    <s v="Komló"/>
    <s v="Kossuth L. u. 95/1"/>
    <s v="ok"/>
    <n v="2"/>
    <n v="2"/>
    <x v="12"/>
    <e v="#N/A"/>
    <n v="0"/>
    <n v="2"/>
  </r>
  <r>
    <s v="OTP BANK Nyrt."/>
    <s v="DBD82220162"/>
    <s v="Diebold-Opteva 828 FL Cash Recycler"/>
    <s v="1828FH102205"/>
    <s v="4060"/>
    <s v="Balmazújváros"/>
    <s v="Veres Péter u. 3."/>
    <s v="ok"/>
    <n v="2"/>
    <n v="2"/>
    <x v="16"/>
    <n v="1"/>
    <n v="1"/>
    <n v="1"/>
  </r>
  <r>
    <s v="OTP BANK Nyrt."/>
    <s v="DBD82220163"/>
    <s v="Diebold-Opteva 828 FL Cash Recycler"/>
    <s v="1828FH102204"/>
    <s v="8640"/>
    <s v="Fonyód"/>
    <s v="Ady E. u. 25."/>
    <s v="ok"/>
    <n v="2"/>
    <n v="2"/>
    <x v="9"/>
    <n v="1"/>
    <n v="1"/>
    <n v="1"/>
  </r>
  <r>
    <s v="OTP BANK Nyrt."/>
    <s v="DBD82220164"/>
    <s v="Diebold-Opteva 828 FL Cash Recycler"/>
    <s v="1828FH102206"/>
    <s v="4100"/>
    <s v="Berettyóújfalu"/>
    <s v="Oláh Zs. u. 1."/>
    <s v="ok"/>
    <n v="2"/>
    <n v="2"/>
    <x v="16"/>
    <e v="#N/A"/>
    <n v="0"/>
    <n v="2"/>
  </r>
  <r>
    <s v="OTP BANK Nyrt."/>
    <s v="DBD82220165"/>
    <s v="Diebold-Opteva 828 FL Cash Recycler"/>
    <s v="1828FH102207"/>
    <s v="4320"/>
    <s v="Nagykálló"/>
    <s v="Árpád u. 12."/>
    <s v="ok"/>
    <n v="2"/>
    <n v="2"/>
    <x v="1"/>
    <n v="1"/>
    <n v="1"/>
    <n v="1"/>
  </r>
  <r>
    <s v="OTP BANK Nyrt."/>
    <s v="DBD82220166"/>
    <s v="Diebold-Opteva 828 FL Cash Recycler"/>
    <s v="1828FH102208"/>
    <s v="5200"/>
    <s v="Törökszentmiklós"/>
    <s v="Kossuth u. 141."/>
    <s v="ok"/>
    <n v="2"/>
    <n v="2"/>
    <x v="11"/>
    <n v="1"/>
    <n v="1"/>
    <n v="1"/>
  </r>
  <r>
    <s v="OTP BANK Nyrt."/>
    <s v="DBD82220167"/>
    <s v="Diebold-Opteva 828 FL Cash Recycler"/>
    <s v="1828FH102209"/>
    <s v="4900"/>
    <s v="Fehérgyarmat"/>
    <s v="Móricz Zs. u. 4."/>
    <s v="ok"/>
    <n v="2"/>
    <n v="2"/>
    <x v="1"/>
    <n v="1"/>
    <n v="1"/>
    <n v="1"/>
  </r>
  <r>
    <s v="OTP BANK Nyrt."/>
    <s v="DBD82220168"/>
    <s v="Diebold-Opteva 828 FL Cash Recycler"/>
    <s v="1828FH102210"/>
    <s v="5000"/>
    <s v="Szolnok"/>
    <s v="Nagy Imre krt. 2/a"/>
    <s v="ok"/>
    <n v="2"/>
    <n v="2"/>
    <x v="11"/>
    <n v="1"/>
    <n v="1"/>
    <n v="1"/>
  </r>
  <r>
    <s v="OTP BANK Nyrt."/>
    <s v="DBD82220169"/>
    <s v="Diebold-Opteva 828 FL Cash Recycler"/>
    <s v="1828FH102211"/>
    <s v="2040"/>
    <s v="Budaörs"/>
    <s v="Szabadság u. 131."/>
    <s v="ok"/>
    <n v="2"/>
    <n v="2"/>
    <x v="17"/>
    <n v="1"/>
    <n v="1"/>
    <n v="1"/>
  </r>
  <r>
    <s v="OTP BANK Nyrt."/>
    <s v="DBD82220170"/>
    <s v="Diebold-Opteva 828 FL Cash Recycler"/>
    <s v="1828FH102212"/>
    <s v="2340"/>
    <s v="Kiskunlacháza"/>
    <s v="Dózsa György út 219."/>
    <s v="ok"/>
    <n v="2"/>
    <n v="2"/>
    <x v="15"/>
    <n v="1"/>
    <n v="1"/>
    <n v="1"/>
  </r>
  <r>
    <s v="OTP BANK Nyrt."/>
    <s v="DBD82220171"/>
    <s v="Diebold-Opteva 828 FL Cash Recycler"/>
    <s v="1828FH102213"/>
    <s v="1094"/>
    <s v="Budapest"/>
    <s v="Ferenc krt. 13."/>
    <s v="ok"/>
    <n v="2"/>
    <n v="2"/>
    <x v="17"/>
    <n v="1"/>
    <n v="1"/>
    <n v="1"/>
  </r>
  <r>
    <s v="OTP BANK Nyrt."/>
    <s v="DBD82220172"/>
    <s v="Diebold-Opteva 828 FL Cash Recycler"/>
    <s v="1828FH102214"/>
    <s v="1075"/>
    <s v="Budapest"/>
    <s v="Károly krt. 25."/>
    <s v="ok"/>
    <n v="2"/>
    <n v="2"/>
    <x v="13"/>
    <n v="1"/>
    <n v="1"/>
    <n v="1"/>
  </r>
  <r>
    <s v="OTP BANK Nyrt."/>
    <s v="DBD82220173"/>
    <s v="Diebold-Opteva 828 FL Cash Recycler"/>
    <s v="1828FH102215"/>
    <s v="1039"/>
    <s v="Budapest"/>
    <s v="Heltai J. tér 9."/>
    <s v="ok"/>
    <n v="2"/>
    <n v="2"/>
    <x v="0"/>
    <n v="2"/>
    <n v="2"/>
    <n v="0"/>
  </r>
  <r>
    <s v="OTP BANK Nyrt."/>
    <s v="DBD82220175"/>
    <s v="Diebold-Opteva 828 FL Cash Recycler"/>
    <s v="1828FH102216"/>
    <s v="1203"/>
    <s v="Budapest"/>
    <s v="Bíró Mihály út 7."/>
    <s v="ok"/>
    <n v="2"/>
    <n v="2"/>
    <x v="15"/>
    <n v="1"/>
    <n v="1"/>
    <n v="1"/>
  </r>
  <r>
    <s v="OTP BANK Nyrt."/>
    <s v="DBD82220176"/>
    <s v="Diebold-Opteva 828 FL Cash Recycler"/>
    <s v="1828FH102218"/>
    <s v="1025"/>
    <s v="Budapest"/>
    <s v="Szépvölgyi út 4/b"/>
    <s v="ok"/>
    <n v="2"/>
    <n v="2"/>
    <x v="0"/>
    <e v="#N/A"/>
    <n v="0"/>
    <n v="2"/>
  </r>
  <r>
    <s v="OTP BANK Nyrt."/>
    <s v="DBD82220177"/>
    <s v="Diebold-Opteva 828 FL Cash Recycler"/>
    <s v="1828FH101743"/>
    <s v="6720"/>
    <s v="Szeged"/>
    <s v="Takaréktár u. 7."/>
    <s v="ok"/>
    <n v="2"/>
    <n v="2"/>
    <x v="3"/>
    <n v="1"/>
    <n v="1"/>
    <n v="1"/>
  </r>
  <r>
    <s v="OTP BANK Nyrt."/>
    <s v="DBD82220178"/>
    <s v="Diebold-Opteva 828 FL Cash Recycler"/>
    <s v="1828FH102220"/>
    <s v="2360"/>
    <s v="Gyál"/>
    <s v="Kőrösi út 160."/>
    <s v="ok"/>
    <n v="2"/>
    <n v="2"/>
    <x v="15"/>
    <n v="1"/>
    <n v="1"/>
    <n v="1"/>
  </r>
  <r>
    <s v="OTP BANK Nyrt."/>
    <s v="DBD82220179"/>
    <s v="Diebold-Opteva 828 FL Cash Recycler"/>
    <s v="1828FH102222"/>
    <s v="8790"/>
    <s v="Zalaszentgrót"/>
    <s v="Batthyányi u. 11."/>
    <s v="ok"/>
    <n v="2"/>
    <n v="2"/>
    <x v="9"/>
    <n v="1"/>
    <n v="1"/>
    <n v="1"/>
  </r>
  <r>
    <s v="OTP BANK Nyrt."/>
    <s v="DBD82220180"/>
    <s v="Diebold-Opteva 828 FL Cash Recycler"/>
    <s v="1828FH102224"/>
    <s v="1204"/>
    <s v="Budapest"/>
    <s v="Kossuth L. u. 44-46."/>
    <s v="ok"/>
    <n v="2"/>
    <n v="2"/>
    <x v="15"/>
    <n v="1"/>
    <n v="1"/>
    <n v="1"/>
  </r>
  <r>
    <s v="OTP BANK Nyrt."/>
    <s v="DBD82220181"/>
    <s v="Diebold-Opteva 828 FL Cash Recycler"/>
    <s v="1828FH101657"/>
    <s v="8500"/>
    <s v="Pápa"/>
    <s v="Fő tér 22."/>
    <s v="ok"/>
    <n v="2"/>
    <n v="2"/>
    <x v="8"/>
    <n v="1"/>
    <n v="1"/>
    <n v="1"/>
  </r>
  <r>
    <s v="OTP BANK Nyrt."/>
    <s v="DBD82220182"/>
    <s v="Diebold-Opteva 828 FL Cash Recycler"/>
    <s v="1828FH102219"/>
    <s v="1081"/>
    <s v="Budapest"/>
    <s v="Népszínház u. 3-5."/>
    <s v="ok"/>
    <n v="2"/>
    <n v="2"/>
    <x v="13"/>
    <n v="1"/>
    <n v="1"/>
    <n v="1"/>
  </r>
  <r>
    <s v="OTP BANK Nyrt."/>
    <s v="DBD82220183"/>
    <s v="Diebold-Opteva 828 FL Cash Recycler"/>
    <s v="1828FH102221"/>
    <s v="7621"/>
    <s v="Pécs"/>
    <s v="Rákóczi út 1."/>
    <s v="ok"/>
    <n v="2"/>
    <n v="2"/>
    <x v="12"/>
    <n v="1"/>
    <n v="1"/>
    <n v="1"/>
  </r>
  <r>
    <s v="OTP BANK Nyrt."/>
    <s v="DBD82220184"/>
    <s v="Diebold-Opteva 828 FL Cash Recycler"/>
    <s v="1828FH102223"/>
    <s v="3860"/>
    <s v="Encs"/>
    <s v="Bem József u. 1."/>
    <s v="ok"/>
    <n v="2"/>
    <n v="2"/>
    <x v="2"/>
    <e v="#N/A"/>
    <n v="0"/>
    <n v="2"/>
  </r>
  <r>
    <s v="OTP BANK Nyrt."/>
    <s v="DBD82220185"/>
    <s v="Diebold-Opteva 828 FL Cash Recycler"/>
    <s v="1828FH102225"/>
    <s v="8900"/>
    <s v="Zalaegerszeg"/>
    <s v="Kisfaludy u. 15-17."/>
    <s v="ok"/>
    <n v="2"/>
    <n v="2"/>
    <x v="9"/>
    <n v="1"/>
    <n v="1"/>
    <n v="1"/>
  </r>
  <r>
    <s v="OTP BANK Nyrt."/>
    <s v="DBD82220186"/>
    <s v="Diebold-Opteva 828 FL Cash Recycler"/>
    <s v="1828FH102226"/>
    <s v="2536"/>
    <s v="Nyergesújfalu"/>
    <s v="Kossuth Lajos u. 12."/>
    <s v="ok"/>
    <n v="2"/>
    <n v="2"/>
    <x v="0"/>
    <e v="#N/A"/>
    <n v="0"/>
    <n v="2"/>
  </r>
  <r>
    <s v="OTP BANK Nyrt."/>
    <s v="DBD82220187"/>
    <s v="Diebold-Opteva 828 FL Cash Recycler"/>
    <s v="1828FH102227"/>
    <s v="7570"/>
    <s v="Barcs"/>
    <s v="Séta tér 5."/>
    <s v="ok"/>
    <n v="2"/>
    <n v="2"/>
    <x v="12"/>
    <e v="#N/A"/>
    <n v="0"/>
    <n v="2"/>
  </r>
  <r>
    <s v="OTP BANK Nyrt."/>
    <s v="DBD82220188"/>
    <s v="Diebold-Opteva 828 FL Cash Recycler"/>
    <s v="1828FH102228"/>
    <s v="1075"/>
    <s v="Budapest"/>
    <s v="Károly krt. 25."/>
    <s v="ok"/>
    <n v="2"/>
    <n v="2"/>
    <x v="13"/>
    <n v="1"/>
    <n v="1"/>
    <n v="1"/>
  </r>
  <r>
    <s v="OTP BANK Nyrt."/>
    <s v="DBD82220189"/>
    <s v="Diebold-Opteva 828 FL Cash Recycler"/>
    <s v="1828FH102229"/>
    <s v="3630"/>
    <s v="Putnok"/>
    <s v="Kossuth u. 45."/>
    <s v="ok"/>
    <n v="2"/>
    <n v="2"/>
    <x v="2"/>
    <n v="1"/>
    <n v="1"/>
    <n v="1"/>
  </r>
  <r>
    <s v="OTP BANK Nyrt."/>
    <s v="DBD82220190"/>
    <s v="Diebold-Opteva 828 FL Cash Recycler"/>
    <s v="1828FH102230"/>
    <s v="1126"/>
    <s v="Budapest"/>
    <s v="Böszörményi út 9-11."/>
    <s v="ok"/>
    <n v="2"/>
    <n v="2"/>
    <x v="0"/>
    <n v="1"/>
    <n v="1"/>
    <n v="1"/>
  </r>
  <r>
    <s v="OTP BANK Nyrt."/>
    <s v="DBD82220191"/>
    <s v="Diebold-Opteva 828 FL Cash Recycler"/>
    <s v="1828FH102231"/>
    <s v="1124"/>
    <s v="Budapest"/>
    <s v="Apor Vilmos tér 11."/>
    <s v="ok"/>
    <n v="2"/>
    <n v="2"/>
    <x v="0"/>
    <n v="1"/>
    <n v="1"/>
    <n v="1"/>
  </r>
  <r>
    <s v="OTP BANK Nyrt."/>
    <s v="DBD82220192"/>
    <s v="Diebold-Opteva 828 FL Cash Recycler"/>
    <s v="1828FH102249"/>
    <s v="1066"/>
    <s v="Budapest"/>
    <s v="Oktogon tér 3."/>
    <s v="ok"/>
    <n v="2"/>
    <n v="2"/>
    <x v="13"/>
    <n v="1"/>
    <n v="1"/>
    <n v="1"/>
  </r>
  <r>
    <s v="OTP BANK Nyrt."/>
    <s v="DBD82220193"/>
    <s v="Diebold-Opteva 828 FL Cash Recycler"/>
    <s v="1828FH102252"/>
    <s v="3300"/>
    <s v="Eger"/>
    <s v="Széchenyi u. 2."/>
    <s v="ok"/>
    <n v="2"/>
    <n v="2"/>
    <x v="2"/>
    <n v="1"/>
    <n v="1"/>
    <n v="1"/>
  </r>
  <r>
    <s v="OTP BANK Nyrt."/>
    <s v="DBD82220194"/>
    <s v="Diebold-Opteva 828 FL Cash Recycler"/>
    <s v="1828FH102253"/>
    <s v="6720"/>
    <s v="Szeged"/>
    <s v="Aradi vértanúk tere 3."/>
    <s v="ok"/>
    <n v="2"/>
    <n v="2"/>
    <x v="3"/>
    <n v="1"/>
    <n v="1"/>
    <n v="1"/>
  </r>
  <r>
    <s v="OTP BANK Nyrt."/>
    <s v="DBD82220195"/>
    <s v="Diebold-Opteva 828 FL Cash Recycler"/>
    <s v="1828FH102254"/>
    <s v="3525"/>
    <s v="Miskolc"/>
    <s v="Rákóczi u. 1."/>
    <s v="ok"/>
    <n v="2"/>
    <n v="2"/>
    <x v="2"/>
    <e v="#N/A"/>
    <n v="0"/>
    <n v="2"/>
  </r>
  <r>
    <s v="OTP BANK Nyrt."/>
    <s v="DBD82220196"/>
    <s v="Diebold-Opteva 828 FL Cash Recycler"/>
    <s v="1828FH102256"/>
    <s v="3780"/>
    <s v="Edelény"/>
    <s v="Tóth Árpád u. 1."/>
    <s v="ok"/>
    <n v="2"/>
    <n v="2"/>
    <x v="2"/>
    <n v="1"/>
    <n v="1"/>
    <n v="1"/>
  </r>
  <r>
    <s v="OTP BANK Nyrt."/>
    <s v="DBD82220197"/>
    <s v="Diebold-Opteva 828 FL Cash Recycler"/>
    <s v="1828FH102255"/>
    <s v="9317"/>
    <s v="Szany"/>
    <s v="Ady E. u. 2."/>
    <s v="ok"/>
    <n v="2"/>
    <n v="2"/>
    <x v="8"/>
    <n v="1"/>
    <n v="1"/>
    <n v="1"/>
  </r>
  <r>
    <s v="OTP BANK Nyrt."/>
    <s v="DBD82220198"/>
    <s v="Diebold-Opteva 828 FL Cash Recycler"/>
    <s v="1828FH102257"/>
    <s v="1055"/>
    <s v="Budapest"/>
    <s v="Szent István krt. 1."/>
    <s v="ok"/>
    <n v="2"/>
    <n v="2"/>
    <x v="13"/>
    <e v="#N/A"/>
    <n v="0"/>
    <n v="2"/>
  </r>
  <r>
    <s v="OTP BANK Nyrt."/>
    <s v="DBD82220199"/>
    <s v="Diebold-Opteva 828 FL Cash Recycler"/>
    <s v="1828FH102258"/>
    <s v="1151"/>
    <s v="Budapest"/>
    <s v="Fő utca 64."/>
    <s v="ok"/>
    <n v="2"/>
    <n v="2"/>
    <x v="14"/>
    <n v="1"/>
    <n v="1"/>
    <n v="1"/>
  </r>
  <r>
    <s v="OTP BANK Nyrt."/>
    <s v="DBD82220200"/>
    <s v="Diebold-Opteva 828 FL Cash Recycler"/>
    <s v="1828FH102259"/>
    <s v="1149"/>
    <s v="Budapest"/>
    <s v="Bosnyák tér 17."/>
    <s v="ok"/>
    <n v="2"/>
    <n v="2"/>
    <x v="14"/>
    <n v="1"/>
    <n v="1"/>
    <n v="1"/>
  </r>
  <r>
    <s v="OTP BANK Nyrt."/>
    <s v="DBD82220201"/>
    <s v="Diebold-Opteva 828 FL Cash Recycler"/>
    <s v="1828FH102260"/>
    <s v="1083"/>
    <s v="Budapest"/>
    <s v="Futó u. 37-45."/>
    <s v="ok"/>
    <n v="2"/>
    <n v="2"/>
    <x v="13"/>
    <n v="1"/>
    <n v="1"/>
    <n v="1"/>
  </r>
  <r>
    <s v="OTP BANK Nyrt."/>
    <s v="DBD82220202"/>
    <s v="Diebold-Opteva 828 FL Cash Recycler"/>
    <s v="1828FH102262"/>
    <s v="2700"/>
    <s v="Cegléd"/>
    <s v="Szabadság tér 6."/>
    <s v="ok"/>
    <n v="2"/>
    <n v="2"/>
    <x v="6"/>
    <n v="1"/>
    <n v="1"/>
    <n v="1"/>
  </r>
  <r>
    <s v="OTP BANK Nyrt."/>
    <s v="DBD82220203"/>
    <s v="Diebold-Opteva 828 FL Cash Recycler"/>
    <s v="1828FH102263"/>
    <s v="2510"/>
    <s v="Dorog"/>
    <s v="Mária u. 2."/>
    <s v="ok"/>
    <n v="2"/>
    <n v="2"/>
    <x v="14"/>
    <n v="1"/>
    <n v="1"/>
    <n v="1"/>
  </r>
  <r>
    <s v="OTP BANK Nyrt."/>
    <s v="DBD82220204"/>
    <s v="Diebold-Opteva 828 FL Cash Recycler"/>
    <s v="1828FH102264"/>
    <s v="9970"/>
    <s v="Szentgotthárd"/>
    <s v="Mártírok tere 2."/>
    <s v="ok"/>
    <n v="2"/>
    <n v="2"/>
    <x v="8"/>
    <n v="1"/>
    <n v="1"/>
    <n v="1"/>
  </r>
  <r>
    <s v="OTP BANK Nyrt."/>
    <s v="DBD82220205"/>
    <s v="Diebold-Opteva 828 FL Cash Recycler"/>
    <s v="1828FH102265"/>
    <s v="3200"/>
    <s v="Gyöngyös"/>
    <s v="Fő tér 1."/>
    <s v="ok"/>
    <n v="2"/>
    <n v="2"/>
    <x v="6"/>
    <n v="1"/>
    <n v="1"/>
    <n v="1"/>
  </r>
  <r>
    <s v="OTP BANK Nyrt."/>
    <s v="DBD82220206"/>
    <s v="Diebold-Opteva 828 FL Cash Recycler"/>
    <s v="1828FH102266"/>
    <s v="2030"/>
    <s v="Érd"/>
    <s v="Budai út 24."/>
    <s v="ok"/>
    <n v="2"/>
    <n v="2"/>
    <x v="15"/>
    <n v="1"/>
    <n v="1"/>
    <n v="1"/>
  </r>
  <r>
    <s v="OTP BANK Nyrt."/>
    <s v="DBD82220208"/>
    <s v="Diebold-Opteva 828 FL Cash Recycler"/>
    <s v="1828FH102267"/>
    <s v="2071"/>
    <s v="Páty"/>
    <s v="Kossuth u. 83."/>
    <s v="ok"/>
    <n v="2"/>
    <n v="2"/>
    <x v="19"/>
    <n v="1"/>
    <n v="1"/>
    <n v="1"/>
  </r>
  <r>
    <s v="OTP BANK Nyrt."/>
    <s v="DBD82220209"/>
    <s v="Diebold-Opteva 828 FL Cash Recycler"/>
    <s v="1828FH102268"/>
    <s v="1032"/>
    <s v="Budapest"/>
    <s v="Bécsi út 154."/>
    <s v="ok"/>
    <n v="2"/>
    <n v="2"/>
    <x v="0"/>
    <n v="2"/>
    <n v="2"/>
    <n v="0"/>
  </r>
  <r>
    <s v="OTP BANK Nyrt."/>
    <s v="DBD82220210"/>
    <s v="Diebold-Opteva 828 FL Cash Recycler"/>
    <s v="1828FH102203"/>
    <s v="2092"/>
    <s v="Budakeszi"/>
    <s v="Fő u. 174."/>
    <s v="ok"/>
    <n v="2"/>
    <n v="2"/>
    <x v="0"/>
    <n v="1"/>
    <n v="1"/>
    <n v="1"/>
  </r>
  <r>
    <s v="OTP BANK Nyrt."/>
    <s v="DBD82220211"/>
    <s v="Diebold-Opteva 828 FL Cash Recycler"/>
    <s v="1828FH102190"/>
    <s v="1133"/>
    <s v="Budapest"/>
    <s v="Váci út 80."/>
    <s v="ok"/>
    <n v="2"/>
    <n v="2"/>
    <x v="14"/>
    <n v="1"/>
    <n v="1"/>
    <n v="1"/>
  </r>
  <r>
    <s v="OTP BANK Nyrt."/>
    <s v="DBD82220212"/>
    <s v="Diebold-Opteva 828 FL Cash Recycler"/>
    <s v="1828FH101653"/>
    <s v="3000"/>
    <s v="Hatvan"/>
    <s v="Kossuth L. tér 8."/>
    <s v="ok"/>
    <n v="2"/>
    <n v="2"/>
    <x v="10"/>
    <n v="1"/>
    <n v="1"/>
    <n v="1"/>
  </r>
  <r>
    <s v="OTP BANK Nyrt."/>
    <s v="DBD82220213"/>
    <s v="Diebold-Opteva 828 FL Cash Recycler"/>
    <s v="1828FH102217"/>
    <s v="7200"/>
    <s v="Dombóvár"/>
    <s v="Dombó Pál u. 3."/>
    <s v="ok"/>
    <n v="2"/>
    <n v="2"/>
    <x v="12"/>
    <n v="1"/>
    <n v="1"/>
    <n v="1"/>
  </r>
  <r>
    <s v="OTP BANK Nyrt."/>
    <s v="DBD82220214"/>
    <s v="Diebold-Opteva 828 FL Cash Recycler"/>
    <s v="1828FH101698"/>
    <s v="5300"/>
    <s v="Karcag"/>
    <s v="Kossuth L. tér 15."/>
    <s v="ok"/>
    <n v="2"/>
    <n v="2"/>
    <x v="16"/>
    <e v="#N/A"/>
    <n v="0"/>
    <n v="2"/>
  </r>
  <r>
    <s v="OTP BANK Nyrt."/>
    <s v="DBD82220215"/>
    <s v="Diebold-Opteva 828 FL Cash Recycler"/>
    <s v="1828FIP00650"/>
    <s v="9027"/>
    <s v="Győr"/>
    <s v="Budai u. 1."/>
    <s v="ok"/>
    <n v="2"/>
    <n v="2"/>
    <x v="19"/>
    <n v="1"/>
    <n v="1"/>
    <n v="1"/>
  </r>
  <r>
    <s v="OTP BANK Nyrt."/>
    <s v="DBD82220216"/>
    <s v="Diebold-Opteva 828 FL Cash Recycler"/>
    <s v="1828FIP00651"/>
    <s v="1106"/>
    <s v="Budapest"/>
    <s v="Örs vezér tere 25/a"/>
    <s v="ok"/>
    <n v="2"/>
    <n v="2"/>
    <x v="17"/>
    <n v="1"/>
    <n v="1"/>
    <n v="1"/>
  </r>
  <r>
    <s v="OTP BANK Nyrt."/>
    <s v="DBD82220217"/>
    <s v="Diebold-Opteva 828 FL Cash Recycler"/>
    <s v="1828FIP00652"/>
    <s v="1106"/>
    <s v="Budapest"/>
    <s v="Örs vezér tere 25/a"/>
    <s v="ok"/>
    <n v="2"/>
    <n v="2"/>
    <x v="17"/>
    <n v="1"/>
    <n v="1"/>
    <n v="1"/>
  </r>
  <r>
    <s v="OTP BANK Nyrt."/>
    <s v="DBD82220218"/>
    <s v="Diebold-Opteva 828 FL Cash Recycler"/>
    <s v="1828FIP00653"/>
    <s v="1152"/>
    <s v="Budapest"/>
    <s v="Szentmihályi út 131."/>
    <s v="ok"/>
    <n v="2"/>
    <n v="2"/>
    <x v="14"/>
    <n v="1"/>
    <n v="1"/>
    <n v="1"/>
  </r>
  <r>
    <s v="OTP BANK Nyrt."/>
    <s v="DBD82220219"/>
    <s v="Diebold-Opteva 828 FL Cash Recycler"/>
    <s v="1828FIP00654"/>
    <s v="3170"/>
    <s v="Szécsény"/>
    <s v="Feszty Árpád u. 1."/>
    <s v="ok"/>
    <n v="2"/>
    <n v="2"/>
    <x v="6"/>
    <n v="1"/>
    <n v="1"/>
    <n v="1"/>
  </r>
  <r>
    <s v="OTP BANK Nyrt."/>
    <s v="DBD82220220"/>
    <s v="Diebold-Opteva 828 FL Cash Recycler"/>
    <s v="1828FIP00655"/>
    <s v="3900"/>
    <s v="Szerencs"/>
    <s v="Kossuth tér 3/a"/>
    <s v="ok"/>
    <n v="2"/>
    <n v="2"/>
    <x v="1"/>
    <n v="1"/>
    <n v="1"/>
    <n v="1"/>
  </r>
  <r>
    <s v="OTP BANK Nyrt."/>
    <s v="DBD82220221"/>
    <s v="Diebold-Opteva 828 FL Cash Recycler"/>
    <s v="1828FIP00656"/>
    <s v="3980"/>
    <s v="Sátoraljaújhely"/>
    <s v="Széchenyi tér 13."/>
    <s v="ok"/>
    <n v="2"/>
    <n v="2"/>
    <x v="1"/>
    <n v="1"/>
    <n v="1"/>
    <n v="1"/>
  </r>
  <r>
    <s v="OTP BANK Nyrt."/>
    <s v="DBD82220222"/>
    <s v="Diebold-Opteva 828 FL Cash Recycler"/>
    <s v="1828FIP00657"/>
    <s v="1085"/>
    <s v="Budapest"/>
    <s v="Kálvin tér 12-13."/>
    <s v="ok"/>
    <n v="2"/>
    <n v="2"/>
    <x v="13"/>
    <e v="#N/A"/>
    <n v="0"/>
    <n v="2"/>
  </r>
  <r>
    <s v="OTP BANK Nyrt."/>
    <s v="DBD82220224"/>
    <s v="Diebold-Opteva 828 FL Cash Recycler"/>
    <s v="1828FIP00659"/>
    <s v="7633"/>
    <s v="Pécs-Újmecsekalja"/>
    <s v="Ybl u. 7/3"/>
    <s v="ok"/>
    <n v="2"/>
    <n v="2"/>
    <x v="12"/>
    <n v="1"/>
    <n v="1"/>
    <n v="1"/>
  </r>
  <r>
    <s v="OTP BANK Nyrt."/>
    <s v="DBD82220225"/>
    <s v="Diebold-Opteva 828 FL Cash Recycler"/>
    <s v="1828FIP00660"/>
    <s v="1102"/>
    <s v="Budapest"/>
    <s v="Kőrösi Csoma sétány 6."/>
    <s v="ok"/>
    <n v="2"/>
    <n v="2"/>
    <x v="17"/>
    <n v="1"/>
    <n v="1"/>
    <n v="1"/>
  </r>
  <r>
    <s v="OTP BANK Nyrt."/>
    <s v="DBD82220226"/>
    <s v="Diebold-Opteva 828 FL Cash Recycler"/>
    <s v="1828FIP00661"/>
    <s v="9400"/>
    <s v="Sopron"/>
    <s v="Teleki Pál u. 22."/>
    <s v="ok"/>
    <n v="2"/>
    <n v="2"/>
    <x v="8"/>
    <n v="1"/>
    <n v="1"/>
    <n v="1"/>
  </r>
  <r>
    <s v="OTP BANK Nyrt."/>
    <s v="DBD82220227"/>
    <s v="Diebold-Opteva 828 FL Cash Recycler"/>
    <s v="1828FIP00662"/>
    <s v="9026"/>
    <s v="Győr"/>
    <s v="Egyetem tér 1."/>
    <s v="ok"/>
    <n v="2"/>
    <n v="2"/>
    <x v="19"/>
    <n v="2"/>
    <n v="2"/>
    <n v="0"/>
  </r>
  <r>
    <s v="OTP BANK Nyrt."/>
    <s v="DBD82220228"/>
    <s v="Diebold-Opteva 828 FL Cash Recycler"/>
    <s v="1828FIP00663"/>
    <s v="8100"/>
    <s v="Várpalota"/>
    <s v="Újlaki u. 2."/>
    <s v="ok"/>
    <n v="2"/>
    <n v="2"/>
    <x v="4"/>
    <n v="1"/>
    <n v="1"/>
    <n v="1"/>
  </r>
  <r>
    <s v="OTP BANK Nyrt."/>
    <s v="DBD82220229"/>
    <s v="Diebold-Opteva 828 FL Cash Recycler"/>
    <s v="1828FIP00664"/>
    <s v="6090"/>
    <s v="Kunszentmiklós"/>
    <s v="Kálvin tér 11."/>
    <s v="ok"/>
    <n v="2"/>
    <n v="2"/>
    <x v="15"/>
    <n v="1"/>
    <n v="1"/>
    <n v="1"/>
  </r>
  <r>
    <s v="OTP BANK Nyrt."/>
    <s v="DBD82220230"/>
    <s v="Diebold-Opteva 828 FL Cash Recycler"/>
    <s v="1828FIP00665"/>
    <s v="5440"/>
    <s v="Kunszentmárton"/>
    <s v="Kossuth u. 2."/>
    <s v="ok"/>
    <n v="2"/>
    <n v="2"/>
    <x v="11"/>
    <n v="1"/>
    <n v="1"/>
    <n v="1"/>
  </r>
  <r>
    <s v="OTP BANK Nyrt."/>
    <s v="DBD82220231"/>
    <s v="Diebold-Opteva 828 FL Cash Recycler"/>
    <s v="1828FIP00666"/>
    <s v="7773"/>
    <s v="Villány"/>
    <s v="Baross G. u. 36-38."/>
    <s v="ok"/>
    <n v="2"/>
    <n v="2"/>
    <x v="12"/>
    <e v="#N/A"/>
    <n v="0"/>
    <n v="2"/>
  </r>
  <r>
    <s v="OTP BANK Nyrt."/>
    <s v="DBD82220232"/>
    <s v="Diebold-Opteva 828 FL Cash Recycler"/>
    <s v="1828FIP00667"/>
    <s v="3770"/>
    <s v="Sajószentpéter"/>
    <s v="Bethlen G. u. 1/a"/>
    <s v="ok"/>
    <n v="2"/>
    <n v="2"/>
    <x v="2"/>
    <n v="1"/>
    <n v="1"/>
    <n v="1"/>
  </r>
  <r>
    <s v="OTP BANK Nyrt."/>
    <s v="DBD82220233"/>
    <s v="Diebold-Opteva 828 FL Cash Recycler"/>
    <s v="1828FIP00668"/>
    <s v="8960"/>
    <s v="Lenti"/>
    <s v="Dózsa Gy. u. 1."/>
    <s v="ok"/>
    <n v="2"/>
    <n v="2"/>
    <x v="9"/>
    <n v="1"/>
    <n v="1"/>
    <n v="1"/>
  </r>
  <r>
    <s v="OTP BANK Nyrt."/>
    <s v="DBD82220234"/>
    <s v="Diebold-Opteva 828 FL Cash Recycler"/>
    <s v="1828FIP00669"/>
    <s v="3800"/>
    <s v="Szikszó"/>
    <s v="Kassai u. 16."/>
    <s v="ok"/>
    <n v="2"/>
    <n v="2"/>
    <x v="2"/>
    <n v="1"/>
    <n v="1"/>
    <n v="1"/>
  </r>
  <r>
    <s v="OTP BANK Nyrt."/>
    <s v="DBD82220235"/>
    <s v="Diebold-Opteva 828 FL Cash Recycler"/>
    <s v="1828FIP00670"/>
    <s v="1181"/>
    <s v="Budapest"/>
    <s v="Üllői út 377."/>
    <s v="ok"/>
    <n v="2"/>
    <n v="2"/>
    <x v="15"/>
    <n v="1"/>
    <n v="1"/>
    <n v="1"/>
  </r>
  <r>
    <s v="OTP BANK Nyrt."/>
    <s v="DBD82220236"/>
    <s v="Diebold-Opteva 828 FL Cash Recycler"/>
    <s v="1828FIP00671"/>
    <s v="8630"/>
    <s v="Balatonboglár"/>
    <s v="Dózsa Gy. u. 1."/>
    <s v="ok"/>
    <n v="2"/>
    <n v="2"/>
    <x v="9"/>
    <n v="1"/>
    <n v="1"/>
    <n v="1"/>
  </r>
  <r>
    <s v="OTP BANK Nyrt."/>
    <s v="DBD82220238"/>
    <s v="Diebold-Opteva 828 FL Cash Recycler"/>
    <s v="1828FIP00673"/>
    <s v="7090"/>
    <s v="Tamási"/>
    <s v="Szabadság út 33."/>
    <s v="ok"/>
    <n v="2"/>
    <n v="2"/>
    <x v="4"/>
    <n v="1"/>
    <n v="1"/>
    <n v="1"/>
  </r>
  <r>
    <s v="OTP BANK Nyrt."/>
    <s v="DBD82220239"/>
    <s v="Diebold-Opteva 828 FL Cash Recycler"/>
    <s v="1828FIP00674"/>
    <s v="2660"/>
    <s v="Balassagyarmat"/>
    <s v="Rákóczi fejedelem u. 44."/>
    <s v="ok"/>
    <n v="2"/>
    <n v="2"/>
    <x v="6"/>
    <e v="#N/A"/>
    <n v="0"/>
    <n v="2"/>
  </r>
  <r>
    <s v="OTP BANK Nyrt."/>
    <s v="DBD82220240"/>
    <s v="Diebold-Opteva 828 FL Cash Recycler"/>
    <s v="1828FIP00675"/>
    <s v="6087"/>
    <s v="Dunavecse"/>
    <s v="Fő u. 40."/>
    <s v="ok"/>
    <n v="2"/>
    <n v="2"/>
    <x v="7"/>
    <n v="1"/>
    <n v="1"/>
    <n v="1"/>
  </r>
  <r>
    <s v="OTP BANK Nyrt."/>
    <s v="DBD82220241"/>
    <s v="Diebold-Opteva 828 FL Cash Recycler"/>
    <s v="1828FIP00676"/>
    <s v="2730"/>
    <s v="Albertirsa"/>
    <s v="Vasút u. 4/a"/>
    <s v="ok"/>
    <n v="2"/>
    <n v="2"/>
    <x v="15"/>
    <e v="#N/A"/>
    <n v="0"/>
    <n v="2"/>
  </r>
  <r>
    <s v="OTP BANK Nyrt."/>
    <s v="DBD82220242"/>
    <s v="Diebold-Opteva 828 FL Cash Recycler"/>
    <s v="1828FIP00893"/>
    <s v="4400"/>
    <s v="Nyíregyháza"/>
    <s v="Dózsa Gy. u. 2."/>
    <s v="ok"/>
    <n v="2"/>
    <n v="2"/>
    <x v="1"/>
    <n v="1"/>
    <n v="1"/>
    <n v="1"/>
  </r>
  <r>
    <s v="OTP BANK Nyrt."/>
    <s v="DBD82220243"/>
    <s v="Diebold-Opteva 828 FL Cash Recycler"/>
    <s v="1828FIP00894"/>
    <s v="4130"/>
    <s v="Derecske"/>
    <s v="Köztársaság útja 111."/>
    <s v="ok"/>
    <n v="2"/>
    <n v="2"/>
    <x v="16"/>
    <n v="1"/>
    <n v="1"/>
    <n v="1"/>
  </r>
  <r>
    <s v="OTP BANK Nyrt."/>
    <s v="DBD82220244"/>
    <s v="Diebold-Opteva 828 FL Cash Recycler"/>
    <s v="1828FIP00895"/>
    <s v="8840"/>
    <s v="Csurgó"/>
    <s v="Széchenyi tér 21."/>
    <s v="ok"/>
    <n v="2"/>
    <n v="2"/>
    <x v="9"/>
    <n v="1"/>
    <n v="1"/>
    <n v="1"/>
  </r>
  <r>
    <s v="OTP BANK Nyrt."/>
    <s v="DBD82220245"/>
    <s v="Diebold-Opteva 828 FL Cash Recycler"/>
    <s v="1828FIP00896"/>
    <s v="1183"/>
    <s v="Budapest"/>
    <s v="Gyömrői út 79-83."/>
    <s v="ok"/>
    <n v="2"/>
    <n v="2"/>
    <x v="15"/>
    <n v="1"/>
    <n v="1"/>
    <n v="1"/>
  </r>
  <r>
    <s v="OTP BANK Nyrt."/>
    <s v="DBD82220246"/>
    <s v="Diebold-Opteva 828 FL Cash Recycler"/>
    <s v="1828FIP00897"/>
    <s v="6760"/>
    <s v="Kistelek"/>
    <s v="Kossuth L. u. 6-8."/>
    <s v="ok"/>
    <n v="2"/>
    <n v="2"/>
    <x v="3"/>
    <n v="1"/>
    <n v="1"/>
    <n v="1"/>
  </r>
  <r>
    <s v="OTP BANK Nyrt."/>
    <s v="DBD82220247"/>
    <s v="Diebold-Opteva 828 FL Cash Recycler"/>
    <s v="1828FIP00898"/>
    <s v="1221"/>
    <s v="Budapest"/>
    <s v="Kossuth L. u. 31."/>
    <s v="ok"/>
    <n v="2"/>
    <n v="2"/>
    <x v="17"/>
    <n v="1"/>
    <n v="1"/>
    <n v="1"/>
  </r>
  <r>
    <s v="OTP BANK Nyrt."/>
    <s v="DBD82220248"/>
    <s v="Diebold-Opteva 828 FL Cash Recycler"/>
    <s v="1828FIP00899"/>
    <s v="2000"/>
    <s v="Szentendre"/>
    <s v="Dumtsa J. u. 6."/>
    <s v="ok"/>
    <n v="2"/>
    <n v="2"/>
    <x v="14"/>
    <n v="1"/>
    <n v="1"/>
    <n v="1"/>
  </r>
  <r>
    <s v="OTP BANK Nyrt."/>
    <s v="DBD82220249"/>
    <s v="Diebold-Opteva 828 FL Cash Recycler"/>
    <s v="1828FIP00900"/>
    <s v="1134"/>
    <s v="Budapest"/>
    <s v="Váci út 17"/>
    <s v="ok"/>
    <n v="2"/>
    <n v="2"/>
    <x v="14"/>
    <n v="1"/>
    <n v="1"/>
    <n v="1"/>
  </r>
  <r>
    <s v="OTP BANK Nyrt."/>
    <s v="DBD82220250"/>
    <s v="Diebold-Opteva 828 FL Cash Recycler"/>
    <s v="1828FIP00901"/>
    <s v="1120"/>
    <s v="Budapest"/>
    <s v="Alkotás u. 53."/>
    <s v="ok"/>
    <n v="2"/>
    <n v="2"/>
    <x v="0"/>
    <n v="1"/>
    <n v="1"/>
    <n v="1"/>
  </r>
  <r>
    <s v="OTP BANK Nyrt."/>
    <s v="DBD82220251"/>
    <s v="Diebold-Opteva 828 FL Cash Recycler"/>
    <s v="1828FIP00902"/>
    <s v="3530"/>
    <s v="Miskolc"/>
    <s v="Uitz B. u. 6."/>
    <s v="ok"/>
    <n v="2"/>
    <n v="2"/>
    <x v="2"/>
    <n v="1"/>
    <n v="1"/>
    <n v="1"/>
  </r>
  <r>
    <s v="OTP BANK Nyrt."/>
    <s v="DBD82220252"/>
    <s v="Diebold-Opteva 828 FL Cash Recycler"/>
    <s v="1828FIP00903"/>
    <s v="1149"/>
    <s v="Budapest"/>
    <s v="Fogarasi út 15/b"/>
    <s v="ok"/>
    <n v="2"/>
    <n v="2"/>
    <x v="14"/>
    <n v="1"/>
    <n v="1"/>
    <n v="1"/>
  </r>
  <r>
    <s v="OTP BANK Nyrt."/>
    <s v="DBD82220253"/>
    <s v="Diebold-Opteva 828 FL Cash Recycler"/>
    <s v="1828FIP00904"/>
    <s v="7561"/>
    <s v="Nagybajom"/>
    <s v="Fő út 107."/>
    <s v="ok"/>
    <n v="2"/>
    <n v="2"/>
    <x v="12"/>
    <n v="1"/>
    <n v="1"/>
    <n v="1"/>
  </r>
  <r>
    <s v="OTP BANK Nyrt."/>
    <s v="DBD82220254"/>
    <s v="Diebold-Opteva 828 FL Cash Recycler"/>
    <s v="1828FIP00905"/>
    <s v="5310"/>
    <s v="Kisújszállás"/>
    <s v="Szabadság u. 6."/>
    <s v="ok"/>
    <n v="2"/>
    <n v="2"/>
    <x v="11"/>
    <n v="1"/>
    <n v="1"/>
    <n v="1"/>
  </r>
  <r>
    <s v="OTP BANK Nyrt."/>
    <s v="DBD82220255"/>
    <s v="Diebold-Opteva 828 FL Cash Recycler"/>
    <s v="1828FIP00906"/>
    <s v="9737"/>
    <s v="Bük"/>
    <s v="Kossuth L. u. 1-3."/>
    <s v="ok"/>
    <n v="2"/>
    <n v="2"/>
    <x v="8"/>
    <n v="1"/>
    <n v="1"/>
    <n v="1"/>
  </r>
  <r>
    <s v="OTP BANK Nyrt."/>
    <s v="DBD82220256"/>
    <s v="Diebold-Opteva 828 FL Cash Recycler"/>
    <s v="1828FIP00672"/>
    <s v="6050"/>
    <s v="Lajosmizse"/>
    <s v="Dózsa Gy. u. 102/a"/>
    <s v="ok"/>
    <n v="2"/>
    <n v="2"/>
    <x v="15"/>
    <e v="#N/A"/>
    <n v="0"/>
    <n v="2"/>
  </r>
  <r>
    <s v="OTP BANK Nyrt."/>
    <s v="DBD82220257"/>
    <s v="Diebold-Opteva 828 FL Cash Recycler"/>
    <s v="1828FH102003"/>
    <s v="1138"/>
    <s v="Budapest"/>
    <s v="Váci út 135-139."/>
    <s v="ok"/>
    <n v="2"/>
    <n v="2"/>
    <x v="14"/>
    <n v="1"/>
    <n v="1"/>
    <n v="1"/>
  </r>
  <r>
    <s v="OTP BANK Nyrt."/>
    <s v="DBD82220258"/>
    <s v="Diebold-Opteva 828 FL Cash Recycler"/>
    <s v="1828FIP00908"/>
    <s v="5630"/>
    <s v="Békés"/>
    <s v="Széchenyi tér 2."/>
    <s v="ok"/>
    <n v="2"/>
    <n v="2"/>
    <x v="3"/>
    <n v="1"/>
    <n v="1"/>
    <n v="1"/>
  </r>
  <r>
    <s v="OTP BANK Nyrt."/>
    <s v="DBD82220259"/>
    <s v="Diebold-Opteva 828 FL Cash Recycler"/>
    <s v="1828FIP00909"/>
    <s v="8330"/>
    <s v="Sümeg"/>
    <s v="Szent István tér 1."/>
    <s v="ok"/>
    <n v="2"/>
    <n v="2"/>
    <x v="9"/>
    <n v="1"/>
    <n v="1"/>
    <n v="1"/>
  </r>
  <r>
    <s v="OTP BANK Nyrt."/>
    <s v="DBD82220260"/>
    <s v="Diebold-Opteva 828 FL Cash Recycler"/>
    <s v="1828FIP00910"/>
    <s v="7621"/>
    <s v="Pécs"/>
    <s v="Rákóczi út 44."/>
    <s v="ok"/>
    <n v="2"/>
    <n v="2"/>
    <x v="12"/>
    <n v="1"/>
    <n v="1"/>
    <n v="1"/>
  </r>
  <r>
    <s v="OTP BANK Nyrt."/>
    <s v="DBD82220261"/>
    <s v="Diebold-Opteva 828 FL Cash Recycler"/>
    <s v="1828FH101733"/>
    <s v="4200"/>
    <s v="Hajdúszoboszló"/>
    <s v="Szilfákalja u. 4."/>
    <s v="ok"/>
    <n v="2"/>
    <n v="1"/>
    <x v="16"/>
    <e v="#N/A"/>
    <n v="0"/>
    <n v="1"/>
  </r>
  <r>
    <s v="OTP BANK Nyrt."/>
    <s v="DBD82220262"/>
    <s v="Diebold-Opteva 828 FL Cash Recycler"/>
    <s v="1828FIP00907"/>
    <s v="7624"/>
    <s v="Pécs"/>
    <s v="Budai Nagy Antal utca 1."/>
    <s v="ok"/>
    <n v="2"/>
    <n v="1"/>
    <x v="12"/>
    <e v="#N/A"/>
    <n v="0"/>
    <n v="1"/>
  </r>
  <r>
    <s v="OTP BANK Nyrt."/>
    <s v="DBD82220263"/>
    <s v="Diebold-Opteva 828 FL Cash Recycler"/>
    <s v="1828FIP00911"/>
    <s v="6080"/>
    <s v="Szabadszállás"/>
    <s v="Kálvin tér 4."/>
    <s v="ok"/>
    <n v="2"/>
    <n v="1"/>
    <x v="7"/>
    <e v="#N/A"/>
    <n v="0"/>
    <n v="1"/>
  </r>
  <r>
    <s v="OTP BANK Nyrt."/>
    <s v="DBD82220264"/>
    <s v="Diebold-Opteva 828 FL Cash Recycler"/>
    <s v="1828FIP00912"/>
    <s v="2030"/>
    <s v="Érd"/>
    <s v="Iparos u. 5."/>
    <s v="ok"/>
    <n v="2"/>
    <n v="1"/>
    <x v="15"/>
    <e v="#N/A"/>
    <n v="0"/>
    <n v="1"/>
  </r>
  <r>
    <s v="OTP BANK Nyrt."/>
    <s v="DBD82220265"/>
    <s v="Diebold-Opteva 828 FL Cash Recycler"/>
    <s v="1828FIP00658"/>
    <s v="2060"/>
    <s v="Bicske"/>
    <s v="Kossuth tér 16."/>
    <s v="ok"/>
    <n v="2"/>
    <n v="1"/>
    <x v="19"/>
    <e v="#N/A"/>
    <n v="0"/>
    <n v="1"/>
  </r>
  <r>
    <s v="OTP BANK Nyrt."/>
    <s v="DBD82220266"/>
    <s v="Diebold-Opteva 828 FL Cash Recycler"/>
    <s v="1828FIP00913"/>
    <s v="9431"/>
    <s v="Fertőd"/>
    <s v="Fő u. 9."/>
    <s v="ok"/>
    <n v="2"/>
    <n v="1"/>
    <x v="8"/>
    <e v="#N/A"/>
    <n v="0"/>
    <n v="1"/>
  </r>
  <r>
    <s v="OTP BANK Nyrt."/>
    <s v="DBD82220267"/>
    <s v="Diebold-Opteva 828 FL Cash Recycler"/>
    <s v="1828FIP00914"/>
    <s v="1146"/>
    <s v="Budapest"/>
    <s v="Thököly út 102/b"/>
    <s v="ok"/>
    <n v="2"/>
    <n v="1"/>
    <x v="14"/>
    <e v="#N/A"/>
    <n v="0"/>
    <n v="1"/>
  </r>
  <r>
    <s v="OTP BANK Nyrt."/>
    <s v="DBD82220268"/>
    <s v="Diebold-Opteva 828 FL Cash Recycler"/>
    <s v="1828FIP00966"/>
    <s v="8360"/>
    <s v="Keszthely"/>
    <s v="Ady E. u. 2."/>
    <s v="ok"/>
    <n v="2"/>
    <n v="1"/>
    <x v="9"/>
    <e v="#N/A"/>
    <n v="0"/>
    <n v="1"/>
  </r>
  <r>
    <s v="Sopron Bank Zrt."/>
    <s v="S6T17600"/>
    <s v="Diebold-Opteva 760 ATM Outdoor"/>
    <s v="1760R3320573"/>
    <s v="9700"/>
    <s v="Szombathely"/>
    <s v="Király u.2"/>
    <s v="ok"/>
    <n v="2"/>
    <n v="2"/>
    <x v="8"/>
    <n v="1"/>
    <n v="1"/>
    <n v="1"/>
  </r>
  <r>
    <s v="Sopron Bank Zrt."/>
    <s v="S6T17602"/>
    <s v="OPT562 1GIG-DVD-UPS-LAN-A6-CEN3(4HIGH)"/>
    <s v="1562RH120081"/>
    <s v="8000"/>
    <s v="Székesfehérvár"/>
    <s v="Budai u. 9-11."/>
    <s v="ok"/>
    <n v="2"/>
    <n v="2"/>
    <x v="4"/>
    <n v="1"/>
    <n v="1"/>
    <n v="1"/>
  </r>
  <r>
    <s v="Sopron Bank Zrt."/>
    <s v="S6T17603"/>
    <s v="Diebold-Opteva 760 ATM Outdoor"/>
    <s v="1760RCF00493"/>
    <s v="9730"/>
    <s v="Kőszeg"/>
    <s v="Várkörút 6."/>
    <s v="ok"/>
    <n v="2"/>
    <n v="2"/>
    <x v="8"/>
    <n v="1"/>
    <n v="1"/>
    <n v="1"/>
  </r>
  <r>
    <s v="Sopron Bank Zrt."/>
    <s v="S6T17604"/>
    <s v="Diebold-Opteva 720 ATM Indoor"/>
    <s v="1720FH120201"/>
    <s v="9400"/>
    <s v="Sopron"/>
    <s v="Határdomb u. 1-2."/>
    <s v="ok"/>
    <n v="2"/>
    <n v="2"/>
    <x v="8"/>
    <e v="#N/A"/>
    <n v="0"/>
    <n v="2"/>
  </r>
  <r>
    <s v="Sopron Bank Zrt."/>
    <s v="S6T17606"/>
    <s v="Diebold-Opteva 760 ATM Outdoor"/>
    <s v="1760RCF00115"/>
    <s v="8230"/>
    <s v="Balatonfüred"/>
    <s v="Arácsi u.16."/>
    <s v="ok"/>
    <n v="2"/>
    <n v="2"/>
    <x v="4"/>
    <e v="#N/A"/>
    <n v="0"/>
    <n v="2"/>
  </r>
  <r>
    <s v="Sopron Bank Zrt."/>
    <s v="S6T17609"/>
    <s v="Diebold-Opteva 760 ATM Outdoor"/>
    <s v="1760RH122048"/>
    <s v="1023"/>
    <s v="Budapest"/>
    <s v="Lajos u. 4."/>
    <s v="ok"/>
    <n v="2"/>
    <n v="2"/>
    <x v="0"/>
    <n v="1"/>
    <n v="1"/>
    <n v="1"/>
  </r>
  <r>
    <s v="Sopron Bank Zrt."/>
    <s v="S6T17611"/>
    <s v="Diebold-Opteva 760 ATM Outdoor"/>
    <s v="1760RH122049"/>
    <s v="9022"/>
    <s v="Győr"/>
    <s v="Kisfaludy u. 44."/>
    <s v="ok"/>
    <n v="2"/>
    <n v="2"/>
    <x v="19"/>
    <n v="1"/>
    <n v="1"/>
    <n v="1"/>
  </r>
  <r>
    <s v="Sopron Bank Zrt."/>
    <s v="S6T17612"/>
    <s v="OPT562 1GIG-DVD-UPS-LAN-A6-CEN3(4HIGH)"/>
    <s v="1562RH134182"/>
    <s v="1051"/>
    <s v="Budapest"/>
    <s v="Bajcsy Zsilinszky út 12."/>
    <s v="ok"/>
    <n v="2"/>
    <n v="2"/>
    <x v="13"/>
    <n v="1"/>
    <n v="1"/>
    <n v="1"/>
  </r>
  <r>
    <s v="Sopron Bank Zrt."/>
    <s v="S6T17613"/>
    <s v="Diebold-Opteva 760 ATM Outdoor"/>
    <s v="1760RH122843"/>
    <s v="9025"/>
    <s v="Győr"/>
    <s v="Csipkegyári utca 11."/>
    <s v="ok"/>
    <n v="2"/>
    <n v="2"/>
    <x v="19"/>
    <e v="#N/A"/>
    <n v="0"/>
    <n v="2"/>
  </r>
  <r>
    <s v="Sopron Bank Zrt."/>
    <s v="S6T17614"/>
    <s v="Diebold-Opteva 760 ATM Outdoor"/>
    <s v="1760RH122801"/>
    <s v="8200"/>
    <s v="Veszprém"/>
    <s v="Szabadság tér 8."/>
    <s v="ok"/>
    <n v="2"/>
    <n v="2"/>
    <x v="4"/>
    <e v="#N/A"/>
    <n v="0"/>
    <n v="2"/>
  </r>
  <r>
    <s v="Sopron Bank Zrt."/>
    <s v="S6T17615"/>
    <s v="Diebold-Opteva 760 ATM Outdoor"/>
    <s v="1760RH123967"/>
    <s v="8360"/>
    <s v="Keszthely"/>
    <s v="Rákóczi u. 3."/>
    <s v="ok"/>
    <n v="2"/>
    <n v="2"/>
    <x v="9"/>
    <n v="1"/>
    <n v="1"/>
    <n v="1"/>
  </r>
  <r>
    <s v="Sopron Bank Zrt."/>
    <s v="S6T17617"/>
    <s v="Diebold-Opteva 760 ATM Outdoor"/>
    <s v="1760RH126602"/>
    <s v="9400"/>
    <s v="Sopron"/>
    <s v="Kossuth Lajos u. 19."/>
    <s v="ok"/>
    <n v="2"/>
    <n v="2"/>
    <x v="8"/>
    <n v="1"/>
    <n v="1"/>
    <n v="1"/>
  </r>
  <r>
    <s v="Sopron Bank Zrt."/>
    <s v="S6T17618"/>
    <s v="Diebold-Opteva 760 ATM Outdoor"/>
    <s v="1760RH126795"/>
    <s v="8900"/>
    <s v="Zalaegerszeg"/>
    <s v="Kossuth L. u. 29-31."/>
    <s v="ok"/>
    <n v="2"/>
    <n v="2"/>
    <x v="9"/>
    <e v="#N/A"/>
    <n v="0"/>
    <n v="2"/>
  </r>
  <r>
    <s v="UniCredit Bank Hungary Zrt."/>
    <s v="CA001_ENA"/>
    <s v="Diebold-Opteva 720 ATM Indoor"/>
    <s v="1720FH122125"/>
    <s v="1054"/>
    <s v="Budapest"/>
    <s v="Szabadság tér 5-6."/>
    <s v="ok"/>
    <n v="0"/>
    <n v="0"/>
    <x v="13"/>
    <e v="#N/A"/>
    <n v="0"/>
    <n v="0"/>
  </r>
  <r>
    <s v="UniCredit Bank Hungary Zrt."/>
    <s v="CA01"/>
    <s v="Diebold-Opteva 520 ATM Indoor"/>
    <s v="1520FH120025"/>
    <s v="1139"/>
    <s v="Budapest"/>
    <s v="Fáy u. 27."/>
    <s v="ok"/>
    <n v="2"/>
    <n v="2"/>
    <x v="14"/>
    <n v="1"/>
    <n v="1"/>
    <n v="1"/>
  </r>
  <r>
    <s v="UniCredit Bank Hungary Zrt."/>
    <s v="CA02"/>
    <s v="Diebold-Opteva 520 ATM Indoor"/>
    <s v="1520FH120010"/>
    <s v="2330"/>
    <s v="Dunaharaszti"/>
    <s v="Némedi út 104."/>
    <s v="ok"/>
    <n v="2"/>
    <n v="2"/>
    <x v="15"/>
    <n v="1"/>
    <n v="1"/>
    <n v="1"/>
  </r>
  <r>
    <s v="UniCredit Bank Hungary Zrt."/>
    <s v="CA03_ENA"/>
    <s v="Diebold-Opteva 760 ATM Outdoor"/>
    <s v="1760RH125342"/>
    <s v="1184"/>
    <s v="Budapest"/>
    <s v="Üllői út 400."/>
    <s v="ok"/>
    <n v="2"/>
    <n v="2"/>
    <x v="15"/>
    <n v="1"/>
    <n v="1"/>
    <n v="1"/>
  </r>
  <r>
    <s v="UniCredit Bank Hungary Zrt."/>
    <s v="CA04"/>
    <s v="Diebold-Opteva 522 Lobby Cash Dispenser"/>
    <s v="1522FH100283"/>
    <s v="1031"/>
    <s v="Budapest"/>
    <s v="Záhony u. 7."/>
    <s v="ok"/>
    <n v="2"/>
    <n v="2"/>
    <x v="0"/>
    <n v="1"/>
    <n v="1"/>
    <n v="1"/>
  </r>
  <r>
    <s v="UniCredit Bank Hungary Zrt."/>
    <s v="CA05"/>
    <s v="OPT562 1GIG-DVD-UPS-LAN-A6-CEN3(4HIGH)"/>
    <s v="1562RH139003"/>
    <s v="4024"/>
    <s v="Debrecen"/>
    <s v="Kossuth u. 25-27."/>
    <s v="ok"/>
    <n v="2"/>
    <n v="2"/>
    <x v="16"/>
    <n v="1"/>
    <n v="1"/>
    <n v="1"/>
  </r>
  <r>
    <s v="UniCredit Bank Hungary Zrt."/>
    <s v="CA06_ENA"/>
    <s v="Diebold-Opteva 720 ATM Indoor"/>
    <s v="1720FH121785"/>
    <s v="2040"/>
    <s v="Budaörs"/>
    <s v="Szabadság u. 49."/>
    <s v="ok"/>
    <n v="2"/>
    <n v="2"/>
    <x v="17"/>
    <n v="1"/>
    <n v="1"/>
    <n v="1"/>
  </r>
  <r>
    <s v="UniCredit Bank Hungary Zrt."/>
    <s v="CA07"/>
    <s v="Diebold-Opteva 520 ATM Indoor"/>
    <s v="1520FH123069"/>
    <s v="2040"/>
    <s v="Budaörs"/>
    <s v="Szabadság u. 49."/>
    <s v="ok"/>
    <n v="2"/>
    <n v="2"/>
    <x v="17"/>
    <n v="1"/>
    <n v="1"/>
    <n v="1"/>
  </r>
  <r>
    <s v="UniCredit Bank Hungary Zrt."/>
    <s v="CA08_ENA"/>
    <s v="Diebold-Opteva 720 ATM Indoor"/>
    <s v="1720FH122348"/>
    <s v="1054"/>
    <s v="Budapest"/>
    <s v="Alkotmány u. 4."/>
    <s v="ok"/>
    <n v="2"/>
    <n v="2"/>
    <x v="13"/>
    <n v="1"/>
    <n v="1"/>
    <n v="1"/>
  </r>
  <r>
    <s v="UniCredit Bank Hungary Zrt."/>
    <s v="CA09"/>
    <s v="Diebold-Opteva 520 ATM Indoor"/>
    <s v="1520FH123082"/>
    <s v="6721"/>
    <s v="Szeged"/>
    <s v="Kossuth Lajos sgt. 18-20."/>
    <s v="ok"/>
    <n v="2"/>
    <n v="2"/>
    <x v="3"/>
    <n v="1"/>
    <n v="1"/>
    <n v="1"/>
  </r>
  <r>
    <s v="UniCredit Bank Hungary Zrt."/>
    <s v="CA10"/>
    <s v="Diebold-Opteva 560 ATM Outdoor"/>
    <s v="1560R3302910"/>
    <s v="6000"/>
    <s v="Kecskemét"/>
    <s v="Külső-Szegedi út 6."/>
    <s v="ok"/>
    <n v="2"/>
    <n v="2"/>
    <x v="11"/>
    <n v="1"/>
    <n v="1"/>
    <n v="1"/>
  </r>
  <r>
    <s v="UniCredit Bank Hungary Zrt."/>
    <s v="CA100"/>
    <s v="Diebold-Opteva 522 Lobby Cash Dispenser"/>
    <s v="1522FH104894"/>
    <s v="1068"/>
    <s v="Budapest"/>
    <s v="Dózsa György út 84/b"/>
    <s v="ok"/>
    <n v="2"/>
    <n v="2"/>
    <x v="13"/>
    <n v="1"/>
    <n v="1"/>
    <n v="1"/>
  </r>
  <r>
    <s v="UniCredit Bank Hungary Zrt."/>
    <s v="CA101_ENA"/>
    <s v="Diebold-Opteva 720 ATM Indoor"/>
    <s v="1720FH122664"/>
    <s v="1188"/>
    <s v="Budapest"/>
    <s v="Nagykőrösi út 49."/>
    <s v="ok"/>
    <n v="2"/>
    <n v="2"/>
    <x v="15"/>
    <n v="1"/>
    <n v="1"/>
    <n v="1"/>
  </r>
  <r>
    <s v="UniCredit Bank Hungary Zrt."/>
    <s v="CA102"/>
    <s v="OPT562 1GIG-DVD-UPS-LAN-A6-CEN3(4HIGH)"/>
    <s v="1562RCF00039"/>
    <s v="2144"/>
    <s v="Kerepes"/>
    <s v="Szabadság útja 1/e"/>
    <s v="ok"/>
    <n v="2"/>
    <n v="2"/>
    <x v="10"/>
    <n v="1"/>
    <n v="1"/>
    <n v="1"/>
  </r>
  <r>
    <s v="UniCredit Bank Hungary Zrt."/>
    <s v="CA103_ENA"/>
    <s v="Diebold-Opteva 720 ATM Indoor"/>
    <s v="1720FH122115"/>
    <s v="2100"/>
    <s v="Gödöllő"/>
    <s v="Dózsa György út 13."/>
    <s v="ok"/>
    <n v="2"/>
    <n v="2"/>
    <x v="10"/>
    <n v="1"/>
    <n v="1"/>
    <n v="1"/>
  </r>
  <r>
    <s v="UniCredit Bank Hungary Zrt."/>
    <s v="CA104_ENA"/>
    <s v="Diebold-Opteva 720 ATM Indoor"/>
    <s v="1720FH122665"/>
    <s v="4026"/>
    <s v="Debrecen"/>
    <s v="Csapó u. 30."/>
    <s v="ok"/>
    <n v="2"/>
    <n v="2"/>
    <x v="16"/>
    <n v="1"/>
    <n v="1"/>
    <n v="1"/>
  </r>
  <r>
    <s v="UniCredit Bank Hungary Zrt."/>
    <s v="CA105_ENA"/>
    <s v="Diebold-Opteva 720 ATM Indoor"/>
    <s v="1720FH122168"/>
    <s v="2800"/>
    <s v="Tatabánya"/>
    <s v="Győri út 7-9."/>
    <s v="ok"/>
    <n v="2"/>
    <n v="2"/>
    <x v="19"/>
    <n v="1"/>
    <n v="1"/>
    <n v="1"/>
  </r>
  <r>
    <s v="UniCredit Bank Hungary Zrt."/>
    <s v="CA106"/>
    <s v="Diebold-Opteva 520 ATM Indoor"/>
    <s v="1520FH120017"/>
    <s v="2800"/>
    <s v="Tatabánya"/>
    <s v="Győri út 7-9."/>
    <s v="ok"/>
    <n v="2"/>
    <n v="2"/>
    <x v="19"/>
    <n v="1"/>
    <n v="1"/>
    <n v="1"/>
  </r>
  <r>
    <s v="UniCredit Bank Hungary Zrt."/>
    <s v="CA107"/>
    <s v="Diebold-Opteva 520 ATM Indoor"/>
    <s v="1520FH121681"/>
    <s v="2800"/>
    <s v="Tatabánya"/>
    <s v="Bláthy Ottó u. 1."/>
    <s v="ok"/>
    <n v="2"/>
    <n v="2"/>
    <x v="19"/>
    <n v="1"/>
    <n v="1"/>
    <n v="1"/>
  </r>
  <r>
    <s v="UniCredit Bank Hungary Zrt."/>
    <s v="CA108_ENA"/>
    <s v="Diebold-Opteva 720 ATM Indoor"/>
    <s v="1720FH123158"/>
    <s v="1141"/>
    <s v="Budapest"/>
    <s v="Nagy Lajos király útja 214."/>
    <s v="ok"/>
    <n v="2"/>
    <n v="2"/>
    <x v="6"/>
    <n v="1"/>
    <n v="1"/>
    <n v="1"/>
  </r>
  <r>
    <s v="UniCredit Bank Hungary Zrt."/>
    <s v="CA109"/>
    <s v="OPT562 1GIG-DVD-UPS-LAN-A6-CEN3(4HIGH)"/>
    <s v="1562RCF00957"/>
    <s v="8900"/>
    <s v="Zalaegerszeg"/>
    <s v="Kovács Károly tér 1/a."/>
    <s v="ok"/>
    <n v="2"/>
    <n v="2"/>
    <x v="9"/>
    <n v="1"/>
    <n v="1"/>
    <n v="1"/>
  </r>
  <r>
    <s v="UniCredit Bank Hungary Zrt."/>
    <s v="CA11_ENA"/>
    <s v="Diebold-Opteva 760 ATM Outdoor"/>
    <s v="1760RH124784"/>
    <s v="9021"/>
    <s v="Győr"/>
    <s v="Árpád u. 45."/>
    <s v="ok"/>
    <n v="2"/>
    <n v="2"/>
    <x v="19"/>
    <n v="1"/>
    <n v="1"/>
    <n v="1"/>
  </r>
  <r>
    <s v="UniCredit Bank Hungary Zrt."/>
    <s v="CA110"/>
    <s v="Diebold-Opteva 520 ATM Indoor"/>
    <s v="1520FH120011"/>
    <s v="2220"/>
    <s v="Vecsés"/>
    <s v="Fő u. 246-248."/>
    <s v="ok"/>
    <n v="2"/>
    <n v="2"/>
    <x v="10"/>
    <n v="1"/>
    <n v="1"/>
    <n v="1"/>
  </r>
  <r>
    <s v="UniCredit Bank Hungary Zrt."/>
    <s v="CA111"/>
    <s v="Diebold-Opteva 520 ATM Indoor"/>
    <s v="1520FH121677"/>
    <s v="3300"/>
    <s v="Eger"/>
    <s v="Kistályai út 2."/>
    <s v="ok"/>
    <n v="2"/>
    <n v="2"/>
    <x v="2"/>
    <n v="1"/>
    <n v="1"/>
    <n v="1"/>
  </r>
  <r>
    <s v="UniCredit Bank Hungary Zrt."/>
    <s v="CA113"/>
    <s v="Diebold-Opteva 520 ATM Indoor"/>
    <s v="1520FH121679"/>
    <s v="3300"/>
    <s v="Eger"/>
    <s v="Törvényház u. 4."/>
    <s v="ok"/>
    <n v="2"/>
    <n v="2"/>
    <x v="2"/>
    <n v="1"/>
    <n v="1"/>
    <n v="1"/>
  </r>
  <r>
    <s v="UniCredit Bank Hungary Zrt."/>
    <s v="CA114_ENA"/>
    <s v="Diebold-Opteva 720 ATM Indoor"/>
    <s v="1720FH122666"/>
    <s v="8600"/>
    <s v="Siófok"/>
    <s v="Fő u. 174-176."/>
    <s v="ok"/>
    <n v="2"/>
    <n v="2"/>
    <x v="4"/>
    <n v="1"/>
    <n v="1"/>
    <n v="1"/>
  </r>
  <r>
    <s v="UniCredit Bank Hungary Zrt."/>
    <s v="CA115_ENA"/>
    <s v="Diebold-Opteva 720 ATM Indoor"/>
    <s v="1720FH122663"/>
    <s v="1039"/>
    <s v="Budapest"/>
    <s v="Heltai Jenő tér 15."/>
    <s v="ok"/>
    <n v="2"/>
    <n v="2"/>
    <x v="0"/>
    <n v="1"/>
    <n v="1"/>
    <n v="1"/>
  </r>
  <r>
    <s v="UniCredit Bank Hungary Zrt."/>
    <s v="CA116"/>
    <s v="Diebold-Opteva 520 ATM Indoor"/>
    <s v="1520FH122734"/>
    <s v="8600"/>
    <s v="Siófok"/>
    <s v="Vak Bottyán u. 27"/>
    <s v="ok"/>
    <n v="2"/>
    <n v="2"/>
    <x v="4"/>
    <n v="1"/>
    <n v="1"/>
    <n v="1"/>
  </r>
  <r>
    <s v="UniCredit Bank Hungary Zrt."/>
    <s v="CA117"/>
    <s v="Diebold-Opteva 520 ATM Indoor"/>
    <s v="1520FH122733"/>
    <s v="2400"/>
    <s v="Dunaújváros"/>
    <s v="Aranyvölgyi út 6."/>
    <s v="ok"/>
    <n v="2"/>
    <n v="2"/>
    <x v="7"/>
    <n v="1"/>
    <n v="1"/>
    <n v="1"/>
  </r>
  <r>
    <s v="UniCredit Bank Hungary Zrt."/>
    <s v="CA118"/>
    <s v="Diebold-Opteva 520 ATM Indoor"/>
    <s v="1520FH123072"/>
    <s v="1239"/>
    <s v="Budapest"/>
    <s v="Európa u. 6."/>
    <s v="ok"/>
    <n v="2"/>
    <n v="2"/>
    <x v="15"/>
    <n v="1"/>
    <n v="1"/>
    <n v="1"/>
  </r>
  <r>
    <s v="UniCredit Bank Hungary Zrt."/>
    <s v="CA119_ENA"/>
    <s v="Diebold-Opteva 720 ATM Indoor"/>
    <s v="1720FH122167"/>
    <s v="2120"/>
    <s v="Dunakeszi"/>
    <s v="Fő út 70."/>
    <s v="ok"/>
    <n v="2"/>
    <n v="2"/>
    <x v="14"/>
    <n v="1"/>
    <n v="1"/>
    <n v="1"/>
  </r>
  <r>
    <s v="UniCredit Bank Hungary Zrt."/>
    <s v="CA12_ENA"/>
    <s v="Diebold-Opteva 720 ATM Indoor"/>
    <s v="1720FH123163"/>
    <s v="1036"/>
    <s v="Budapest"/>
    <s v="Lajos u. 48-66."/>
    <s v="ok"/>
    <n v="2"/>
    <n v="2"/>
    <x v="0"/>
    <n v="1"/>
    <n v="1"/>
    <n v="1"/>
  </r>
  <r>
    <s v="UniCredit Bank Hungary Zrt."/>
    <s v="CA120_ENA"/>
    <s v="Diebold-Opteva 720 ATM Indoor"/>
    <s v="1720FH121856"/>
    <s v="4400"/>
    <s v="Nyíregyháza"/>
    <s v="Nagy Imre tér 1."/>
    <s v="ok"/>
    <n v="2"/>
    <n v="2"/>
    <x v="1"/>
    <n v="1"/>
    <n v="1"/>
    <n v="1"/>
  </r>
  <r>
    <s v="UniCredit Bank Hungary Zrt."/>
    <s v="CA121"/>
    <s v="Diebold-Opteva 520 ATM Indoor"/>
    <s v="1520FH122651"/>
    <s v="4400"/>
    <s v="Nyíregyháza"/>
    <s v="Nagy Imre tér 1."/>
    <s v="ok"/>
    <n v="2"/>
    <n v="2"/>
    <x v="1"/>
    <n v="1"/>
    <n v="1"/>
    <n v="1"/>
  </r>
  <r>
    <s v="UniCredit Bank Hungary Zrt."/>
    <s v="CA125_ENA"/>
    <s v="Diebold-Opteva 760 ATM Outdoor"/>
    <s v="1760RH132286"/>
    <s v="5700"/>
    <s v="Gyula"/>
    <s v="Városház u. 12."/>
    <s v="ok"/>
    <n v="2"/>
    <n v="2"/>
    <x v="3"/>
    <n v="1"/>
    <n v="1"/>
    <n v="1"/>
  </r>
  <r>
    <s v="UniCredit Bank Hungary Zrt."/>
    <s v="CA126"/>
    <s v="Diebold-Opteva 520 ATM Indoor"/>
    <s v="1520FH124917"/>
    <s v="2360"/>
    <s v="Gyál"/>
    <s v="Pro Logis Üzleti Park 3-as épület"/>
    <s v="ok"/>
    <n v="2"/>
    <n v="2"/>
    <x v="15"/>
    <n v="1"/>
    <n v="1"/>
    <n v="1"/>
  </r>
  <r>
    <s v="UniCredit Bank Hungary Zrt."/>
    <s v="CA127_ENA"/>
    <s v="Diebold-Opteva 720 ATM Indoor"/>
    <s v="1720FH122164"/>
    <s v="1103"/>
    <s v="Budapest"/>
    <s v="Gyömrői út 99."/>
    <s v="ok"/>
    <n v="2"/>
    <n v="2"/>
    <x v="17"/>
    <n v="1"/>
    <n v="1"/>
    <n v="1"/>
  </r>
  <r>
    <s v="UniCredit Bank Hungary Zrt."/>
    <s v="CA128"/>
    <s v="Diebold-Opteva 520 ATM Indoor"/>
    <s v="1520FH122727"/>
    <s v="1103"/>
    <s v="Budapest"/>
    <s v="Gyömrői út 24."/>
    <s v="ok"/>
    <n v="2"/>
    <n v="2"/>
    <x v="17"/>
    <n v="1"/>
    <n v="1"/>
    <n v="1"/>
  </r>
  <r>
    <s v="UniCredit Bank Hungary Zrt."/>
    <s v="CA129"/>
    <s v="OPT562 1GIG-DVD-UPS-LAN-A6-CEN3(4HIGH)"/>
    <s v="1562RH128272"/>
    <s v="2510"/>
    <s v="Dorog"/>
    <s v="Esztergomi út 27."/>
    <s v="ok"/>
    <n v="2"/>
    <n v="2"/>
    <x v="14"/>
    <n v="1"/>
    <n v="1"/>
    <n v="1"/>
  </r>
  <r>
    <s v="UniCredit Bank Hungary Zrt."/>
    <s v="CA131_ENA"/>
    <s v="Diebold-Opteva 720 ATM Indoor"/>
    <s v="1720FH123159"/>
    <s v="8360"/>
    <s v="Keszthely"/>
    <s v="Kossuth Lajos u. 41."/>
    <s v="ok"/>
    <n v="2"/>
    <n v="2"/>
    <x v="9"/>
    <n v="1"/>
    <n v="1"/>
    <n v="1"/>
  </r>
  <r>
    <s v="UniCredit Bank Hungary Zrt."/>
    <s v="CA132_ENA"/>
    <s v="Diebold-Opteva 720 ATM Indoor"/>
    <s v="1720FH123160"/>
    <s v="8500"/>
    <s v="Pápa"/>
    <s v="Fő u. 26."/>
    <s v="ok"/>
    <n v="2"/>
    <n v="2"/>
    <x v="8"/>
    <e v="#N/A"/>
    <n v="0"/>
    <n v="2"/>
  </r>
  <r>
    <s v="UniCredit Bank Hungary Zrt."/>
    <s v="CA133_ENA"/>
    <s v="Diebold-Opteva 720 ATM Indoor"/>
    <s v="1720FH123161"/>
    <s v="6800"/>
    <s v="Hódmezővásárhely"/>
    <s v="Hódtó u. 17."/>
    <s v="ok"/>
    <n v="2"/>
    <n v="2"/>
    <x v="3"/>
    <n v="1"/>
    <n v="1"/>
    <n v="1"/>
  </r>
  <r>
    <s v="UniCredit Bank Hungary Zrt."/>
    <s v="CA134_ENA"/>
    <s v="Diebold-Opteva 720 ATM Indoor"/>
    <s v="1720FH123162"/>
    <s v="6600"/>
    <s v="Szentes"/>
    <s v="Kossuth Lajos u. 8."/>
    <s v="ok"/>
    <n v="2"/>
    <n v="2"/>
    <x v="11"/>
    <n v="1"/>
    <n v="1"/>
    <n v="1"/>
  </r>
  <r>
    <s v="UniCredit Bank Hungary Zrt."/>
    <s v="CA135"/>
    <s v="Diebold-Opteva 520 ATM Indoor"/>
    <s v="1520FH123070"/>
    <s v="2038"/>
    <s v="Sóskút"/>
    <s v="Kerox u. 1."/>
    <s v="ok"/>
    <n v="2"/>
    <n v="2"/>
    <x v="17"/>
    <n v="1"/>
    <n v="1"/>
    <n v="1"/>
  </r>
  <r>
    <s v="UniCredit Bank Hungary Zrt."/>
    <s v="CA136"/>
    <s v="Diebold-Opteva 522 Lobby Cash Dispenser"/>
    <s v="1522FH102029"/>
    <s v="1152"/>
    <s v="Budapest"/>
    <s v="Szentmihályi út 171"/>
    <s v="ok"/>
    <n v="2"/>
    <n v="2"/>
    <x v="14"/>
    <e v="#N/A"/>
    <n v="0"/>
    <n v="2"/>
  </r>
  <r>
    <s v="UniCredit Bank Hungary Zrt."/>
    <s v="CA137"/>
    <s v="Diebold-Opteva 520 ATM Indoor"/>
    <s v="1520FCF00165"/>
    <s v="3525"/>
    <s v="Miskolc"/>
    <s v="Széchenyi út 111."/>
    <s v="ok"/>
    <n v="2"/>
    <n v="2"/>
    <x v="2"/>
    <n v="1"/>
    <n v="1"/>
    <n v="1"/>
  </r>
  <r>
    <s v="UniCredit Bank Hungary Zrt."/>
    <s v="CA138"/>
    <s v="Diebold-Opteva 520 ATM Indoor"/>
    <s v="1520FH124915"/>
    <s v="8200"/>
    <s v="Veszprém"/>
    <s v="Ady Endre u. 1."/>
    <s v="ok"/>
    <n v="2"/>
    <n v="2"/>
    <x v="4"/>
    <n v="1"/>
    <n v="1"/>
    <n v="1"/>
  </r>
  <r>
    <s v="UniCredit Bank Hungary Zrt."/>
    <s v="CA139"/>
    <s v="Diebold-Opteva 520 ATM Indoor"/>
    <s v="1520FH122728"/>
    <s v="2040"/>
    <s v="Budaörs"/>
    <s v="Kinizsi út 1-3."/>
    <s v="ok"/>
    <n v="2"/>
    <n v="2"/>
    <x v="17"/>
    <n v="1"/>
    <n v="1"/>
    <n v="1"/>
  </r>
  <r>
    <s v="UniCredit Bank Hungary Zrt."/>
    <s v="CA14_ENA"/>
    <s v="Diebold-Opteva 720 ATM Indoor"/>
    <s v="1720FH122162"/>
    <s v="6721"/>
    <s v="Szeged"/>
    <s v="Kossuth L. stny. 18-20."/>
    <s v="ok"/>
    <n v="2"/>
    <n v="2"/>
    <x v="3"/>
    <n v="1"/>
    <n v="1"/>
    <n v="1"/>
  </r>
  <r>
    <s v="UniCredit Bank Hungary Zrt."/>
    <s v="CA140"/>
    <s v="OPT562 1GIG-DVD-UPS-LAN-A6-CEN3(4HIGH)"/>
    <s v="1562RH129815"/>
    <s v="2051"/>
    <s v="Biatorbágy"/>
    <s v="Vendel park Budai u. 1."/>
    <s v="ok"/>
    <n v="2"/>
    <n v="2"/>
    <x v="19"/>
    <n v="1"/>
    <n v="1"/>
    <n v="1"/>
  </r>
  <r>
    <s v="UniCredit Bank Hungary Zrt."/>
    <s v="CA142"/>
    <s v="Diebold-Opteva 520 ATM Indoor"/>
    <s v="1520FH124924"/>
    <s v="2051"/>
    <s v="Biatorbágy"/>
    <s v="Budaörsi út 4."/>
    <s v="ok"/>
    <n v="2"/>
    <n v="2"/>
    <x v="19"/>
    <n v="1"/>
    <n v="1"/>
    <n v="1"/>
  </r>
  <r>
    <s v="UniCredit Bank Hungary Zrt."/>
    <s v="CA143"/>
    <s v="Diebold-Opteva 520 ATM Indoor"/>
    <s v="1520FH123077"/>
    <s v="5004"/>
    <s v="Szolnok"/>
    <s v="Tószegi út 21."/>
    <s v="ok"/>
    <n v="2"/>
    <n v="2"/>
    <x v="11"/>
    <e v="#N/A"/>
    <n v="0"/>
    <n v="2"/>
  </r>
  <r>
    <s v="UniCredit Bank Hungary Zrt."/>
    <s v="CA144"/>
    <s v="Diebold-Opteva 522 Lobby Cash Dispenser"/>
    <s v="1522FH100287"/>
    <s v="6724"/>
    <s v="Szeged"/>
    <s v="Londoni krt. 3."/>
    <s v="ok"/>
    <n v="2"/>
    <n v="2"/>
    <x v="3"/>
    <n v="1"/>
    <n v="1"/>
    <n v="1"/>
  </r>
  <r>
    <s v="UniCredit Bank Hungary Zrt."/>
    <s v="CA145"/>
    <s v="OPT562 1GIG-DVD-UPS-LAN-A6-CEN3(4HIGH)"/>
    <s v="1562RCF00179"/>
    <s v="5000"/>
    <s v="Szolnok"/>
    <s v="Kossuth u. 18"/>
    <s v="ok"/>
    <n v="2"/>
    <n v="2"/>
    <x v="11"/>
    <n v="1"/>
    <n v="1"/>
    <n v="1"/>
  </r>
  <r>
    <s v="UniCredit Bank Hungary Zrt."/>
    <s v="CA146"/>
    <s v="OPT562 1GIG-DVD-UPS-LAN-A6-CEN3(4HIGH)"/>
    <s v="1562RCF00040"/>
    <s v="9400"/>
    <s v="Sopron"/>
    <s v="Ferenczy János u. 5."/>
    <s v="ok"/>
    <n v="2"/>
    <n v="2"/>
    <x v="8"/>
    <n v="1"/>
    <n v="1"/>
    <n v="1"/>
  </r>
  <r>
    <s v="UniCredit Bank Hungary Zrt."/>
    <s v="CA147"/>
    <s v="Diebold-Opteva 520 ATM Indoor"/>
    <s v="1520FH124918"/>
    <s v="9700"/>
    <s v="Szombathely"/>
    <s v="Zanati út 31."/>
    <s v="ok"/>
    <n v="2"/>
    <n v="2"/>
    <x v="8"/>
    <n v="1"/>
    <n v="1"/>
    <n v="1"/>
  </r>
  <r>
    <s v="UniCredit Bank Hungary Zrt."/>
    <s v="CA148"/>
    <s v="Diebold-Opteva 520 ATM Indoor"/>
    <s v="1520FH123081"/>
    <s v="9700"/>
    <s v="Szombathely"/>
    <s v="Kőszegi u. 32"/>
    <s v="ok"/>
    <n v="2"/>
    <n v="2"/>
    <x v="8"/>
    <n v="1"/>
    <n v="1"/>
    <n v="1"/>
  </r>
  <r>
    <s v="UniCredit Bank Hungary Zrt."/>
    <s v="CA149"/>
    <s v="Diebold-Opteva 520 ATM Indoor"/>
    <s v="1520FH123083"/>
    <s v="9600"/>
    <s v="Sárvár"/>
    <s v="Rákóczi u. 83."/>
    <s v="ok"/>
    <n v="2"/>
    <n v="2"/>
    <x v="8"/>
    <n v="1"/>
    <n v="1"/>
    <n v="1"/>
  </r>
  <r>
    <s v="UniCredit Bank Hungary Zrt."/>
    <s v="CA15_ENA"/>
    <s v="Diebold-Opteva 720 ATM Indoor"/>
    <s v="1720FH122346"/>
    <s v="8700"/>
    <s v="Szombathely"/>
    <s v="Kőszegi u. 30-32."/>
    <s v="ok"/>
    <n v="2"/>
    <n v="2"/>
    <x v="8"/>
    <n v="1"/>
    <n v="1"/>
    <n v="1"/>
  </r>
  <r>
    <s v="UniCredit Bank Hungary Zrt."/>
    <s v="CA150"/>
    <s v="Diebold-Opteva 520 ATM Indoor"/>
    <s v="1520FH123086"/>
    <s v="1085"/>
    <s v="Budapest"/>
    <s v="Kerepesi út 9."/>
    <s v="ok"/>
    <n v="2"/>
    <n v="2"/>
    <x v="13"/>
    <n v="1"/>
    <n v="1"/>
    <n v="1"/>
  </r>
  <r>
    <s v="UniCredit Bank Hungary Zrt."/>
    <s v="CA152_ENA"/>
    <s v="Diebold-Opteva 720 ATM Indoor"/>
    <s v="1720FH122667"/>
    <s v="1087"/>
    <s v="Budapest"/>
    <s v="Stróbl Alajos u. 3/b."/>
    <s v="ok"/>
    <n v="2"/>
    <n v="2"/>
    <x v="13"/>
    <n v="1"/>
    <n v="1"/>
    <n v="1"/>
  </r>
  <r>
    <s v="UniCredit Bank Hungary Zrt."/>
    <s v="CA153_ENA"/>
    <s v="Diebold-Opteva 720 ATM Indoor"/>
    <s v="1720FH123167"/>
    <s v="4200"/>
    <s v="Hajdúszoboszló"/>
    <s v="Szilfákalja u. 4."/>
    <s v="ok"/>
    <n v="2"/>
    <n v="2"/>
    <x v="16"/>
    <n v="1"/>
    <n v="1"/>
    <n v="1"/>
  </r>
  <r>
    <s v="UniCredit Bank Hungary Zrt."/>
    <s v="CA154"/>
    <s v="OPT562 1GIG-DVD-UPS-LAN-A6-CEN3(4HIGH)"/>
    <s v="1562RCF00035"/>
    <s v="8400"/>
    <s v="Ajka"/>
    <s v="Szabadság tér 12."/>
    <s v="ok"/>
    <n v="2"/>
    <n v="2"/>
    <x v="4"/>
    <n v="1"/>
    <n v="1"/>
    <n v="1"/>
  </r>
  <r>
    <s v="UniCredit Bank Hungary Zrt."/>
    <s v="CA157"/>
    <s v="Diebold-Opteva 520 ATM Indoor"/>
    <s v="1520FH124926"/>
    <s v="3800"/>
    <s v="Szikszó"/>
    <s v="Avalon u. 4."/>
    <s v="ok"/>
    <n v="2"/>
    <n v="2"/>
    <x v="2"/>
    <n v="1"/>
    <n v="1"/>
    <n v="1"/>
  </r>
  <r>
    <s v="UniCredit Bank Hungary Zrt."/>
    <s v="CA158"/>
    <s v="Diebold-Opteva 522 Lobby Cash Dispenser"/>
    <s v="1522FH100289"/>
    <s v="3256"/>
    <s v="Miskolc"/>
    <s v="Búza tér 1."/>
    <s v="ok"/>
    <n v="2"/>
    <n v="2"/>
    <x v="2"/>
    <n v="1"/>
    <n v="1"/>
    <n v="1"/>
  </r>
  <r>
    <s v="UniCredit Bank Hungary Zrt."/>
    <s v="CA159"/>
    <s v="Diebold-Opteva 520 ATM Indoor"/>
    <s v="1520FH123080"/>
    <s v="7031"/>
    <s v="Paks"/>
    <s v="Pf. 71. HRSZ.: 8803/15"/>
    <s v="ok"/>
    <n v="2"/>
    <n v="2"/>
    <x v="7"/>
    <n v="1"/>
    <n v="1"/>
    <n v="1"/>
  </r>
  <r>
    <s v="UniCredit Bank Hungary Zrt."/>
    <s v="CA16_ENA"/>
    <s v="Diebold-Opteva 720 ATM Indoor"/>
    <s v="1720FH122111"/>
    <s v="8000"/>
    <s v="Székesfehérvár"/>
    <s v="Budai út 1."/>
    <s v="ok"/>
    <n v="2"/>
    <n v="2"/>
    <x v="4"/>
    <n v="1"/>
    <n v="1"/>
    <n v="1"/>
  </r>
  <r>
    <s v="UniCredit Bank Hungary Zrt."/>
    <s v="CA160"/>
    <s v="Diebold-Opteva 520 ATM Indoor"/>
    <s v="1520FH124925"/>
    <s v="9027"/>
    <s v="Győr"/>
    <s v="Nagysándor József út 31."/>
    <s v="ok"/>
    <n v="2"/>
    <n v="2"/>
    <x v="19"/>
    <e v="#N/A"/>
    <n v="0"/>
    <n v="2"/>
  </r>
  <r>
    <s v="UniCredit Bank Hungary Zrt."/>
    <s v="CA161"/>
    <s v="Diebold-Opteva 522 Lobby Cash Dispenser"/>
    <s v="1522FH100285"/>
    <s v="9023"/>
    <s v="Győr"/>
    <s v="Szigethy Attila út 112."/>
    <s v="ok"/>
    <n v="2"/>
    <n v="2"/>
    <x v="19"/>
    <n v="1"/>
    <n v="1"/>
    <n v="1"/>
  </r>
  <r>
    <s v="UniCredit Bank Hungary Zrt."/>
    <s v="CA163_ENA"/>
    <s v="Diebold-Opteva 720 ATM Indoor"/>
    <s v="1720FH122110"/>
    <s v="7030"/>
    <s v="Paks"/>
    <s v="Táncsics Mihály u.2."/>
    <s v="ok"/>
    <n v="2"/>
    <n v="2"/>
    <x v="7"/>
    <n v="1"/>
    <n v="1"/>
    <n v="1"/>
  </r>
  <r>
    <s v="UniCredit Bank Hungary Zrt."/>
    <s v="CA164_ENA"/>
    <s v="Diebold-Opteva 760 ATM Outdoor"/>
    <s v="1760RH132285"/>
    <s v="6100"/>
    <s v="Kiskunfélegyháza"/>
    <s v="Kossuth Lajos u. 2."/>
    <s v="ok"/>
    <n v="2"/>
    <n v="2"/>
    <x v="11"/>
    <n v="1"/>
    <n v="1"/>
    <n v="1"/>
  </r>
  <r>
    <s v="UniCredit Bank Hungary Zrt."/>
    <s v="CA165_ENA"/>
    <s v="Diebold-Opteva 720 ATM Indoor"/>
    <s v="1720FH122670"/>
    <s v="3580"/>
    <s v="Tiszaújváros"/>
    <s v="Mátyás király út 3."/>
    <s v="ok"/>
    <n v="2"/>
    <n v="2"/>
    <x v="2"/>
    <n v="1"/>
    <n v="1"/>
    <n v="1"/>
  </r>
  <r>
    <s v="UniCredit Bank Hungary Zrt."/>
    <s v="CA166"/>
    <s v="OPT562 1GIG-DVD-UPS-LAN-A6-CEN3(4HIGH)"/>
    <s v="1562RH129816"/>
    <s v="5100"/>
    <s v="Jászberény"/>
    <s v="Fémnyomó út 1."/>
    <s v="ok"/>
    <n v="2"/>
    <n v="2"/>
    <x v="10"/>
    <n v="1"/>
    <n v="1"/>
    <n v="1"/>
  </r>
  <r>
    <s v="UniCredit Bank Hungary Zrt."/>
    <s v="CA167"/>
    <s v="OPT562 1GIG-DVD-UPS-LAN-A6-CEN3(4HIGH)"/>
    <s v="1562RH133120"/>
    <s v="3527"/>
    <s v="Miskolc"/>
    <s v="Szondi u. 1."/>
    <s v="ok"/>
    <n v="2"/>
    <n v="2"/>
    <x v="2"/>
    <n v="1"/>
    <n v="1"/>
    <n v="1"/>
  </r>
  <r>
    <s v="UniCredit Bank Hungary Zrt."/>
    <s v="CA168"/>
    <s v="Diebold-Opteva 520 ATM Indoor"/>
    <s v="1520FH121682"/>
    <s v="3700"/>
    <s v="Kazincbarcika"/>
    <s v="Egressy B. u. 1."/>
    <s v="ok"/>
    <n v="2"/>
    <n v="2"/>
    <x v="2"/>
    <n v="1"/>
    <n v="1"/>
    <n v="1"/>
  </r>
  <r>
    <s v="UniCredit Bank Hungary Zrt."/>
    <s v="CA169_ENA"/>
    <s v="Diebold-Opteva 760 ATM Outdoor"/>
    <s v="1760RH125343"/>
    <s v="2600"/>
    <s v="Vác"/>
    <s v="Szent István tér 4."/>
    <s v="ok"/>
    <n v="2"/>
    <n v="2"/>
    <x v="6"/>
    <n v="2"/>
    <n v="2"/>
    <n v="0"/>
  </r>
  <r>
    <s v="UniCredit Bank Hungary Zrt."/>
    <s v="CA17_ENA"/>
    <s v="Diebold-Opteva 760 ATM Outdoor"/>
    <s v="1760RH127728"/>
    <s v="1111"/>
    <s v="Budapest"/>
    <s v="Lágymányosi u. 1-3."/>
    <s v="ok"/>
    <n v="2"/>
    <n v="2"/>
    <x v="17"/>
    <n v="1"/>
    <n v="1"/>
    <n v="1"/>
  </r>
  <r>
    <s v="UniCredit Bank Hungary Zrt."/>
    <s v="CA170"/>
    <s v="Diebold-Opteva 520 ATM Indoor"/>
    <s v="1520FH124920"/>
    <s v="1095"/>
    <s v="Budapest"/>
    <s v="Boráros tér 7."/>
    <s v="ok"/>
    <n v="2"/>
    <n v="2"/>
    <x v="17"/>
    <n v="1"/>
    <n v="1"/>
    <n v="1"/>
  </r>
  <r>
    <s v="UniCredit Bank Hungary Zrt."/>
    <s v="CA172"/>
    <s v="Diebold-Opteva 522 Lobby Cash Dispenser"/>
    <s v="1522FH100290"/>
    <s v="1145"/>
    <s v="Budapest"/>
    <s v="Uzsoki u. 29-41"/>
    <s v="ok"/>
    <n v="2"/>
    <n v="2"/>
    <x v="14"/>
    <n v="1"/>
    <n v="1"/>
    <n v="1"/>
  </r>
  <r>
    <s v="UniCredit Bank Hungary Zrt."/>
    <s v="CA173"/>
    <s v="Diebold-Opteva 520 ATM Indoor"/>
    <s v="1520FH124914"/>
    <s v="1204"/>
    <s v="Budapest"/>
    <s v="Köves u. 1"/>
    <s v="ok"/>
    <n v="2"/>
    <n v="2"/>
    <x v="15"/>
    <n v="1"/>
    <n v="1"/>
    <n v="1"/>
  </r>
  <r>
    <s v="UniCredit Bank Hungary Zrt."/>
    <s v="CA174_ENA"/>
    <s v="Diebold-Opteva 720 ATM Indoor"/>
    <s v="1720FH123165"/>
    <s v="2310"/>
    <s v="Szigetszentmiklós"/>
    <s v="Bajcsy-Zs. u. 26."/>
    <s v="ok"/>
    <n v="2"/>
    <n v="2"/>
    <x v="15"/>
    <n v="1"/>
    <n v="1"/>
    <n v="1"/>
  </r>
  <r>
    <s v="UniCredit Bank Hungary Zrt."/>
    <s v="CA175"/>
    <s v="OPT562 1GIG-DVD-UPS-LAN-A6-CEN3(4HIGH)"/>
    <s v="1562RH133119"/>
    <s v="9200"/>
    <s v="Mosonmagyaróvár"/>
    <s v="József Attila u.51."/>
    <s v="ok"/>
    <n v="2"/>
    <n v="2"/>
    <x v="19"/>
    <n v="1"/>
    <n v="1"/>
    <n v="1"/>
  </r>
  <r>
    <s v="UniCredit Bank Hungary Zrt."/>
    <s v="CA176"/>
    <s v="Diebold-Opteva 522 Lobby Cash Dispenser"/>
    <s v="1522FH102030"/>
    <s v="1103"/>
    <s v="Budapest"/>
    <s v="Gyömrői út 19-21"/>
    <s v="ok"/>
    <n v="2"/>
    <n v="2"/>
    <x v="17"/>
    <n v="1"/>
    <n v="1"/>
    <n v="1"/>
  </r>
  <r>
    <s v="UniCredit Bank Hungary Zrt."/>
    <s v="CA177"/>
    <s v="Diebold-Opteva 522 Lobby Cash Dispenser"/>
    <s v="1522FH102200"/>
    <s v="1117"/>
    <s v="Budapest"/>
    <s v="Október Huszonharmadika u. 8-10."/>
    <s v="ok"/>
    <n v="2"/>
    <n v="2"/>
    <x v="17"/>
    <n v="1"/>
    <n v="1"/>
    <n v="1"/>
  </r>
  <r>
    <s v="UniCredit Bank Hungary Zrt."/>
    <s v="CA178"/>
    <s v="Diebold-Opteva 520 ATM Indoor"/>
    <s v="1520FH124922"/>
    <s v="8800"/>
    <s v="Nagykanizsa"/>
    <s v="Táborhely u. 4"/>
    <s v="ok"/>
    <n v="2"/>
    <n v="2"/>
    <x v="9"/>
    <n v="1"/>
    <n v="1"/>
    <n v="1"/>
  </r>
  <r>
    <s v="UniCredit Bank Hungary Zrt."/>
    <s v="CA179"/>
    <s v="Diebold-Opteva 520 ATM Indoor"/>
    <s v="1520FH122653"/>
    <s v="9200"/>
    <s v="Mosonmagyaróvár"/>
    <s v="Kerékgyári út 2-4."/>
    <s v="ok"/>
    <n v="2"/>
    <n v="2"/>
    <x v="19"/>
    <n v="1"/>
    <n v="1"/>
    <n v="1"/>
  </r>
  <r>
    <s v="UniCredit Bank Hungary Zrt."/>
    <s v="CA18_ENA"/>
    <s v="Diebold-Opteva 760 ATM Outdoor"/>
    <s v="1760RH126771"/>
    <s v="6000"/>
    <s v="Kecskemét"/>
    <s v="Kisfaludy u. 8."/>
    <s v="ok"/>
    <n v="2"/>
    <n v="2"/>
    <x v="11"/>
    <n v="1"/>
    <n v="1"/>
    <n v="1"/>
  </r>
  <r>
    <s v="UniCredit Bank Hungary Zrt."/>
    <s v="CA180"/>
    <s v="OPT562 1GIG-DVD-UPS-LAN-A6-CEN3(4HIGH)"/>
    <s v="1562R3300348"/>
    <s v="6000"/>
    <s v="Kecskemét"/>
    <s v="Kisfaludy u. 8."/>
    <s v="ok"/>
    <n v="2"/>
    <n v="2"/>
    <x v="11"/>
    <n v="1"/>
    <n v="1"/>
    <n v="1"/>
  </r>
  <r>
    <s v="UniCredit Bank Hungary Zrt."/>
    <s v="CA181"/>
    <s v="Diebold-Opteva 522 Lobby Cash Dispenser"/>
    <s v="1522FH100282"/>
    <s v="6000"/>
    <s v="Kecskemét"/>
    <s v="Korona u. 2."/>
    <s v="ok"/>
    <n v="2"/>
    <n v="2"/>
    <x v="11"/>
    <n v="1"/>
    <n v="1"/>
    <n v="1"/>
  </r>
  <r>
    <s v="UniCredit Bank Hungary Zrt."/>
    <s v="CA182"/>
    <s v="Diebold-Opteva 520 ATM Indoor"/>
    <s v="1520FH122650"/>
    <s v="6000"/>
    <s v="Kecskemét"/>
    <s v="Daimler út 1"/>
    <s v="ok"/>
    <n v="2"/>
    <n v="2"/>
    <x v="11"/>
    <n v="1"/>
    <n v="1"/>
    <n v="1"/>
  </r>
  <r>
    <s v="UniCredit Bank Hungary Zrt."/>
    <s v="CA183_ENA"/>
    <s v="Diebold-Opteva 720 ATM Indoor"/>
    <s v="1720FH122669"/>
    <s v="1134"/>
    <s v="Budapest"/>
    <s v="Róbert Károly krt. 61-65."/>
    <s v="ok"/>
    <n v="2"/>
    <n v="2"/>
    <x v="14"/>
    <n v="1"/>
    <n v="1"/>
    <n v="1"/>
  </r>
  <r>
    <s v="UniCredit Bank Hungary Zrt."/>
    <s v="CA184"/>
    <s v="Diebold-Opteva 520 ATM Indoor"/>
    <s v="1520FH122649"/>
    <s v="1239"/>
    <s v="Budapest"/>
    <s v="Nagykőrösi út 351."/>
    <s v="ok"/>
    <n v="2"/>
    <n v="2"/>
    <x v="15"/>
    <n v="1"/>
    <n v="1"/>
    <n v="1"/>
  </r>
  <r>
    <s v="UniCredit Bank Hungary Zrt."/>
    <s v="CA185"/>
    <s v="OPT562 1GIG-DVD-UPS-LAN-A6-CEN3(4HIGH)"/>
    <s v="1562RCF00042"/>
    <s v="1089"/>
    <s v="Budapest"/>
    <s v="Üllői út 86."/>
    <s v="ok"/>
    <n v="2"/>
    <n v="2"/>
    <x v="13"/>
    <n v="1"/>
    <n v="1"/>
    <n v="1"/>
  </r>
  <r>
    <s v="UniCredit Bank Hungary Zrt."/>
    <s v="CA186"/>
    <s v="Diebold-Opteva 520 ATM Indoor"/>
    <s v="1520FH122877"/>
    <s v="7400"/>
    <s v="Kaposvár"/>
    <s v="Berzsenyi u. 13."/>
    <s v="ok"/>
    <n v="2"/>
    <n v="2"/>
    <x v="12"/>
    <n v="1"/>
    <n v="1"/>
    <n v="1"/>
  </r>
  <r>
    <s v="UniCredit Bank Hungary Zrt."/>
    <s v="CA187"/>
    <s v="OPT562 1GIG-DVD-UPS-LAN-A6-CEN3(4HIGH)"/>
    <s v="1562RH136304"/>
    <s v="1112"/>
    <s v="Budapest"/>
    <s v="Budaörsi út 64."/>
    <s v="ok"/>
    <n v="2"/>
    <n v="2"/>
    <x v="17"/>
    <n v="1"/>
    <n v="1"/>
    <n v="1"/>
  </r>
  <r>
    <s v="UniCredit Bank Hungary Zrt."/>
    <s v="CA188_ENA"/>
    <s v="Diebold-Opteva 760 ATM Outdoor"/>
    <s v="1760RH132288"/>
    <s v="1149"/>
    <s v="Budapest"/>
    <s v="Fogarasi út 15."/>
    <s v="ok"/>
    <n v="2"/>
    <n v="2"/>
    <x v="14"/>
    <n v="1"/>
    <n v="1"/>
    <n v="1"/>
  </r>
  <r>
    <s v="UniCredit Bank Hungary Zrt."/>
    <s v="CA189_ENA"/>
    <s v="Diebold-Opteva 720 ATM Indoor"/>
    <s v="1720FH122668"/>
    <s v="1137"/>
    <s v="Budapest"/>
    <s v="Szent István krt. 16."/>
    <s v="ok"/>
    <n v="2"/>
    <n v="2"/>
    <x v="14"/>
    <n v="1"/>
    <n v="1"/>
    <n v="1"/>
  </r>
  <r>
    <s v="UniCredit Bank Hungary Zrt."/>
    <s v="CA19_ENA"/>
    <s v="Diebold-Opteva 720 ATM Indoor"/>
    <s v="1720FH122104"/>
    <s v="8900"/>
    <s v="Zalaegerszeg"/>
    <s v="Kovács Károly tér 1/a"/>
    <s v="ok"/>
    <n v="2"/>
    <n v="2"/>
    <x v="9"/>
    <n v="1"/>
    <n v="1"/>
    <n v="1"/>
  </r>
  <r>
    <s v="UniCredit Bank Hungary Zrt."/>
    <s v="CA190_ENA"/>
    <s v="Diebold-Opteva 720 ATM Indoor"/>
    <s v="1720FH122068"/>
    <s v="1191"/>
    <s v="Budapest"/>
    <s v="Vak Bottyán u. 75."/>
    <s v="ok"/>
    <n v="2"/>
    <n v="2"/>
    <x v="10"/>
    <n v="1"/>
    <n v="1"/>
    <n v="1"/>
  </r>
  <r>
    <s v="UniCredit Bank Hungary Zrt."/>
    <s v="CA192_ENA"/>
    <s v="Diebold-Opteva 720 ATM Indoor"/>
    <s v="1720FH122105"/>
    <s v="1138"/>
    <s v="Budapest"/>
    <s v="Dunavirág u. 2-6."/>
    <s v="ok"/>
    <n v="2"/>
    <n v="2"/>
    <x v="14"/>
    <n v="1"/>
    <n v="1"/>
    <n v="1"/>
  </r>
  <r>
    <s v="UniCredit Bank Hungary Zrt."/>
    <s v="CA193"/>
    <s v="Diebold-Opteva 520 ATM Indoor"/>
    <s v="1520FH122730"/>
    <s v="1138"/>
    <s v="Budapest"/>
    <s v="Dunavirág u. 2-6."/>
    <s v="ok"/>
    <n v="2"/>
    <n v="2"/>
    <x v="14"/>
    <n v="1"/>
    <n v="1"/>
    <n v="1"/>
  </r>
  <r>
    <s v="UniCredit Bank Hungary Zrt."/>
    <s v="CA194_ENA"/>
    <s v="Diebold-Opteva 720 ATM Indoor"/>
    <s v="1720FH121858"/>
    <s v="1117"/>
    <s v="Budapest"/>
    <s v="Neumann János u."/>
    <s v="ok"/>
    <n v="2"/>
    <n v="2"/>
    <x v="17"/>
    <n v="1"/>
    <n v="1"/>
    <n v="1"/>
  </r>
  <r>
    <s v="UniCredit Bank Hungary Zrt."/>
    <s v="CA195"/>
    <s v="Diebold-Opteva 520 ATM Indoor"/>
    <s v="1520FH122729"/>
    <s v="1117"/>
    <s v="Budapest"/>
    <s v="Neumann János u."/>
    <s v="ok"/>
    <n v="2"/>
    <n v="2"/>
    <x v="17"/>
    <n v="1"/>
    <n v="1"/>
    <n v="1"/>
  </r>
  <r>
    <s v="UniCredit Bank Hungary Zrt."/>
    <s v="CA20"/>
    <s v="Diebold-Opteva 520 ATM Indoor"/>
    <s v="1520FCF00930"/>
    <s v="1191"/>
    <s v="Budapest"/>
    <s v="Ülloi út 201."/>
    <s v="ok"/>
    <n v="2"/>
    <n v="2"/>
    <x v="10"/>
    <n v="1"/>
    <n v="1"/>
    <n v="1"/>
  </r>
  <r>
    <s v="UniCredit Bank Hungary Zrt."/>
    <s v="CA200"/>
    <s v="Diebold-Opteva 522 Lobby Cash Dispenser"/>
    <s v="1522FH104893"/>
    <s v="2045"/>
    <s v="Törökbálint"/>
    <s v="Torbágy u. 1."/>
    <s v="ok"/>
    <n v="2"/>
    <n v="2"/>
    <x v="17"/>
    <n v="1"/>
    <n v="1"/>
    <n v="1"/>
  </r>
  <r>
    <s v="UniCredit Bank Hungary Zrt."/>
    <s v="CA201"/>
    <s v="Diebold-Opteva 520 ATM Indoor"/>
    <s v="1520FH124921"/>
    <s v="2040"/>
    <s v="Budaörs"/>
    <s v="Sport u. 2-4"/>
    <s v="ok"/>
    <n v="2"/>
    <n v="2"/>
    <x v="17"/>
    <n v="1"/>
    <n v="1"/>
    <n v="1"/>
  </r>
  <r>
    <s v="UniCredit Bank Hungary Zrt."/>
    <s v="CA202"/>
    <s v="Diebold-Opteva 520 ATM Indoor"/>
    <s v="1520FH121676"/>
    <s v="2120"/>
    <s v="Dunakeszi"/>
    <s v="Nádas u. 6."/>
    <s v="ok"/>
    <n v="2"/>
    <n v="2"/>
    <x v="14"/>
    <n v="1"/>
    <n v="1"/>
    <n v="1"/>
  </r>
  <r>
    <s v="UniCredit Bank Hungary Zrt."/>
    <s v="CA203"/>
    <s v="Diebold-Opteva 520 ATM Indoor"/>
    <s v="1520FH123076"/>
    <s v="1239"/>
    <s v="Budapest"/>
    <s v="Bevásárló u. 2."/>
    <s v="ok"/>
    <n v="2"/>
    <n v="2"/>
    <x v="15"/>
    <n v="1"/>
    <n v="1"/>
    <n v="1"/>
  </r>
  <r>
    <s v="UniCredit Bank Hungary Zrt."/>
    <s v="CA204"/>
    <s v="Diebold-Opteva 520 ATM Indoor"/>
    <s v="1520FH123075"/>
    <s v="2141"/>
    <s v="Csömör"/>
    <s v="Határ út 6."/>
    <s v="ok"/>
    <n v="2"/>
    <n v="2"/>
    <x v="10"/>
    <n v="1"/>
    <n v="1"/>
    <n v="1"/>
  </r>
  <r>
    <s v="UniCredit Bank Hungary Zrt."/>
    <s v="CA205_ENA"/>
    <s v="Diebold-Opteva 720 ATM Indoor"/>
    <s v="1720FH122113"/>
    <s v="8000"/>
    <s v="Székesfehérvár"/>
    <s v="Holland fasor 2."/>
    <s v="ok"/>
    <n v="2"/>
    <n v="2"/>
    <x v="4"/>
    <n v="1"/>
    <n v="1"/>
    <n v="1"/>
  </r>
  <r>
    <s v="UniCredit Bank Hungary Zrt."/>
    <s v="CA206"/>
    <s v="Diebold-Opteva 522 Lobby Cash Dispenser"/>
    <s v="1522FH100284"/>
    <s v="6000"/>
    <s v="Kecskemét"/>
    <s v="Dunaföldvári út 2."/>
    <s v="ok"/>
    <n v="2"/>
    <n v="2"/>
    <x v="11"/>
    <n v="1"/>
    <n v="1"/>
    <n v="1"/>
  </r>
  <r>
    <s v="UniCredit Bank Hungary Zrt."/>
    <s v="CA207"/>
    <s v="Diebold-Opteva 520 ATM Indoor"/>
    <s v="1520FH123073"/>
    <s v="1033"/>
    <s v="Budapest"/>
    <s v="Szentendrei út 115."/>
    <s v="ok"/>
    <n v="2"/>
    <n v="2"/>
    <x v="0"/>
    <n v="1"/>
    <n v="1"/>
    <n v="1"/>
  </r>
  <r>
    <s v="UniCredit Bank Hungary Zrt."/>
    <s v="CA208"/>
    <s v="Diebold-Opteva 522 Lobby Cash Dispenser"/>
    <s v="1522FH102199"/>
    <s v="2234"/>
    <s v="Maglód"/>
    <s v="Eszterházy János u. 1."/>
    <s v="ok"/>
    <n v="2"/>
    <n v="2"/>
    <x v="10"/>
    <n v="1"/>
    <n v="1"/>
    <n v="1"/>
  </r>
  <r>
    <s v="UniCredit Bank Hungary Zrt."/>
    <s v="CA209"/>
    <s v="Diebold-Opteva 520 ATM Indoor"/>
    <s v="1520FH120023"/>
    <s v="2151"/>
    <s v="Fót"/>
    <s v="Fehérkő u. 1."/>
    <s v="ok"/>
    <n v="2"/>
    <n v="2"/>
    <x v="6"/>
    <n v="1"/>
    <n v="1"/>
    <n v="1"/>
  </r>
  <r>
    <s v="UniCredit Bank Hungary Zrt."/>
    <s v="CA21"/>
    <s v="Diebold-Opteva 520 ATM Indoor"/>
    <s v="1520FCF00931"/>
    <s v="1191"/>
    <s v="Budapest"/>
    <s v="Ülloi út 201."/>
    <s v="ok"/>
    <n v="2"/>
    <n v="2"/>
    <x v="10"/>
    <n v="1"/>
    <n v="1"/>
    <n v="1"/>
  </r>
  <r>
    <s v="UniCredit Bank Hungary Zrt."/>
    <s v="CA210"/>
    <s v="Diebold-Opteva 520 ATM Indoor"/>
    <s v="1520FH120024"/>
    <s v="2083"/>
    <s v="Solymár"/>
    <s v="Szent Flórián u. 2-4."/>
    <s v="ok"/>
    <n v="2"/>
    <n v="2"/>
    <x v="0"/>
    <n v="1"/>
    <n v="1"/>
    <n v="1"/>
  </r>
  <r>
    <s v="UniCredit Bank Hungary Zrt."/>
    <s v="CA211"/>
    <s v="Diebold-Opteva 522 Lobby Cash Dispenser"/>
    <s v="1522FH100281"/>
    <s v="2011"/>
    <s v="Budakalász"/>
    <s v="Omszk park 1."/>
    <s v="ok"/>
    <n v="2"/>
    <n v="2"/>
    <x v="14"/>
    <n v="1"/>
    <n v="1"/>
    <n v="1"/>
  </r>
  <r>
    <s v="UniCredit Bank Hungary Zrt."/>
    <s v="CA215"/>
    <s v="Diebold-Opteva 520 ATM Indoor"/>
    <s v="1520FH120026"/>
    <s v="4031"/>
    <s v="Debrecen"/>
    <s v="Kishatár u. 1."/>
    <s v="ok"/>
    <n v="2"/>
    <n v="2"/>
    <x v="16"/>
    <n v="1"/>
    <n v="1"/>
    <n v="1"/>
  </r>
  <r>
    <s v="UniCredit Bank Hungary Zrt."/>
    <s v="CA216"/>
    <s v="Diebold-Opteva 522 Lobby Cash Dispenser"/>
    <s v="1522FH102196"/>
    <s v="3527"/>
    <s v="Miskolc"/>
    <s v="József Attila u. 87."/>
    <s v="ok"/>
    <n v="2"/>
    <n v="2"/>
    <x v="2"/>
    <n v="1"/>
    <n v="1"/>
    <n v="1"/>
  </r>
  <r>
    <s v="UniCredit Bank Hungary Zrt."/>
    <s v="CA217"/>
    <s v="Diebold-Opteva 520 ATM Indoor"/>
    <s v="1520FH121290"/>
    <s v="3516"/>
    <s v="Miskolc"/>
    <s v="Pest út 9."/>
    <s v="ok"/>
    <n v="2"/>
    <n v="2"/>
    <x v="2"/>
    <n v="1"/>
    <n v="1"/>
    <n v="1"/>
  </r>
  <r>
    <s v="UniCredit Bank Hungary Zrt."/>
    <s v="CA22_ENA"/>
    <s v="Diebold-Opteva 720 ATM Indoor"/>
    <s v="1720FH121779"/>
    <s v="1191"/>
    <s v="Budapest"/>
    <s v="Üllői út 201."/>
    <s v="ok"/>
    <n v="2"/>
    <n v="2"/>
    <x v="10"/>
    <n v="1"/>
    <n v="1"/>
    <n v="1"/>
  </r>
  <r>
    <s v="UniCredit Bank Hungary Zrt."/>
    <s v="CA23_ENA"/>
    <s v="Diebold-Opteva 760 ATM Outdoor"/>
    <s v="1760RH124786"/>
    <s v="3530"/>
    <s v="Miskolc"/>
    <s v="Hunyadi u.3."/>
    <s v="ok"/>
    <n v="2"/>
    <n v="2"/>
    <x v="2"/>
    <n v="1"/>
    <n v="1"/>
    <n v="1"/>
  </r>
  <r>
    <s v="UniCredit Bank Hungary Zrt."/>
    <s v="CA24"/>
    <s v="OPT562 1GIG-DVD-UPS-LAN-A6-CEN3(4HIGH)"/>
    <s v="1562RCF00175"/>
    <s v="9027"/>
    <s v="Győr"/>
    <s v="Gesztenyefa út 4."/>
    <s v="ok"/>
    <n v="2"/>
    <n v="2"/>
    <x v="19"/>
    <e v="#N/A"/>
    <n v="0"/>
    <n v="2"/>
  </r>
  <r>
    <s v="UniCredit Bank Hungary Zrt."/>
    <s v="CA25_ENA"/>
    <s v="Diebold-Opteva 760 ATM Outdoor"/>
    <s v="1760RH124785"/>
    <s v="4024"/>
    <s v="Debrecen"/>
    <s v="Kossuth Lajos u. 25-27."/>
    <s v="ok"/>
    <n v="2"/>
    <n v="2"/>
    <x v="16"/>
    <n v="1"/>
    <n v="1"/>
    <n v="1"/>
  </r>
  <r>
    <s v="UniCredit Bank Hungary Zrt."/>
    <s v="CA26_ENA"/>
    <s v="Diebold-Opteva 760 ATM Outdoor"/>
    <s v="1760RH125344"/>
    <s v="4400"/>
    <s v="Nyíregyháza"/>
    <s v="Dózsa Gy. u. 1."/>
    <s v="ok"/>
    <n v="2"/>
    <n v="2"/>
    <x v="1"/>
    <n v="1"/>
    <n v="1"/>
    <n v="1"/>
  </r>
  <r>
    <s v="UniCredit Bank Hungary Zrt."/>
    <s v="CA27_ENA"/>
    <s v="Diebold-Opteva 720 ATM Indoor"/>
    <s v="1720FH122169"/>
    <s v="9200"/>
    <s v="Mosonmagyaróvár"/>
    <s v="Fő u. 6."/>
    <s v="ok"/>
    <n v="2"/>
    <n v="2"/>
    <x v="19"/>
    <n v="1"/>
    <n v="1"/>
    <n v="1"/>
  </r>
  <r>
    <s v="UniCredit Bank Hungary Zrt."/>
    <s v="CA28_ENA"/>
    <s v="Diebold-Opteva 720 ATM Indoor"/>
    <s v="1720FH122067"/>
    <s v="5000"/>
    <s v="Szolnok"/>
    <s v="Baross G. út 27-29"/>
    <s v="ok"/>
    <n v="2"/>
    <n v="2"/>
    <x v="11"/>
    <n v="1"/>
    <n v="1"/>
    <n v="1"/>
  </r>
  <r>
    <s v="UniCredit Bank Hungary Zrt."/>
    <s v="CA29_ENA"/>
    <s v="Diebold-Opteva 760 ATM Outdoor"/>
    <s v="1760RH126770"/>
    <s v="2750"/>
    <s v="Nagykőrös"/>
    <s v="Szabadság tér 6."/>
    <s v="ok"/>
    <n v="2"/>
    <n v="2"/>
    <x v="11"/>
    <n v="1"/>
    <n v="1"/>
    <n v="1"/>
  </r>
  <r>
    <s v="UniCredit Bank Hungary Zrt."/>
    <s v="CA30"/>
    <s v="Diebold-Opteva 520 ATM Indoor"/>
    <s v="1520FH120012"/>
    <s v="4183"/>
    <s v="Kaba"/>
    <s v="Nádudvari útfél"/>
    <s v="ok"/>
    <n v="2"/>
    <n v="2"/>
    <x v="16"/>
    <n v="1"/>
    <n v="1"/>
    <n v="1"/>
  </r>
  <r>
    <s v="UniCredit Bank Hungary Zrt."/>
    <s v="CA31"/>
    <s v="OPT562 1GIG-DVD-UPS-LAN-A6-CEN3(4HIGH)"/>
    <s v="1562RCF00037"/>
    <s v="2800"/>
    <s v="Tatabánya"/>
    <s v="Búzavirág u. 14"/>
    <s v="ok"/>
    <n v="2"/>
    <n v="2"/>
    <x v="19"/>
    <e v="#N/A"/>
    <n v="0"/>
    <n v="2"/>
  </r>
  <r>
    <s v="UniCredit Bank Hungary Zrt."/>
    <s v="CA32"/>
    <s v="Diebold-Opteva 520 ATM Indoor"/>
    <s v="1520F3302402"/>
    <s v="1161"/>
    <s v="Budapest"/>
    <s v="Körvasút sor 105."/>
    <s v="ok"/>
    <n v="2"/>
    <n v="2"/>
    <x v="6"/>
    <n v="1"/>
    <n v="1"/>
    <n v="1"/>
  </r>
  <r>
    <s v="UniCredit Bank Hungary Zrt."/>
    <s v="CA33"/>
    <s v="Diebold-Opteva 520 ATM Indoor"/>
    <s v="1520FH123071"/>
    <s v="2800"/>
    <s v="Tatabánya"/>
    <s v="Fatelepi út 15."/>
    <s v="ok"/>
    <n v="2"/>
    <n v="2"/>
    <x v="19"/>
    <e v="#N/A"/>
    <n v="0"/>
    <n v="2"/>
  </r>
  <r>
    <s v="UniCredit Bank Hungary Zrt."/>
    <s v="CA34"/>
    <s v="Diebold-Opteva 520 ATM Indoor"/>
    <s v="1520FH124913"/>
    <s v="8900"/>
    <s v="Zalaegerszeg"/>
    <s v="Posta út 63. C épület"/>
    <s v="ok"/>
    <n v="2"/>
    <n v="2"/>
    <x v="9"/>
    <n v="1"/>
    <n v="1"/>
    <n v="1"/>
  </r>
  <r>
    <s v="UniCredit Bank Hungary Zrt."/>
    <s v="CA35_ENA"/>
    <s v="Diebold-Opteva 760 ATM Outdoor"/>
    <s v="1760RH125341"/>
    <s v="7400"/>
    <s v="Kaposvár"/>
    <s v="Dózsa Gy. u. 1."/>
    <s v="ok"/>
    <n v="2"/>
    <n v="2"/>
    <x v="12"/>
    <n v="1"/>
    <n v="1"/>
    <n v="1"/>
  </r>
  <r>
    <s v="UniCredit Bank Hungary Zrt."/>
    <s v="CA36"/>
    <s v="Diebold-Opteva 520 ATM Indoor"/>
    <s v="1520FH122731"/>
    <s v="8000"/>
    <s v="Székesfehérvár"/>
    <s v="Budai út 1. (2. ATM)"/>
    <s v="ok"/>
    <n v="2"/>
    <n v="2"/>
    <x v="4"/>
    <n v="1"/>
    <n v="1"/>
    <n v="1"/>
  </r>
  <r>
    <s v="UniCredit Bank Hungary Zrt."/>
    <s v="CA37"/>
    <s v="OPT562 1GIG-DVD-UPS-LAN-A6-CEN3(4HIGH)"/>
    <s v="1562RCF00176"/>
    <s v="3534"/>
    <s v="Miskolc"/>
    <s v="Muhi út 2/a."/>
    <s v="ok"/>
    <n v="2"/>
    <n v="2"/>
    <x v="2"/>
    <n v="1"/>
    <n v="1"/>
    <n v="1"/>
  </r>
  <r>
    <s v="UniCredit Bank Hungary Zrt."/>
    <s v="CA38_ENA"/>
    <s v="Diebold-Opteva 720 ATM Indoor"/>
    <s v="1720FH122106"/>
    <s v="8200"/>
    <s v="Veszprém"/>
    <s v="Ady Endre u. 1."/>
    <s v="ok"/>
    <n v="2"/>
    <n v="2"/>
    <x v="4"/>
    <n v="1"/>
    <n v="1"/>
    <n v="1"/>
  </r>
  <r>
    <s v="UniCredit Bank Hungary Zrt."/>
    <s v="CA39"/>
    <s v="Diebold-Opteva 520 ATM Indoor"/>
    <s v="1520FCF00934"/>
    <s v="9027"/>
    <s v="Győr"/>
    <s v="Kardán út 1."/>
    <s v="ok"/>
    <n v="2"/>
    <n v="2"/>
    <x v="19"/>
    <e v="#N/A"/>
    <n v="0"/>
    <n v="2"/>
  </r>
  <r>
    <s v="UniCredit Bank Hungary Zrt."/>
    <s v="CA40"/>
    <s v="OPT562 1GIG-DVD-UPS-LAN-A6-CEN3(4HIGH)"/>
    <s v="1562RCF00034"/>
    <s v="2541"/>
    <s v="Lábatlan"/>
    <s v="Rákóczi út 1."/>
    <s v="ok"/>
    <n v="2"/>
    <n v="2"/>
    <x v="0"/>
    <n v="1"/>
    <n v="1"/>
    <n v="1"/>
  </r>
  <r>
    <s v="UniCredit Bank Hungary Zrt."/>
    <s v="CA42"/>
    <s v="Diebold-Opteva 522 Lobby Cash Dispenser"/>
    <s v="1522FH102197"/>
    <s v="1023"/>
    <s v="Budapest"/>
    <s v="Bécsi út 3-5."/>
    <s v="ok"/>
    <n v="2"/>
    <n v="2"/>
    <x v="0"/>
    <n v="1"/>
    <n v="1"/>
    <n v="1"/>
  </r>
  <r>
    <s v="UniCredit Bank Hungary Zrt."/>
    <s v="CA43_ENA"/>
    <s v="Diebold-Opteva 720 ATM Indoor"/>
    <s v="1720FH121859"/>
    <s v="1097"/>
    <s v="Budapest"/>
    <s v="Könyves Kálmán krt.12-14."/>
    <s v="ok"/>
    <n v="2"/>
    <n v="2"/>
    <x v="17"/>
    <n v="1"/>
    <n v="1"/>
    <n v="1"/>
  </r>
  <r>
    <s v="UniCredit Bank Hungary Zrt."/>
    <s v="CA44_ENA"/>
    <s v="Diebold-Opteva 720 ATM Indoor"/>
    <s v="1720FH122107"/>
    <s v="3300"/>
    <s v="Eger"/>
    <s v="Törvényház u. 4."/>
    <s v="ok"/>
    <n v="2"/>
    <n v="2"/>
    <x v="2"/>
    <n v="1"/>
    <n v="1"/>
    <n v="1"/>
  </r>
  <r>
    <s v="UniCredit Bank Hungary Zrt."/>
    <s v="CA45_ENA"/>
    <s v="Diebold-Opteva 760 ATM Outdoor"/>
    <s v="1760RH127727"/>
    <s v="9400"/>
    <s v="Sopron"/>
    <s v="Várkerület 1-3."/>
    <s v="ok"/>
    <n v="2"/>
    <n v="2"/>
    <x v="8"/>
    <n v="1"/>
    <n v="1"/>
    <n v="1"/>
  </r>
  <r>
    <s v="UniCredit Bank Hungary Zrt."/>
    <s v="CA46_ENA"/>
    <s v="Diebold-Opteva 760 ATM Outdoor"/>
    <s v="1760RH121017"/>
    <s v="1028"/>
    <s v="Budapest"/>
    <s v="Hidegkúti út 167."/>
    <s v="ok"/>
    <n v="2"/>
    <n v="2"/>
    <x v="0"/>
    <n v="1"/>
    <n v="1"/>
    <n v="1"/>
  </r>
  <r>
    <s v="UniCredit Bank Hungary Zrt."/>
    <s v="CA47_ENA"/>
    <s v="Diebold-Opteva 720 ATM Indoor"/>
    <s v="1720FH121857"/>
    <s v="1123"/>
    <s v="Budapest"/>
    <s v="Alkotás út 50."/>
    <s v="ok"/>
    <n v="2"/>
    <n v="2"/>
    <x v="0"/>
    <n v="1"/>
    <n v="1"/>
    <n v="1"/>
  </r>
  <r>
    <s v="UniCredit Bank Hungary Zrt."/>
    <s v="CA48"/>
    <s v="Diebold-Opteva 520 ATM Indoor"/>
    <s v="1520FCF00167"/>
    <s v="1113"/>
    <s v="Budapest"/>
    <s v="Bocskai út 134-146."/>
    <s v="ok"/>
    <n v="2"/>
    <n v="2"/>
    <x v="17"/>
    <n v="1"/>
    <n v="1"/>
    <n v="1"/>
  </r>
  <r>
    <s v="UniCredit Bank Hungary Zrt."/>
    <s v="CA49"/>
    <s v="Diebold-Opteva 522 Lobby Cash Dispenser"/>
    <s v="1522FH100288"/>
    <s v="2046"/>
    <s v="Törökbálint"/>
    <s v="Munkácsy Mihály u. 83."/>
    <s v="ok"/>
    <n v="2"/>
    <n v="2"/>
    <x v="17"/>
    <n v="1"/>
    <n v="1"/>
    <n v="1"/>
  </r>
  <r>
    <s v="UniCredit Bank Hungary Zrt."/>
    <s v="CA50"/>
    <s v="Diebold-Opteva 760 ATM Outdoor"/>
    <s v="1760RH125340"/>
    <s v="1097"/>
    <s v="Budapest"/>
    <s v="Könyves Kálmán krt.12-14."/>
    <s v="ok"/>
    <n v="2"/>
    <n v="2"/>
    <x v="17"/>
    <n v="1"/>
    <n v="1"/>
    <n v="1"/>
  </r>
  <r>
    <s v="UniCredit Bank Hungary Zrt."/>
    <s v="CA51_ENA"/>
    <s v="Diebold-Opteva 720 ATM Indoor"/>
    <s v="1720FH122344"/>
    <s v="8800"/>
    <s v="Nagykanizsa"/>
    <s v="Fő u. 8."/>
    <s v="ok"/>
    <n v="2"/>
    <n v="2"/>
    <x v="9"/>
    <n v="1"/>
    <n v="1"/>
    <n v="1"/>
  </r>
  <r>
    <s v="UniCredit Bank Hungary Zrt."/>
    <s v="CA52_ENA"/>
    <s v="Diebold-Opteva 720 ATM Indoor"/>
    <s v="1720FH123164"/>
    <s v="1022"/>
    <s v="Budapest"/>
    <s v="Bég u. 3-5."/>
    <s v="ok"/>
    <n v="2"/>
    <n v="2"/>
    <x v="0"/>
    <n v="1"/>
    <n v="1"/>
    <n v="1"/>
  </r>
  <r>
    <s v="UniCredit Bank Hungary Zrt."/>
    <s v="CA53_ENA"/>
    <s v="Diebold-Opteva 720 ATM Indoor"/>
    <s v="1720FH121782"/>
    <s v="7621"/>
    <s v="Pécs"/>
    <s v="Rákóczi út 58."/>
    <s v="ok"/>
    <n v="2"/>
    <n v="2"/>
    <x v="12"/>
    <n v="1"/>
    <n v="1"/>
    <n v="1"/>
  </r>
  <r>
    <s v="UniCredit Bank Hungary Zrt."/>
    <s v="CA54"/>
    <s v="Diebold-Opteva 520 ATM Indoor"/>
    <s v="1520V3300478"/>
    <s v="7621"/>
    <s v="Pécs"/>
    <s v="Rákóczi út 58."/>
    <s v="ok"/>
    <n v="2"/>
    <n v="2"/>
    <x v="12"/>
    <n v="1"/>
    <n v="1"/>
    <n v="1"/>
  </r>
  <r>
    <s v="UniCredit Bank Hungary Zrt."/>
    <s v="CA55"/>
    <s v="Diebold-Opteva 520 ATM Indoor"/>
    <s v="1520F3302400"/>
    <s v="1053"/>
    <s v="Budapest"/>
    <s v="Ferenciek tere 2."/>
    <s v="ok"/>
    <n v="2"/>
    <n v="2"/>
    <x v="13"/>
    <n v="1"/>
    <n v="1"/>
    <n v="1"/>
  </r>
  <r>
    <s v="UniCredit Bank Hungary Zrt."/>
    <s v="CA56_ENA"/>
    <s v="Diebold-Opteva 720 ATM Indoor"/>
    <s v="1720FH122347"/>
    <s v="1053"/>
    <s v="Budapest"/>
    <s v="Ferenciek tere 2. (2. ATM)"/>
    <s v="ok"/>
    <n v="2"/>
    <n v="2"/>
    <x v="13"/>
    <n v="1"/>
    <n v="1"/>
    <n v="1"/>
  </r>
  <r>
    <s v="UniCredit Bank Hungary Zrt."/>
    <s v="CA58"/>
    <s v="Diebold-Opteva 520 ATM Indoor"/>
    <s v="1520F3303649"/>
    <s v="5600"/>
    <s v="Békéscsaba"/>
    <s v="Andrássy út 37-43"/>
    <s v="ok"/>
    <n v="2"/>
    <n v="2"/>
    <x v="3"/>
    <n v="1"/>
    <n v="1"/>
    <n v="1"/>
  </r>
  <r>
    <s v="UniCredit Bank Hungary Zrt."/>
    <s v="CA59_ENA"/>
    <s v="Diebold-Opteva 720 ATM Indoor"/>
    <s v="1720FH122114"/>
    <s v="5600"/>
    <s v="Békéscsaba"/>
    <s v="Andrássy út 37-43"/>
    <s v="ok"/>
    <n v="2"/>
    <n v="2"/>
    <x v="3"/>
    <n v="1"/>
    <n v="1"/>
    <n v="1"/>
  </r>
  <r>
    <s v="UniCredit Bank Hungary Zrt."/>
    <s v="CA60_ENA"/>
    <s v="Diebold-Opteva 720 ATM Indoor"/>
    <s v="1720FH122109"/>
    <s v="1222"/>
    <s v="Budapest"/>
    <s v="Nagytétényi út 37-45."/>
    <s v="ok"/>
    <n v="2"/>
    <n v="2"/>
    <x v="17"/>
    <n v="1"/>
    <n v="1"/>
    <n v="1"/>
  </r>
  <r>
    <s v="UniCredit Bank Hungary Zrt."/>
    <s v="CA61"/>
    <s v="Diebold-Opteva 520 ATM Indoor"/>
    <s v="1520FH122854"/>
    <s v="8000"/>
    <s v="Székesfehérvár"/>
    <s v="Holland fasor 14"/>
    <s v="ok"/>
    <n v="2"/>
    <n v="2"/>
    <x v="4"/>
    <e v="#N/A"/>
    <n v="0"/>
    <n v="2"/>
  </r>
  <r>
    <s v="UniCredit Bank Hungary Zrt."/>
    <s v="CA62_ENA"/>
    <s v="Diebold-Opteva 720 ATM Indoor"/>
    <s v="1720FH122342"/>
    <s v="3100"/>
    <s v="Salgótarján"/>
    <s v="Rákóczi út 13."/>
    <s v="ok"/>
    <n v="2"/>
    <n v="2"/>
    <x v="6"/>
    <n v="1"/>
    <n v="1"/>
    <n v="1"/>
  </r>
  <r>
    <s v="UniCredit Bank Hungary Zrt."/>
    <s v="CA63_ENA"/>
    <s v="Diebold-Opteva 760 ATM Outdoor"/>
    <s v="1760RH128482"/>
    <s v="7100"/>
    <s v="Szekszárd"/>
    <s v="Arany János u. 15-17."/>
    <s v="ok"/>
    <n v="2"/>
    <n v="2"/>
    <x v="7"/>
    <n v="1"/>
    <n v="1"/>
    <n v="1"/>
  </r>
  <r>
    <s v="UniCredit Bank Hungary Zrt."/>
    <s v="CA64_ENA"/>
    <s v="Diebold-Opteva 760 ATM Outdoor"/>
    <s v="1760RH128483"/>
    <s v="2500"/>
    <s v="Esztergom"/>
    <s v="Kossuth Lajos u. 14."/>
    <s v="ok"/>
    <n v="2"/>
    <n v="2"/>
    <x v="14"/>
    <e v="#N/A"/>
    <n v="0"/>
    <n v="2"/>
  </r>
  <r>
    <s v="UniCredit Bank Hungary Zrt."/>
    <s v="CA65_ENA"/>
    <s v="Diebold-Opteva 720 ATM Indoor"/>
    <s v="1720FH122343"/>
    <s v="1024"/>
    <s v="Budapest"/>
    <s v="Margit krt. 87-89."/>
    <s v="ok"/>
    <n v="2"/>
    <n v="2"/>
    <x v="0"/>
    <n v="1"/>
    <n v="1"/>
    <n v="1"/>
  </r>
  <r>
    <s v="UniCredit Bank Hungary Zrt."/>
    <s v="CA66_ENA"/>
    <s v="Diebold-Opteva 720 ATM Indoor"/>
    <s v="1720FH122166"/>
    <s v="2092"/>
    <s v="Budakeszi"/>
    <s v="Fő u. 139."/>
    <s v="ok"/>
    <n v="2"/>
    <n v="2"/>
    <x v="0"/>
    <n v="1"/>
    <n v="1"/>
    <n v="1"/>
  </r>
  <r>
    <s v="UniCredit Bank Hungary Zrt."/>
    <s v="CA67"/>
    <s v="Diebold-Opteva 520 ATM Indoor"/>
    <s v="1520FH120013"/>
    <s v="1034"/>
    <s v="Budapest"/>
    <s v="Bécsi út 136."/>
    <s v="ok"/>
    <n v="2"/>
    <n v="2"/>
    <x v="0"/>
    <n v="1"/>
    <n v="1"/>
    <n v="1"/>
  </r>
  <r>
    <s v="UniCredit Bank Hungary Zrt."/>
    <s v="CA68_ENA"/>
    <s v="Diebold-Opteva 720 ATM Indoor"/>
    <s v="1720FH122112"/>
    <s v="2400"/>
    <s v="Dunaújváros"/>
    <s v="Dózsa Gy. út 4/d"/>
    <s v="ok"/>
    <n v="2"/>
    <n v="2"/>
    <x v="7"/>
    <n v="1"/>
    <n v="1"/>
    <n v="1"/>
  </r>
  <r>
    <s v="UniCredit Bank Hungary Zrt."/>
    <s v="CA69_ENA"/>
    <s v="Diebold-Opteva 720 ATM Indoor"/>
    <s v="1720FH122117"/>
    <s v="2030"/>
    <s v="Érd"/>
    <s v="Budai út 13."/>
    <s v="ok"/>
    <n v="2"/>
    <n v="2"/>
    <x v="15"/>
    <n v="1"/>
    <n v="1"/>
    <n v="1"/>
  </r>
  <r>
    <s v="UniCredit Bank Hungary Zrt."/>
    <s v="CA70"/>
    <s v="Diebold-Opteva 520 ATM Indoor"/>
    <s v="1520F3306008"/>
    <s v="1054"/>
    <s v="Budapest"/>
    <s v="Szabadság tér 5-6"/>
    <s v="ok"/>
    <n v="2"/>
    <n v="2"/>
    <x v="13"/>
    <n v="1"/>
    <n v="1"/>
    <n v="1"/>
  </r>
  <r>
    <s v="UniCredit Bank Hungary Zrt."/>
    <s v="CA71_ENA"/>
    <s v="Diebold-Opteva 720 ATM Indoor"/>
    <s v="1720FH121780"/>
    <s v="1054"/>
    <s v="Budapest"/>
    <s v="Szabadság tér 5-6."/>
    <s v="ok"/>
    <n v="2"/>
    <n v="2"/>
    <x v="13"/>
    <n v="1"/>
    <n v="1"/>
    <n v="1"/>
  </r>
  <r>
    <s v="UniCredit Bank Hungary Zrt."/>
    <s v="CA73_ENA"/>
    <s v="Diebold-Opteva 720 ATM Indoor"/>
    <s v="1720FH122163"/>
    <s v="1211"/>
    <s v="Budapest"/>
    <s v="II. Rákóczi Ferenc út 154-170."/>
    <s v="ok"/>
    <n v="2"/>
    <n v="2"/>
    <x v="15"/>
    <n v="1"/>
    <n v="1"/>
    <n v="1"/>
  </r>
  <r>
    <s v="UniCredit Bank Hungary Zrt."/>
    <s v="CA74"/>
    <s v="Diebold-Opteva 520 ATM Indoor"/>
    <s v="1520FH124912"/>
    <s v="1212"/>
    <s v="Budapest"/>
    <s v="Görgey Artúr tér 8"/>
    <s v="ok"/>
    <n v="2"/>
    <n v="2"/>
    <x v="15"/>
    <n v="1"/>
    <n v="1"/>
    <n v="1"/>
  </r>
  <r>
    <s v="UniCredit Bank Hungary Zrt."/>
    <s v="CA75_ENA"/>
    <s v="Diebold-Opteva 720 ATM Indoor"/>
    <s v="1720FH122160"/>
    <s v="6500"/>
    <s v="Baja"/>
    <s v="Tóth Kálmán tér 3."/>
    <s v="ok"/>
    <n v="2"/>
    <n v="2"/>
    <x v="12"/>
    <n v="1"/>
    <n v="1"/>
    <n v="1"/>
  </r>
  <r>
    <s v="UniCredit Bank Hungary Zrt."/>
    <s v="CA77_ENA"/>
    <s v="Diebold-Opteva 720 ATM Indoor"/>
    <s v="1720FH122116"/>
    <s v="1042"/>
    <s v="Budapest"/>
    <s v="István út 10."/>
    <s v="ok"/>
    <n v="2"/>
    <n v="2"/>
    <x v="0"/>
    <n v="1"/>
    <n v="1"/>
    <n v="1"/>
  </r>
  <r>
    <s v="UniCredit Bank Hungary Zrt."/>
    <s v="CA78_ENA"/>
    <s v="Diebold-Opteva 720 ATM Indoor"/>
    <s v="1720FH122345"/>
    <s v="2700"/>
    <s v="Cegléd"/>
    <s v="Kossuth tér 4."/>
    <s v="ok"/>
    <n v="2"/>
    <n v="2"/>
    <x v="6"/>
    <n v="1"/>
    <n v="1"/>
    <n v="1"/>
  </r>
  <r>
    <s v="UniCredit Bank Hungary Zrt."/>
    <s v="CA79_ENA"/>
    <s v="Diebold-Opteva 720 ATM Indoor"/>
    <s v="1720FH122161"/>
    <s v="2000"/>
    <s v="Szentendre"/>
    <s v="Dobogókői út 1."/>
    <s v="ok"/>
    <n v="2"/>
    <n v="2"/>
    <x v="14"/>
    <n v="1"/>
    <n v="1"/>
    <n v="1"/>
  </r>
  <r>
    <s v="UniCredit Bank Hungary Zrt."/>
    <s v="CA80_ENA"/>
    <s v="Diebold-Opteva 720 ATM Indoor"/>
    <s v="1720FH121784"/>
    <s v="1148"/>
    <s v="Budapest"/>
    <s v="Örs vezér tere 24."/>
    <s v="ok"/>
    <n v="2"/>
    <n v="2"/>
    <x v="6"/>
    <n v="1"/>
    <n v="1"/>
    <n v="1"/>
  </r>
  <r>
    <s v="UniCredit Bank Hungary Zrt."/>
    <s v="CA81"/>
    <s v="Diebold-Opteva 520 ATM Indoor"/>
    <s v="1520FH124923"/>
    <s v="1148"/>
    <s v="Budapest"/>
    <s v="Örs vezér tere 24."/>
    <s v="ok"/>
    <n v="2"/>
    <n v="2"/>
    <x v="6"/>
    <n v="1"/>
    <n v="1"/>
    <n v="1"/>
  </r>
  <r>
    <s v="UniCredit Bank Hungary Zrt."/>
    <s v="CA82_ENA"/>
    <s v="Diebold-Opteva 720 ATM Indoor"/>
    <s v="1720FH122159"/>
    <s v="1165"/>
    <s v="Budapest"/>
    <s v="Veres Péter út 105-107."/>
    <s v="ok"/>
    <n v="2"/>
    <n v="2"/>
    <x v="6"/>
    <n v="1"/>
    <n v="1"/>
    <n v="1"/>
  </r>
  <r>
    <s v="UniCredit Bank Hungary Zrt."/>
    <s v="CA83"/>
    <s v="Diebold-Opteva 520 ATM Indoor"/>
    <s v="1520V3300634"/>
    <s v="1052"/>
    <s v="Budapest"/>
    <s v="Szervita tér 1-2."/>
    <s v="ok"/>
    <n v="2"/>
    <n v="2"/>
    <x v="13"/>
    <n v="1"/>
    <n v="1"/>
    <n v="1"/>
  </r>
  <r>
    <s v="UniCredit Bank Hungary Zrt."/>
    <s v="CA84_ENA"/>
    <s v="Diebold-Opteva 760 ATM Outdoor"/>
    <s v="1760RH132287"/>
    <s v="1052"/>
    <s v="Budapest"/>
    <s v="Szervita tér 1-2."/>
    <s v="ok"/>
    <n v="2"/>
    <n v="2"/>
    <x v="13"/>
    <n v="1"/>
    <n v="1"/>
    <n v="1"/>
  </r>
  <r>
    <s v="UniCredit Bank Hungary Zrt."/>
    <s v="CA86_ENA"/>
    <s v="Diebold-Opteva 720 ATM Indoor"/>
    <s v="1720FH123166"/>
    <s v="5100"/>
    <s v="Jászberény"/>
    <s v="Szabadság tér 3."/>
    <s v="ok"/>
    <n v="2"/>
    <n v="2"/>
    <x v="10"/>
    <n v="1"/>
    <n v="1"/>
    <n v="1"/>
  </r>
  <r>
    <s v="UniCredit Bank Hungary Zrt."/>
    <s v="CA87_ENA"/>
    <s v="Diebold-Opteva 720 ATM Indoor"/>
    <s v="1720FH121781"/>
    <s v="1138"/>
    <s v="Budapest"/>
    <s v="Váci út 178."/>
    <s v="ok"/>
    <n v="2"/>
    <n v="2"/>
    <x v="14"/>
    <n v="1"/>
    <n v="1"/>
    <n v="1"/>
  </r>
  <r>
    <s v="UniCredit Bank Hungary Zrt."/>
    <s v="CA89"/>
    <s v="Diebold-Opteva 520 ATM Indoor"/>
    <s v="1520FH123084"/>
    <s v="2030"/>
    <s v="Érd"/>
    <s v="Felső u. 39-41."/>
    <s v="ok"/>
    <n v="2"/>
    <n v="2"/>
    <x v="15"/>
    <n v="1"/>
    <n v="1"/>
    <n v="1"/>
  </r>
  <r>
    <s v="UniCredit Bank Hungary Zrt."/>
    <s v="CA90_ENA"/>
    <s v="Diebold-Opteva 720 ATM Indoor"/>
    <s v="1720FH122170"/>
    <s v="9021"/>
    <s v="Győr"/>
    <s v="Budai út 1. (Árkád)"/>
    <s v="ok"/>
    <n v="2"/>
    <n v="2"/>
    <x v="19"/>
    <e v="#N/A"/>
    <n v="0"/>
    <n v="2"/>
  </r>
  <r>
    <s v="UniCredit Bank Hungary Zrt."/>
    <s v="CA91"/>
    <s v="OPT562 1GIG-DVD-UPS-LAN-A6-CEN3(4HIGH)"/>
    <s v="1562RCF00041"/>
    <s v="8000"/>
    <s v="Székesfehérvár"/>
    <s v="Bástya u. 10."/>
    <s v="ok"/>
    <n v="2"/>
    <n v="1"/>
    <x v="4"/>
    <e v="#N/A"/>
    <n v="0"/>
    <n v="1"/>
  </r>
  <r>
    <s v="UniCredit Bank Hungary Zrt."/>
    <s v="CA92_ENA"/>
    <s v="Diebold-Opteva 760 ATM Outdoor"/>
    <s v="1760RH130332"/>
    <s v="3200"/>
    <s v="Gyöngyös"/>
    <s v="Páter Kiss Szaléz u. 22."/>
    <s v="ok"/>
    <n v="2"/>
    <n v="2"/>
    <x v="6"/>
    <n v="1"/>
    <n v="1"/>
    <n v="1"/>
  </r>
  <r>
    <s v="UniCredit Bank Hungary Zrt."/>
    <s v="CA93"/>
    <s v="Diebold-Opteva 520 ATM Indoor"/>
    <s v="1520FH120021"/>
    <s v="3200"/>
    <s v="Gyöngyös"/>
    <s v="Déli-Külhatár u. 2-4."/>
    <s v="ok"/>
    <n v="2"/>
    <n v="2"/>
    <x v="6"/>
    <n v="1"/>
    <n v="1"/>
    <n v="1"/>
  </r>
  <r>
    <s v="UniCredit Bank Hungary Zrt."/>
    <s v="CA94"/>
    <s v="Diebold-Opteva 520 ATM Indoor"/>
    <s v="1520FH122732"/>
    <s v="2132"/>
    <s v="Göd"/>
    <s v="Ipartelep hrsz. 6901."/>
    <s v="ok"/>
    <n v="2"/>
    <n v="2"/>
    <x v="6"/>
    <n v="1"/>
    <n v="1"/>
    <n v="1"/>
  </r>
  <r>
    <s v="UniCredit Bank Hungary Zrt."/>
    <s v="CA95"/>
    <s v="OPT562 1GIG-DVD-UPS-LAN-A6-CEN3(4HIGH)"/>
    <s v="1562RCF00955"/>
    <s v="1117"/>
    <s v="Budapest"/>
    <s v="Fehérvári út 23."/>
    <s v="ok"/>
    <n v="2"/>
    <n v="2"/>
    <x v="17"/>
    <n v="1"/>
    <n v="1"/>
    <n v="1"/>
  </r>
  <r>
    <s v="UniCredit Bank Hungary Zrt."/>
    <s v="CA97_ENA"/>
    <s v="Diebold-Opteva 720 ATM Indoor"/>
    <s v="1720FH122165"/>
    <s v="1117"/>
    <s v="Budapest"/>
    <s v="Hengermalom u. 19-21."/>
    <s v="ok"/>
    <n v="2"/>
    <n v="2"/>
    <x v="17"/>
    <n v="2"/>
    <n v="2"/>
    <n v="0"/>
  </r>
  <r>
    <s v="UniCredit Bank Hungary Zrt."/>
    <s v="CA98_ENA"/>
    <s v="Diebold-Opteva 720 ATM Indoor"/>
    <s v="1720FH121783"/>
    <s v="1138"/>
    <s v="Budapest"/>
    <s v="Váci út 178."/>
    <s v="ok"/>
    <n v="2"/>
    <n v="2"/>
    <x v="14"/>
    <n v="1"/>
    <n v="1"/>
    <n v="1"/>
  </r>
  <r>
    <s v="UniCredit Bank Hungary Zrt."/>
    <s v="CA99_ENA"/>
    <s v="Diebold-Opteva 720 ATM Indoor"/>
    <s v="1720FH122108"/>
    <s v="1152"/>
    <s v="Budapest"/>
    <s v="Szentmihályi út 137."/>
    <s v="ok"/>
    <n v="2"/>
    <n v="2"/>
    <x v="14"/>
    <n v="1"/>
    <n v="1"/>
    <n v="1"/>
  </r>
  <r>
    <m/>
    <m/>
    <m/>
    <m/>
    <m/>
    <m/>
    <m/>
    <m/>
    <m/>
    <m/>
    <x v="2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Kimutatás1" cacheId="0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>
  <location ref="A3:C24" firstHeaderRow="0" firstDataRow="1" firstDataCol="1"/>
  <pivotFields count="14"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/>
    <pivotField dataField="1" showAll="0"/>
    <pivotField axis="axisRow" showAll="0" sortType="ascending" defaultSubtotal="0">
      <items count="23">
        <item h="1" m="1" x="22"/>
        <item x="13"/>
        <item x="6"/>
        <item x="21"/>
        <item x="14"/>
        <item x="9"/>
        <item x="11"/>
        <item x="19"/>
        <item x="10"/>
        <item x="0"/>
        <item x="3"/>
        <item x="2"/>
        <item h="1" x="20"/>
        <item x="1"/>
        <item x="16"/>
        <item x="15"/>
        <item x="17"/>
        <item x="12"/>
        <item x="8"/>
        <item x="4"/>
        <item x="7"/>
        <item x="5"/>
        <item h="1" x="18"/>
      </items>
    </pivotField>
    <pivotField showAll="0" defaultSubtotal="0"/>
    <pivotField showAll="0" defaultSubtotal="0"/>
    <pivotField showAll="0" defaultSubtotal="0"/>
  </pivotFields>
  <rowFields count="1">
    <field x="1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Mennyiség / ATM azonosító" fld="1" subtotal="count" baseField="12" baseItem="0"/>
    <dataField name="Összeg / Karb./akt.év" fld="9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Kimutatás3" cacheId="1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>
  <location ref="A3:C24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dataField="1" showAll="0"/>
    <pivotField axis="axisRow" showAll="0" sortType="ascending" defaultSubtotal="0">
      <items count="24">
        <item h="1" m="1" x="23"/>
        <item x="13"/>
        <item x="6"/>
        <item x="21"/>
        <item x="14"/>
        <item x="9"/>
        <item x="11"/>
        <item x="19"/>
        <item x="10"/>
        <item x="0"/>
        <item x="3"/>
        <item x="2"/>
        <item h="1" x="20"/>
        <item x="1"/>
        <item x="16"/>
        <item x="15"/>
        <item x="17"/>
        <item x="12"/>
        <item x="8"/>
        <item x="4"/>
        <item x="7"/>
        <item x="5"/>
        <item h="1" x="18"/>
        <item h="1" x="22"/>
      </items>
    </pivotField>
    <pivotField showAll="0" defaultSubtotal="0"/>
    <pivotField showAll="0" defaultSubtotal="0"/>
    <pivotField dataField="1" showAll="0"/>
  </pivotFields>
  <rowFields count="1">
    <field x="1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Összeg / Karb./akt.év" fld="9" baseField="11" baseItem="1"/>
    <dataField name="Összeg / Hátravan" fld="13" baseField="11" baseItem="0"/>
  </dataFields>
  <formats count="4">
    <format dxfId="16">
      <pivotArea collapsedLevelsAreSubtotals="1" fieldPosition="0">
        <references count="1">
          <reference field="10" count="17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9"/>
            <x v="20"/>
            <x v="21"/>
          </reference>
        </references>
      </pivotArea>
    </format>
    <format dxfId="15">
      <pivotArea dataOnly="0" labelOnly="1" fieldPosition="0">
        <references count="1">
          <reference field="10" count="17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9"/>
            <x v="20"/>
            <x v="21"/>
          </reference>
        </references>
      </pivotArea>
    </format>
    <format dxfId="14">
      <pivotArea collapsedLevelsAreSubtotals="1" fieldPosition="0">
        <references count="1">
          <reference field="10" count="17"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3">
      <pivotArea dataOnly="0" labelOnly="1" fieldPosition="0">
        <references count="1">
          <reference field="10" count="17"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Kimutatás1" cacheId="0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>
  <location ref="A3:B15" firstHeaderRow="1" firstDataRow="1" firstDataCol="1"/>
  <pivotFields count="14">
    <pivotField axis="axisRow" showAll="0">
      <items count="30">
        <item m="1" x="12"/>
        <item m="1" x="26"/>
        <item m="1" x="24"/>
        <item m="1" x="27"/>
        <item m="1" x="22"/>
        <item sd="0" x="0"/>
        <item m="1" x="18"/>
        <item sd="0" x="1"/>
        <item sd="0" x="2"/>
        <item sd="0" x="3"/>
        <item m="1" x="17"/>
        <item m="1" x="11"/>
        <item sd="0" x="4"/>
        <item m="1" x="15"/>
        <item m="1" x="21"/>
        <item sd="0" x="5"/>
        <item m="1" x="13"/>
        <item m="1" x="14"/>
        <item m="1" x="23"/>
        <item sd="0" x="7"/>
        <item sd="0" x="8"/>
        <item m="1" x="19"/>
        <item m="1" x="20"/>
        <item sd="0" x="9"/>
        <item m="1" x="16"/>
        <item sd="0" x="10"/>
        <item m="1" x="28"/>
        <item sd="0" x="6"/>
        <item m="1" x="2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axis="axisRow" showAll="0">
      <items count="24">
        <item x="6"/>
        <item x="21"/>
        <item x="14"/>
        <item x="9"/>
        <item x="19"/>
        <item x="10"/>
        <item x="3"/>
        <item x="2"/>
        <item x="1"/>
        <item x="16"/>
        <item x="15"/>
        <item x="17"/>
        <item x="4"/>
        <item x="7"/>
        <item x="5"/>
        <item x="0"/>
        <item h="1" m="1" x="22"/>
        <item x="11"/>
        <item x="8"/>
        <item x="12"/>
        <item x="13"/>
        <item h="1" x="20"/>
        <item h="1" x="18"/>
        <item t="default"/>
      </items>
    </pivotField>
    <pivotField showAll="0" defaultSubtotal="0"/>
    <pivotField showAll="0" defaultSubtotal="0"/>
    <pivotField dataField="1" showAll="0"/>
  </pivotFields>
  <rowFields count="2">
    <field x="0"/>
    <field x="10"/>
  </rowFields>
  <rowItems count="12">
    <i>
      <x v="5"/>
    </i>
    <i>
      <x v="7"/>
    </i>
    <i>
      <x v="8"/>
    </i>
    <i>
      <x v="9"/>
    </i>
    <i>
      <x v="12"/>
    </i>
    <i>
      <x v="15"/>
    </i>
    <i>
      <x v="19"/>
    </i>
    <i>
      <x v="20"/>
    </i>
    <i>
      <x v="23"/>
    </i>
    <i>
      <x v="25"/>
    </i>
    <i>
      <x v="27"/>
    </i>
    <i t="grand">
      <x/>
    </i>
  </rowItems>
  <colItems count="1">
    <i/>
  </colItems>
  <dataFields count="1">
    <dataField name="Összeg / Hátravan" fld="13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Kimutatás3" cacheId="0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>
  <location ref="A3:B24" firstHeaderRow="1" firstDataRow="1" firstDataCol="1"/>
  <pivotFields count="14">
    <pivotField axis="axisRow" showAll="0">
      <items count="30">
        <item m="1" x="12"/>
        <item m="1" x="26"/>
        <item m="1" x="24"/>
        <item m="1" x="27"/>
        <item m="1" x="22"/>
        <item x="0"/>
        <item m="1" x="18"/>
        <item x="1"/>
        <item x="2"/>
        <item x="3"/>
        <item m="1" x="17"/>
        <item m="1" x="11"/>
        <item x="4"/>
        <item m="1" x="15"/>
        <item m="1" x="21"/>
        <item x="5"/>
        <item m="1" x="13"/>
        <item m="1" x="14"/>
        <item m="1" x="23"/>
        <item x="7"/>
        <item x="8"/>
        <item m="1" x="19"/>
        <item m="1" x="20"/>
        <item x="9"/>
        <item m="1" x="16"/>
        <item x="10"/>
        <item m="1" x="28"/>
        <item x="6"/>
        <item m="1" x="2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axis="axisRow" showAll="0" sortType="ascending">
      <items count="24">
        <item sd="0" m="1" x="22"/>
        <item sd="0" x="13"/>
        <item sd="0" x="6"/>
        <item sd="0" x="21"/>
        <item sd="0" x="14"/>
        <item sd="0" x="9"/>
        <item sd="0" x="11"/>
        <item sd="0" x="19"/>
        <item sd="0" x="10"/>
        <item sd="0" x="0"/>
        <item sd="0" x="3"/>
        <item sd="0" x="2"/>
        <item h="1" sd="0" x="20"/>
        <item sd="0" x="1"/>
        <item sd="0" x="16"/>
        <item sd="0" x="15"/>
        <item sd="0" x="17"/>
        <item sd="0" x="12"/>
        <item sd="0" x="8"/>
        <item sd="0" x="4"/>
        <item sd="0" x="7"/>
        <item sd="0" x="5"/>
        <item h="1" x="18"/>
        <item t="default" sd="0"/>
      </items>
    </pivotField>
    <pivotField showAll="0" defaultSubtotal="0"/>
    <pivotField showAll="0" defaultSubtotal="0"/>
    <pivotField dataField="1" showAll="0"/>
  </pivotFields>
  <rowFields count="2">
    <field x="10"/>
    <field x="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Összeg / Hátravan" fld="13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Kimutatás1" cacheId="0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>
  <location ref="A3:C25" firstHeaderRow="0" firstDataRow="1" firstDataCol="1" rowPageCount="1" colPageCount="1"/>
  <pivotFields count="14">
    <pivotField axis="axisPage" showAll="0">
      <items count="30">
        <item m="1" x="12"/>
        <item m="1" x="26"/>
        <item m="1" x="24"/>
        <item m="1" x="27"/>
        <item m="1" x="22"/>
        <item x="0"/>
        <item m="1" x="18"/>
        <item x="1"/>
        <item x="2"/>
        <item x="3"/>
        <item m="1" x="17"/>
        <item m="1" x="11"/>
        <item x="4"/>
        <item m="1" x="15"/>
        <item m="1" x="21"/>
        <item x="5"/>
        <item m="1" x="13"/>
        <item m="1" x="14"/>
        <item m="1" x="23"/>
        <item x="7"/>
        <item x="8"/>
        <item m="1" x="19"/>
        <item m="1" x="20"/>
        <item x="9"/>
        <item m="1" x="16"/>
        <item m="1" x="28"/>
        <item x="10"/>
        <item x="6"/>
        <item m="1" x="2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numFmtId="1" showAll="0"/>
    <pivotField dataField="1" numFmtId="1" showAll="0"/>
    <pivotField axis="axisRow" showAll="0">
      <items count="24">
        <item m="1" x="22"/>
        <item x="6"/>
        <item x="21"/>
        <item x="14"/>
        <item x="9"/>
        <item x="19"/>
        <item x="10"/>
        <item x="0"/>
        <item x="3"/>
        <item x="2"/>
        <item x="1"/>
        <item x="16"/>
        <item x="15"/>
        <item x="17"/>
        <item x="4"/>
        <item x="7"/>
        <item x="5"/>
        <item x="11"/>
        <item x="8"/>
        <item x="12"/>
        <item x="13"/>
        <item x="20"/>
        <item x="18"/>
        <item t="default"/>
      </items>
    </pivotField>
    <pivotField showAll="0" defaultSubtotal="0"/>
    <pivotField showAll="0" defaultSubtotal="0"/>
    <pivotField dataField="1" showAll="0"/>
  </pivotFields>
  <rowFields count="1">
    <field x="10"/>
  </rowFields>
  <rowItems count="2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2" hier="-1"/>
  </pageFields>
  <dataFields count="2">
    <dataField name="Összeg / Karb./akt.év" fld="9" baseField="0" baseItem="0"/>
    <dataField name="Összeg / Hátrava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áblázat1" displayName="Táblázat1" ref="A1:N2266" totalsRowShown="0">
  <autoFilter ref="A1:N2266" xr:uid="{00000000-0009-0000-0100-000001000000}">
    <filterColumn colId="13">
      <filters>
        <filter val="2"/>
      </filters>
    </filterColumn>
  </autoFilter>
  <sortState xmlns:xlrd2="http://schemas.microsoft.com/office/spreadsheetml/2017/richdata2" ref="A2:M2312">
    <sortCondition ref="A1:A2312"/>
  </sortState>
  <tableColumns count="14">
    <tableColumn id="1" xr3:uid="{00000000-0010-0000-0000-000001000000}" name="Ügyfél" dataDxfId="12"/>
    <tableColumn id="2" xr3:uid="{00000000-0010-0000-0000-000002000000}" name="ATM azonosító" dataDxfId="11"/>
    <tableColumn id="3" xr3:uid="{00000000-0010-0000-0000-000003000000}" name="ATM típus" dataDxfId="10"/>
    <tableColumn id="4" xr3:uid="{00000000-0010-0000-0000-000004000000}" name="ATM gyári száma" dataDxfId="9"/>
    <tableColumn id="13" xr3:uid="{00000000-0010-0000-0000-00000D000000}" name="Irányítószám" dataDxfId="8"/>
    <tableColumn id="12" xr3:uid="{00000000-0010-0000-0000-00000C000000}" name="Település" dataDxfId="7"/>
    <tableColumn id="11" xr3:uid="{00000000-0010-0000-0000-00000B000000}" name="Cím" dataDxfId="6"/>
    <tableColumn id="5" xr3:uid="{00000000-0010-0000-0000-000005000000}" name="Check"/>
    <tableColumn id="9" xr3:uid="{00000000-0010-0000-0000-000009000000}" name="Karb/év" dataDxfId="5"/>
    <tableColumn id="7" xr3:uid="{00000000-0010-0000-0000-000007000000}" name="Karb./akt.év" dataDxfId="4"/>
    <tableColumn id="18" xr3:uid="{00000000-0010-0000-0000-000012000000}" name="Technikus - ÚJ" dataDxfId="3"/>
    <tableColumn id="15" xr3:uid="{00000000-0010-0000-0000-00000F000000}" name="Kész2020" dataDxfId="2">
      <calculatedColumnFormula>VLOOKUP(D:D,[1]Munka2!$A:$B,2,FALSE)</calculatedColumnFormula>
    </tableColumn>
    <tableColumn id="16" xr3:uid="{00000000-0010-0000-0000-000010000000}" name="Kész2020_2" dataDxfId="1">
      <calculatedColumnFormula>_xlfn.IFNA(Táblázat1[[#This Row],[Kész2020]],0)</calculatedColumnFormula>
    </tableColumn>
    <tableColumn id="17" xr3:uid="{00000000-0010-0000-0000-000011000000}" name="Hátravan" dataDxfId="0">
      <calculatedColumnFormula>IF(Táblázat1[[#This Row],[Karb./akt.év]]-Táblázat1[[#This Row],[Kész2020_2]]&lt;0,0,Táblázat1[[#This Row],[Karb./akt.év]]-Táblázat1[[#This Row],[Kész2020_2]])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4"/>
  <sheetViews>
    <sheetView workbookViewId="0">
      <selection activeCell="C4" sqref="C4"/>
    </sheetView>
  </sheetViews>
  <sheetFormatPr defaultRowHeight="15" x14ac:dyDescent="0.25"/>
  <cols>
    <col min="1" max="1" width="18.28515625" customWidth="1"/>
    <col min="2" max="2" width="26.28515625" bestFit="1" customWidth="1"/>
    <col min="3" max="3" width="20" bestFit="1" customWidth="1"/>
  </cols>
  <sheetData>
    <row r="3" spans="1:3" x14ac:dyDescent="0.25">
      <c r="A3" s="3" t="s">
        <v>6632</v>
      </c>
      <c r="B3" t="s">
        <v>6645</v>
      </c>
      <c r="C3" t="s">
        <v>6646</v>
      </c>
    </row>
    <row r="4" spans="1:3" x14ac:dyDescent="0.25">
      <c r="A4" s="4" t="s">
        <v>8101</v>
      </c>
      <c r="B4" s="5">
        <v>120</v>
      </c>
      <c r="C4" s="5">
        <v>196</v>
      </c>
    </row>
    <row r="5" spans="1:3" x14ac:dyDescent="0.25">
      <c r="A5" s="4" t="s">
        <v>7014</v>
      </c>
      <c r="B5" s="5">
        <v>121</v>
      </c>
      <c r="C5" s="5">
        <v>225</v>
      </c>
    </row>
    <row r="6" spans="1:3" x14ac:dyDescent="0.25">
      <c r="A6" s="4" t="s">
        <v>7118</v>
      </c>
      <c r="B6" s="5">
        <v>13</v>
      </c>
      <c r="C6" s="5">
        <v>26</v>
      </c>
    </row>
    <row r="7" spans="1:3" x14ac:dyDescent="0.25">
      <c r="A7" s="4" t="s">
        <v>6633</v>
      </c>
      <c r="B7" s="5">
        <v>107</v>
      </c>
      <c r="C7" s="5">
        <v>189</v>
      </c>
    </row>
    <row r="8" spans="1:3" x14ac:dyDescent="0.25">
      <c r="A8" s="4" t="s">
        <v>6634</v>
      </c>
      <c r="B8" s="5">
        <v>117</v>
      </c>
      <c r="C8" s="5">
        <v>227</v>
      </c>
    </row>
    <row r="9" spans="1:3" x14ac:dyDescent="0.25">
      <c r="A9" s="4" t="s">
        <v>7354</v>
      </c>
      <c r="B9" s="5">
        <v>136</v>
      </c>
      <c r="C9" s="5">
        <v>254</v>
      </c>
    </row>
    <row r="10" spans="1:3" x14ac:dyDescent="0.25">
      <c r="A10" s="4" t="s">
        <v>6635</v>
      </c>
      <c r="B10" s="5">
        <v>128</v>
      </c>
      <c r="C10" s="5">
        <v>238</v>
      </c>
    </row>
    <row r="11" spans="1:3" x14ac:dyDescent="0.25">
      <c r="A11" s="4" t="s">
        <v>6636</v>
      </c>
      <c r="B11" s="5">
        <v>109</v>
      </c>
      <c r="C11" s="5">
        <v>212</v>
      </c>
    </row>
    <row r="12" spans="1:3" x14ac:dyDescent="0.25">
      <c r="A12" s="4" t="s">
        <v>7017</v>
      </c>
      <c r="B12" s="5">
        <v>102</v>
      </c>
      <c r="C12" s="5">
        <v>182</v>
      </c>
    </row>
    <row r="13" spans="1:3" x14ac:dyDescent="0.25">
      <c r="A13" s="4" t="s">
        <v>6637</v>
      </c>
      <c r="B13" s="5">
        <v>133</v>
      </c>
      <c r="C13" s="5">
        <v>242</v>
      </c>
    </row>
    <row r="14" spans="1:3" x14ac:dyDescent="0.25">
      <c r="A14" s="4" t="s">
        <v>6638</v>
      </c>
      <c r="B14" s="5">
        <v>133</v>
      </c>
      <c r="C14" s="5">
        <v>261</v>
      </c>
    </row>
    <row r="15" spans="1:3" x14ac:dyDescent="0.25">
      <c r="A15" s="4" t="s">
        <v>6639</v>
      </c>
      <c r="B15" s="5">
        <v>135</v>
      </c>
      <c r="C15" s="5">
        <v>254</v>
      </c>
    </row>
    <row r="16" spans="1:3" x14ac:dyDescent="0.25">
      <c r="A16" s="4" t="s">
        <v>6640</v>
      </c>
      <c r="B16" s="5">
        <v>132</v>
      </c>
      <c r="C16" s="5">
        <v>250</v>
      </c>
    </row>
    <row r="17" spans="1:3" x14ac:dyDescent="0.25">
      <c r="A17" s="4" t="s">
        <v>6641</v>
      </c>
      <c r="B17" s="5">
        <v>126</v>
      </c>
      <c r="C17" s="5">
        <v>241</v>
      </c>
    </row>
    <row r="18" spans="1:3" x14ac:dyDescent="0.25">
      <c r="A18" s="4" t="s">
        <v>6785</v>
      </c>
      <c r="B18" s="5">
        <v>100</v>
      </c>
      <c r="C18" s="5">
        <v>188</v>
      </c>
    </row>
    <row r="19" spans="1:3" x14ac:dyDescent="0.25">
      <c r="A19" s="4" t="s">
        <v>8102</v>
      </c>
      <c r="B19" s="5">
        <v>113</v>
      </c>
      <c r="C19" s="5">
        <v>210</v>
      </c>
    </row>
    <row r="20" spans="1:3" x14ac:dyDescent="0.25">
      <c r="A20" s="4" t="s">
        <v>8103</v>
      </c>
      <c r="B20" s="5">
        <v>122</v>
      </c>
      <c r="C20" s="5">
        <v>235</v>
      </c>
    </row>
    <row r="21" spans="1:3" x14ac:dyDescent="0.25">
      <c r="A21" s="4" t="s">
        <v>6642</v>
      </c>
      <c r="B21" s="5">
        <v>120</v>
      </c>
      <c r="C21" s="5">
        <v>223</v>
      </c>
    </row>
    <row r="22" spans="1:3" x14ac:dyDescent="0.25">
      <c r="A22" s="4" t="s">
        <v>6784</v>
      </c>
      <c r="B22" s="5">
        <v>115</v>
      </c>
      <c r="C22" s="5">
        <v>219</v>
      </c>
    </row>
    <row r="23" spans="1:3" x14ac:dyDescent="0.25">
      <c r="A23" s="4" t="s">
        <v>6643</v>
      </c>
      <c r="B23" s="5">
        <v>79</v>
      </c>
      <c r="C23" s="5">
        <v>126</v>
      </c>
    </row>
    <row r="24" spans="1:3" x14ac:dyDescent="0.25">
      <c r="A24" s="4" t="s">
        <v>6644</v>
      </c>
      <c r="B24" s="5">
        <v>2261</v>
      </c>
      <c r="C24" s="5">
        <v>4198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27"/>
  <sheetViews>
    <sheetView workbookViewId="0">
      <selection activeCell="A4" sqref="A4"/>
    </sheetView>
  </sheetViews>
  <sheetFormatPr defaultRowHeight="15" x14ac:dyDescent="0.25"/>
  <cols>
    <col min="1" max="1" width="18.28515625" bestFit="1" customWidth="1"/>
    <col min="2" max="2" width="20" bestFit="1" customWidth="1"/>
    <col min="3" max="3" width="16.85546875" customWidth="1"/>
    <col min="4" max="4" width="16.85546875" bestFit="1" customWidth="1"/>
    <col min="5" max="5" width="10.85546875" style="7" bestFit="1" customWidth="1"/>
  </cols>
  <sheetData>
    <row r="3" spans="1:10" x14ac:dyDescent="0.25">
      <c r="A3" s="3" t="s">
        <v>6632</v>
      </c>
      <c r="B3" t="s">
        <v>6646</v>
      </c>
      <c r="C3" t="s">
        <v>7013</v>
      </c>
      <c r="E3" s="8" t="s">
        <v>6782</v>
      </c>
    </row>
    <row r="4" spans="1:10" x14ac:dyDescent="0.25">
      <c r="A4" s="4" t="s">
        <v>8101</v>
      </c>
      <c r="B4" s="5">
        <v>194</v>
      </c>
      <c r="C4" s="5">
        <v>124</v>
      </c>
      <c r="E4" s="16">
        <f>(GETPIVOTDATA("Összeg / Karb./akt.év",$A$3,"Technikus - ÚJ","ALL")-GETPIVOTDATA("Összeg / Hátravan",$A$3,"Technikus - ÚJ","ALL"))/GETPIVOTDATA("Összeg / Karb./akt.év",$A$3,"Technikus - ÚJ","ALL")</f>
        <v>0.36082474226804123</v>
      </c>
      <c r="F4" s="10"/>
      <c r="G4" s="10"/>
      <c r="H4" s="10"/>
      <c r="I4" s="10"/>
      <c r="J4" s="10"/>
    </row>
    <row r="5" spans="1:10" s="11" customFormat="1" x14ac:dyDescent="0.25">
      <c r="A5" s="15" t="s">
        <v>7014</v>
      </c>
      <c r="B5" s="14">
        <v>225</v>
      </c>
      <c r="C5" s="14">
        <v>134</v>
      </c>
      <c r="D5"/>
      <c r="E5" s="16">
        <f>(GETPIVOTDATA("Összeg / Karb./akt.év",$A$3,"Technikus - ÚJ","Babarik János")-GETPIVOTDATA("Összeg / Hátravan",$A$3,"Technikus - ÚJ","Babarik János"))/GETPIVOTDATA("Összeg / Karb./akt.év",$A$3,"Technikus - ÚJ","Babarik János")</f>
        <v>0.40444444444444444</v>
      </c>
      <c r="F5" s="10"/>
      <c r="G5" s="10"/>
      <c r="H5" s="10"/>
      <c r="I5" s="10"/>
      <c r="J5" s="10"/>
    </row>
    <row r="6" spans="1:10" x14ac:dyDescent="0.25">
      <c r="A6" s="15" t="s">
        <v>7118</v>
      </c>
      <c r="B6" s="14">
        <v>26</v>
      </c>
      <c r="C6" s="14">
        <v>25</v>
      </c>
      <c r="E6" s="16">
        <f>(GETPIVOTDATA("Összeg / Karb./akt.év",$A$3,"Technikus - ÚJ","BéZé Banktechnika")-GETPIVOTDATA("Összeg / Hátravan",$A$3,"Technikus - ÚJ","BéZé Banktechnika"))/GETPIVOTDATA("Összeg / Karb./akt.év",$A$3,"Technikus - ÚJ","BéZé Banktechnika")</f>
        <v>3.8461538461538464E-2</v>
      </c>
      <c r="F6" s="10"/>
      <c r="G6" s="10"/>
      <c r="H6" s="10"/>
      <c r="I6" s="10"/>
      <c r="J6" s="10"/>
    </row>
    <row r="7" spans="1:10" x14ac:dyDescent="0.25">
      <c r="A7" s="15" t="s">
        <v>6633</v>
      </c>
      <c r="B7" s="14">
        <v>189</v>
      </c>
      <c r="C7" s="14">
        <v>112</v>
      </c>
      <c r="E7" s="16">
        <f>(GETPIVOTDATA("Összeg / Karb./akt.év",$A$3,"Technikus - ÚJ","Csibi Gyula")-GETPIVOTDATA("Összeg / Hátravan",$A$3,"Technikus - ÚJ","Csibi Gyula"))/GETPIVOTDATA("Összeg / Karb./akt.év",$A$3,"Technikus - ÚJ","Csibi Gyula")</f>
        <v>0.40740740740740738</v>
      </c>
      <c r="F7" s="10"/>
      <c r="G7" s="10"/>
      <c r="H7" s="10"/>
      <c r="I7" s="10"/>
      <c r="J7" s="10"/>
    </row>
    <row r="8" spans="1:10" s="11" customFormat="1" x14ac:dyDescent="0.25">
      <c r="A8" s="15" t="s">
        <v>6634</v>
      </c>
      <c r="B8" s="14">
        <v>226</v>
      </c>
      <c r="C8" s="14">
        <v>121</v>
      </c>
      <c r="D8"/>
      <c r="E8" s="16">
        <f>(GETPIVOTDATA("Összeg / Karb./akt.év",$A$3,"Technikus - ÚJ","Farkas László")-GETPIVOTDATA("Összeg / Hátravan",$A$3,"Technikus - ÚJ","Farkas László"))/GETPIVOTDATA("Összeg / Karb./akt.év",$A$3,"Technikus - ÚJ","Farkas László")</f>
        <v>0.46460176991150443</v>
      </c>
      <c r="F8" s="10"/>
      <c r="G8" s="10"/>
      <c r="H8" s="10"/>
      <c r="I8" s="10"/>
      <c r="J8" s="10"/>
    </row>
    <row r="9" spans="1:10" x14ac:dyDescent="0.25">
      <c r="A9" s="15" t="s">
        <v>7354</v>
      </c>
      <c r="B9" s="14">
        <v>255</v>
      </c>
      <c r="C9" s="14">
        <v>157</v>
      </c>
      <c r="E9" s="16">
        <f>(GETPIVOTDATA("Összeg / Karb./akt.év",$A$3,"Technikus - ÚJ","Farkas Szilárd")-GETPIVOTDATA("Összeg / Hátravan",$A$3,"Technikus - ÚJ","Farkas Szilárd"))/GETPIVOTDATA("Összeg / Karb./akt.év",$A$3,"Technikus - ÚJ","Farkas Szilárd")</f>
        <v>0.3843137254901961</v>
      </c>
      <c r="F9" s="10"/>
      <c r="G9" s="10"/>
      <c r="H9" s="10"/>
      <c r="I9" s="10"/>
      <c r="J9" s="10"/>
    </row>
    <row r="10" spans="1:10" x14ac:dyDescent="0.25">
      <c r="A10" s="15" t="s">
        <v>6635</v>
      </c>
      <c r="B10" s="14">
        <v>234</v>
      </c>
      <c r="C10" s="14">
        <v>165</v>
      </c>
      <c r="E10" s="16">
        <f>(GETPIVOTDATA("Összeg / Karb./akt.év",$A$3,"Technikus - ÚJ","Hajnali Barnabás")-GETPIVOTDATA("Összeg / Hátravan",$A$3,"Technikus - ÚJ","Hajnali Barnabás"))/GETPIVOTDATA("Összeg / Karb./akt.év",$A$3,"Technikus - ÚJ","Hajnali Barnabás")</f>
        <v>0.29487179487179488</v>
      </c>
      <c r="F10" s="10"/>
      <c r="G10" s="10"/>
      <c r="H10" s="10"/>
      <c r="I10" s="10"/>
      <c r="J10" s="10"/>
    </row>
    <row r="11" spans="1:10" x14ac:dyDescent="0.25">
      <c r="A11" s="15" t="s">
        <v>6636</v>
      </c>
      <c r="B11" s="14">
        <v>212</v>
      </c>
      <c r="C11" s="14">
        <v>121</v>
      </c>
      <c r="E11" s="16">
        <f>(GETPIVOTDATA("Összeg / Karb./akt.év",$A$3,"Technikus - ÚJ","Klacsán Mihály")-GETPIVOTDATA("Összeg / Hátravan",$A$3,"Technikus - ÚJ","Klacsán Mihály"))/GETPIVOTDATA("Összeg / Karb./akt.év",$A$3,"Technikus - ÚJ","Klacsán Mihály")</f>
        <v>0.42924528301886794</v>
      </c>
      <c r="F11" s="10"/>
      <c r="G11" s="10"/>
      <c r="H11" s="10"/>
      <c r="I11" s="10"/>
      <c r="J11" s="10"/>
    </row>
    <row r="12" spans="1:10" s="11" customFormat="1" x14ac:dyDescent="0.25">
      <c r="A12" s="15" t="s">
        <v>7017</v>
      </c>
      <c r="B12" s="14">
        <v>182</v>
      </c>
      <c r="C12" s="14">
        <v>107</v>
      </c>
      <c r="D12"/>
      <c r="E12" s="16">
        <f>(GETPIVOTDATA("Összeg / Karb./akt.év",$A$3,"Technikus - ÚJ","Kliment Péter")-GETPIVOTDATA("Összeg / Hátravan",$A$3,"Technikus - ÚJ","Kliment Péter"))/GETPIVOTDATA("Összeg / Karb./akt.év",$A$3,"Technikus - ÚJ","Kliment Péter")</f>
        <v>0.41208791208791207</v>
      </c>
      <c r="F12" s="10"/>
      <c r="G12" s="10"/>
      <c r="H12" s="10"/>
      <c r="I12" s="10"/>
      <c r="J12" s="10"/>
    </row>
    <row r="13" spans="1:10" x14ac:dyDescent="0.25">
      <c r="A13" s="15" t="s">
        <v>6637</v>
      </c>
      <c r="B13" s="14">
        <v>240</v>
      </c>
      <c r="C13" s="14">
        <v>132</v>
      </c>
      <c r="E13" s="16">
        <f>(GETPIVOTDATA("Összeg / Karb./akt.év",$A$3,"Technikus - ÚJ","Kocsis Zsolt")-GETPIVOTDATA("Összeg / Hátravan",$A$3,"Technikus - ÚJ","Kocsis Zsolt"))/GETPIVOTDATA("Összeg / Karb./akt.év",$A$3,"Technikus - ÚJ","Kocsis Zsolt")</f>
        <v>0.45</v>
      </c>
      <c r="F13" s="10"/>
      <c r="G13" s="10"/>
      <c r="H13" s="10"/>
      <c r="I13" s="10"/>
      <c r="J13" s="10"/>
    </row>
    <row r="14" spans="1:10" s="11" customFormat="1" x14ac:dyDescent="0.25">
      <c r="A14" s="15" t="s">
        <v>6638</v>
      </c>
      <c r="B14" s="14">
        <v>260</v>
      </c>
      <c r="C14" s="14">
        <v>151</v>
      </c>
      <c r="D14"/>
      <c r="E14" s="16">
        <f>(GETPIVOTDATA("Összeg / Karb./akt.év",$A$3,"Technikus - ÚJ","Matolcsi Szabolcs")-GETPIVOTDATA("Összeg / Hátravan",$A$3,"Technikus - ÚJ","Matolcsi Szabolcs"))/GETPIVOTDATA("Összeg / Karb./akt.év",$A$3,"Technikus - ÚJ","Matolcsi Szabolcs")</f>
        <v>0.41923076923076924</v>
      </c>
      <c r="F14" s="10"/>
      <c r="G14" s="10"/>
      <c r="H14" s="10"/>
      <c r="I14" s="10"/>
      <c r="J14" s="10"/>
    </row>
    <row r="15" spans="1:10" s="11" customFormat="1" x14ac:dyDescent="0.25">
      <c r="A15" s="15" t="s">
        <v>6639</v>
      </c>
      <c r="B15" s="14">
        <v>254</v>
      </c>
      <c r="C15" s="14">
        <v>144</v>
      </c>
      <c r="D15"/>
      <c r="E15" s="16">
        <f>(GETPIVOTDATA("Összeg / Karb./akt.év",$A$3,"Technikus - ÚJ","Pintér Zoltán")-GETPIVOTDATA("Összeg / Hátravan",$A$3,"Technikus - ÚJ","Pintér Zoltán"))/GETPIVOTDATA("Összeg / Karb./akt.év",$A$3,"Technikus - ÚJ","Pintér Zoltán")</f>
        <v>0.43307086614173229</v>
      </c>
      <c r="F15" s="10"/>
      <c r="G15" s="10"/>
      <c r="H15" s="10"/>
      <c r="I15" s="10"/>
      <c r="J15" s="10"/>
    </row>
    <row r="16" spans="1:10" s="11" customFormat="1" x14ac:dyDescent="0.25">
      <c r="A16" s="15" t="s">
        <v>6640</v>
      </c>
      <c r="B16" s="14">
        <v>248</v>
      </c>
      <c r="C16" s="14">
        <v>153</v>
      </c>
      <c r="D16"/>
      <c r="E16" s="16">
        <f>(GETPIVOTDATA("Összeg / Karb./akt.év",$A$3,"Technikus - ÚJ","Pogácsás Zsolt")-GETPIVOTDATA("Összeg / Hátravan",$A$3,"Technikus - ÚJ","Pogácsás Zsolt"))/GETPIVOTDATA("Összeg / Karb./akt.év",$A$3,"Technikus - ÚJ","Pogácsás Zsolt")</f>
        <v>0.38306451612903225</v>
      </c>
      <c r="F16" s="10"/>
      <c r="G16" s="10"/>
      <c r="H16" s="10"/>
      <c r="I16" s="10"/>
      <c r="J16" s="10"/>
    </row>
    <row r="17" spans="1:10" s="11" customFormat="1" x14ac:dyDescent="0.25">
      <c r="A17" s="15" t="s">
        <v>6641</v>
      </c>
      <c r="B17" s="14">
        <v>241</v>
      </c>
      <c r="C17" s="14">
        <v>132</v>
      </c>
      <c r="D17"/>
      <c r="E17" s="16">
        <f>(GETPIVOTDATA("Összeg / Karb./akt.év",$A$3,"Technikus - ÚJ","Pribék Zsolt")-GETPIVOTDATA("Összeg / Hátravan",$A$3,"Technikus - ÚJ","Pribék Zsolt"))/GETPIVOTDATA("Összeg / Karb./akt.év",$A$3,"Technikus - ÚJ","Pribék Zsolt")</f>
        <v>0.45228215767634855</v>
      </c>
      <c r="F17" s="10"/>
      <c r="G17" s="10"/>
      <c r="H17" s="10"/>
      <c r="I17" s="10"/>
      <c r="J17" s="10"/>
    </row>
    <row r="18" spans="1:10" s="10" customFormat="1" x14ac:dyDescent="0.25">
      <c r="A18" s="15" t="s">
        <v>6785</v>
      </c>
      <c r="B18" s="14">
        <v>188</v>
      </c>
      <c r="C18" s="14">
        <v>103</v>
      </c>
      <c r="D18"/>
      <c r="E18" s="16">
        <f>(GETPIVOTDATA("Összeg / Karb./akt.év",$A$3,"Technikus - ÚJ","Radnai István")-GETPIVOTDATA("Összeg / Hátravan",$A$3,"Technikus - ÚJ","Radnai István"))/GETPIVOTDATA("Összeg / Karb./akt.év",$A$3,"Technikus - ÚJ","Radnai István")</f>
        <v>0.4521276595744681</v>
      </c>
    </row>
    <row r="19" spans="1:10" s="11" customFormat="1" x14ac:dyDescent="0.25">
      <c r="A19" s="15" t="s">
        <v>8102</v>
      </c>
      <c r="B19" s="14">
        <v>210</v>
      </c>
      <c r="C19" s="14">
        <v>126</v>
      </c>
      <c r="D19"/>
      <c r="E19" s="16">
        <f>(GETPIVOTDATA("Összeg / Karb./akt.év",$A$3,"Technikus - ÚJ","Rosenberger Gábor")-GETPIVOTDATA("Összeg / Hátravan",$A$3,"Technikus - ÚJ","Rosenberger Gábor"))/GETPIVOTDATA("Összeg / Karb./akt.év",$A$3,"Technikus - ÚJ","Rosenberger Gábor")</f>
        <v>0.4</v>
      </c>
      <c r="F19" s="10"/>
      <c r="G19" s="10"/>
      <c r="H19" s="10"/>
      <c r="I19" s="10"/>
      <c r="J19" s="10"/>
    </row>
    <row r="20" spans="1:10" s="11" customFormat="1" x14ac:dyDescent="0.25">
      <c r="A20" s="15" t="s">
        <v>8103</v>
      </c>
      <c r="B20" s="14">
        <v>232</v>
      </c>
      <c r="C20" s="14">
        <v>141</v>
      </c>
      <c r="D20"/>
      <c r="E20" s="16">
        <f>(GETPIVOTDATA("Összeg / Karb./akt.év",$A$3,"Technikus - ÚJ","Tóth András")-GETPIVOTDATA("Összeg / Hátravan",$A$3,"Technikus - ÚJ","Tóth András"))/GETPIVOTDATA("Összeg / Karb./akt.év",$A$3,"Technikus - ÚJ","Tóth András")</f>
        <v>0.39224137931034481</v>
      </c>
      <c r="F20" s="10"/>
      <c r="G20" s="10"/>
      <c r="H20" s="10"/>
      <c r="I20" s="10"/>
      <c r="J20" s="10"/>
    </row>
    <row r="21" spans="1:10" x14ac:dyDescent="0.25">
      <c r="A21" s="15" t="s">
        <v>6642</v>
      </c>
      <c r="B21" s="14">
        <v>223</v>
      </c>
      <c r="C21" s="14">
        <v>136</v>
      </c>
      <c r="E21" s="16">
        <f>(GETPIVOTDATA("Összeg / Karb./akt.év",$A$3,"Technikus - ÚJ","Tőke Tamás")-GETPIVOTDATA("Összeg / Hátravan",$A$3,"Technikus - ÚJ","Tőke Tamás"))/GETPIVOTDATA("Összeg / Karb./akt.év",$A$3,"Technikus - ÚJ","Tőke Tamás")</f>
        <v>0.39013452914798208</v>
      </c>
      <c r="F21" s="10"/>
      <c r="G21" s="10"/>
      <c r="H21" s="10"/>
      <c r="I21" s="10"/>
      <c r="J21" s="10"/>
    </row>
    <row r="22" spans="1:10" s="11" customFormat="1" x14ac:dyDescent="0.25">
      <c r="A22" s="15" t="s">
        <v>6784</v>
      </c>
      <c r="B22" s="14">
        <v>219</v>
      </c>
      <c r="C22" s="14">
        <v>131</v>
      </c>
      <c r="D22"/>
      <c r="E22" s="16">
        <f>(GETPIVOTDATA("Összeg / Karb./akt.év",$A$3,"Technikus - ÚJ","Török János")-GETPIVOTDATA("Összeg / Hátravan",$A$3,"Technikus - ÚJ","Török János"))/GETPIVOTDATA("Összeg / Karb./akt.év",$A$3,"Technikus - ÚJ","Török János")</f>
        <v>0.40182648401826482</v>
      </c>
      <c r="F22" s="10"/>
      <c r="G22" s="10"/>
      <c r="H22" s="10"/>
      <c r="I22" s="10"/>
      <c r="J22" s="10"/>
    </row>
    <row r="23" spans="1:10" s="11" customFormat="1" x14ac:dyDescent="0.25">
      <c r="A23" s="15" t="s">
        <v>6643</v>
      </c>
      <c r="B23" s="14">
        <v>126</v>
      </c>
      <c r="C23" s="14">
        <v>82</v>
      </c>
      <c r="D23"/>
      <c r="E23" s="16">
        <f>(GETPIVOTDATA("Összeg / Karb./akt.év",$A$3,"Technikus - ÚJ","Varga János")-GETPIVOTDATA("Összeg / Hátravan",$A$3,"Technikus - ÚJ","Varga János"))/GETPIVOTDATA("Összeg / Karb./akt.év",$A$3,"Technikus - ÚJ","Varga János")</f>
        <v>0.34920634920634919</v>
      </c>
      <c r="F23" s="10"/>
      <c r="G23" s="10"/>
      <c r="H23" s="10"/>
      <c r="I23" s="10"/>
      <c r="J23" s="10"/>
    </row>
    <row r="24" spans="1:10" x14ac:dyDescent="0.25">
      <c r="A24" s="4" t="s">
        <v>6644</v>
      </c>
      <c r="B24" s="5">
        <v>4184</v>
      </c>
      <c r="C24" s="5">
        <v>2497</v>
      </c>
      <c r="E24" s="16"/>
      <c r="F24" s="10"/>
      <c r="G24" s="10"/>
      <c r="H24" s="10"/>
      <c r="I24" s="10"/>
      <c r="J24" s="10"/>
    </row>
    <row r="25" spans="1:10" s="11" customFormat="1" x14ac:dyDescent="0.25">
      <c r="A25"/>
      <c r="B25"/>
      <c r="C25"/>
      <c r="D25"/>
      <c r="E25" s="16"/>
      <c r="F25" s="10"/>
      <c r="G25" s="10"/>
      <c r="H25" s="10"/>
      <c r="I25" s="10"/>
      <c r="J25" s="10"/>
    </row>
    <row r="26" spans="1:10" x14ac:dyDescent="0.25">
      <c r="E26" s="16"/>
      <c r="F26" s="10"/>
      <c r="G26" s="10"/>
      <c r="H26" s="10"/>
      <c r="I26" s="10"/>
      <c r="J26" s="10"/>
    </row>
    <row r="27" spans="1:10" x14ac:dyDescent="0.25">
      <c r="E27" s="16"/>
      <c r="F27" s="10"/>
      <c r="G27" s="10"/>
      <c r="H27" s="10"/>
      <c r="I27" s="10"/>
      <c r="J27" s="10"/>
    </row>
  </sheetData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5"/>
  <sheetViews>
    <sheetView workbookViewId="0">
      <selection activeCell="A13" sqref="A13"/>
    </sheetView>
  </sheetViews>
  <sheetFormatPr defaultRowHeight="15" x14ac:dyDescent="0.25"/>
  <cols>
    <col min="1" max="1" width="37.85546875" bestFit="1" customWidth="1"/>
    <col min="2" max="2" width="16.85546875" bestFit="1" customWidth="1"/>
  </cols>
  <sheetData>
    <row r="3" spans="1:2" x14ac:dyDescent="0.25">
      <c r="A3" s="3" t="s">
        <v>6632</v>
      </c>
      <c r="B3" t="s">
        <v>7013</v>
      </c>
    </row>
    <row r="4" spans="1:2" x14ac:dyDescent="0.25">
      <c r="A4" s="4" t="s">
        <v>20</v>
      </c>
      <c r="B4" s="5">
        <v>85</v>
      </c>
    </row>
    <row r="5" spans="1:2" x14ac:dyDescent="0.25">
      <c r="A5" s="4" t="s">
        <v>23</v>
      </c>
      <c r="B5" s="5">
        <v>18</v>
      </c>
    </row>
    <row r="6" spans="1:2" x14ac:dyDescent="0.25">
      <c r="A6" s="4" t="s">
        <v>6</v>
      </c>
      <c r="B6" s="5">
        <v>644</v>
      </c>
    </row>
    <row r="7" spans="1:2" x14ac:dyDescent="0.25">
      <c r="A7" s="4" t="s">
        <v>16</v>
      </c>
      <c r="B7" s="5">
        <v>49</v>
      </c>
    </row>
    <row r="8" spans="1:2" x14ac:dyDescent="0.25">
      <c r="A8" s="4" t="s">
        <v>10</v>
      </c>
      <c r="B8" s="5">
        <v>646</v>
      </c>
    </row>
    <row r="9" spans="1:2" x14ac:dyDescent="0.25">
      <c r="A9" s="4" t="s">
        <v>22</v>
      </c>
      <c r="B9" s="5">
        <v>16</v>
      </c>
    </row>
    <row r="10" spans="1:2" x14ac:dyDescent="0.25">
      <c r="A10" s="4" t="s">
        <v>26</v>
      </c>
      <c r="B10" s="5">
        <v>6</v>
      </c>
    </row>
    <row r="11" spans="1:2" x14ac:dyDescent="0.25">
      <c r="A11" s="4" t="s">
        <v>8</v>
      </c>
      <c r="B11" s="5">
        <v>359</v>
      </c>
    </row>
    <row r="12" spans="1:2" x14ac:dyDescent="0.25">
      <c r="A12" s="4" t="s">
        <v>24</v>
      </c>
      <c r="B12" s="5">
        <v>20</v>
      </c>
    </row>
    <row r="13" spans="1:2" x14ac:dyDescent="0.25">
      <c r="A13" s="4" t="s">
        <v>12</v>
      </c>
      <c r="B13" s="5">
        <v>265</v>
      </c>
    </row>
    <row r="14" spans="1:2" x14ac:dyDescent="0.25">
      <c r="A14" s="4" t="s">
        <v>7299</v>
      </c>
      <c r="B14" s="5">
        <v>935</v>
      </c>
    </row>
    <row r="15" spans="1:2" x14ac:dyDescent="0.25">
      <c r="A15" s="4" t="s">
        <v>6644</v>
      </c>
      <c r="B15" s="5">
        <v>3043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24"/>
  <sheetViews>
    <sheetView workbookViewId="0">
      <selection activeCell="A24" sqref="A24"/>
    </sheetView>
  </sheetViews>
  <sheetFormatPr defaultRowHeight="15" x14ac:dyDescent="0.25"/>
  <cols>
    <col min="1" max="1" width="20.28515625" customWidth="1"/>
    <col min="2" max="2" width="16.85546875" bestFit="1" customWidth="1"/>
  </cols>
  <sheetData>
    <row r="3" spans="1:2" x14ac:dyDescent="0.25">
      <c r="A3" s="3" t="s">
        <v>6632</v>
      </c>
      <c r="B3" t="s">
        <v>7013</v>
      </c>
    </row>
    <row r="4" spans="1:2" x14ac:dyDescent="0.25">
      <c r="A4" s="4" t="s">
        <v>8101</v>
      </c>
      <c r="B4" s="5">
        <v>163</v>
      </c>
    </row>
    <row r="5" spans="1:2" x14ac:dyDescent="0.25">
      <c r="A5" s="4" t="s">
        <v>7014</v>
      </c>
      <c r="B5" s="5">
        <v>168</v>
      </c>
    </row>
    <row r="6" spans="1:2" x14ac:dyDescent="0.25">
      <c r="A6" s="4" t="s">
        <v>7118</v>
      </c>
      <c r="B6" s="5">
        <v>25</v>
      </c>
    </row>
    <row r="7" spans="1:2" x14ac:dyDescent="0.25">
      <c r="A7" s="4" t="s">
        <v>6633</v>
      </c>
      <c r="B7" s="5">
        <v>150</v>
      </c>
    </row>
    <row r="8" spans="1:2" x14ac:dyDescent="0.25">
      <c r="A8" s="4" t="s">
        <v>6634</v>
      </c>
      <c r="B8" s="5">
        <v>149</v>
      </c>
    </row>
    <row r="9" spans="1:2" x14ac:dyDescent="0.25">
      <c r="A9" s="4" t="s">
        <v>7354</v>
      </c>
      <c r="B9" s="5">
        <v>197</v>
      </c>
    </row>
    <row r="10" spans="1:2" x14ac:dyDescent="0.25">
      <c r="A10" s="4" t="s">
        <v>6635</v>
      </c>
      <c r="B10" s="5">
        <v>189</v>
      </c>
    </row>
    <row r="11" spans="1:2" x14ac:dyDescent="0.25">
      <c r="A11" s="4" t="s">
        <v>6636</v>
      </c>
      <c r="B11" s="5">
        <v>157</v>
      </c>
    </row>
    <row r="12" spans="1:2" x14ac:dyDescent="0.25">
      <c r="A12" s="4" t="s">
        <v>7017</v>
      </c>
      <c r="B12" s="5">
        <v>128</v>
      </c>
    </row>
    <row r="13" spans="1:2" x14ac:dyDescent="0.25">
      <c r="A13" s="4" t="s">
        <v>6637</v>
      </c>
      <c r="B13" s="5">
        <v>158</v>
      </c>
    </row>
    <row r="14" spans="1:2" x14ac:dyDescent="0.25">
      <c r="A14" s="4" t="s">
        <v>6638</v>
      </c>
      <c r="B14" s="5">
        <v>189</v>
      </c>
    </row>
    <row r="15" spans="1:2" x14ac:dyDescent="0.25">
      <c r="A15" s="4" t="s">
        <v>6639</v>
      </c>
      <c r="B15" s="5">
        <v>173</v>
      </c>
    </row>
    <row r="16" spans="1:2" x14ac:dyDescent="0.25">
      <c r="A16" s="4" t="s">
        <v>6640</v>
      </c>
      <c r="B16" s="5">
        <v>176</v>
      </c>
    </row>
    <row r="17" spans="1:2" x14ac:dyDescent="0.25">
      <c r="A17" s="4" t="s">
        <v>6641</v>
      </c>
      <c r="B17" s="5">
        <v>149</v>
      </c>
    </row>
    <row r="18" spans="1:2" x14ac:dyDescent="0.25">
      <c r="A18" s="4" t="s">
        <v>6785</v>
      </c>
      <c r="B18" s="5">
        <v>146</v>
      </c>
    </row>
    <row r="19" spans="1:2" x14ac:dyDescent="0.25">
      <c r="A19" s="4" t="s">
        <v>8102</v>
      </c>
      <c r="B19" s="5">
        <v>155</v>
      </c>
    </row>
    <row r="20" spans="1:2" x14ac:dyDescent="0.25">
      <c r="A20" s="4" t="s">
        <v>8103</v>
      </c>
      <c r="B20" s="5">
        <v>172</v>
      </c>
    </row>
    <row r="21" spans="1:2" x14ac:dyDescent="0.25">
      <c r="A21" s="4" t="s">
        <v>6642</v>
      </c>
      <c r="B21" s="5">
        <v>158</v>
      </c>
    </row>
    <row r="22" spans="1:2" x14ac:dyDescent="0.25">
      <c r="A22" s="4" t="s">
        <v>6784</v>
      </c>
      <c r="B22" s="5">
        <v>159</v>
      </c>
    </row>
    <row r="23" spans="1:2" x14ac:dyDescent="0.25">
      <c r="A23" s="4" t="s">
        <v>6643</v>
      </c>
      <c r="B23" s="5">
        <v>82</v>
      </c>
    </row>
    <row r="24" spans="1:2" x14ac:dyDescent="0.25">
      <c r="A24" s="4" t="s">
        <v>6644</v>
      </c>
      <c r="B24" s="5">
        <v>3043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>
      <selection activeCell="B8" sqref="B8"/>
    </sheetView>
  </sheetViews>
  <sheetFormatPr defaultRowHeight="15" x14ac:dyDescent="0.25"/>
  <cols>
    <col min="1" max="1" width="18.28515625" customWidth="1"/>
    <col min="2" max="2" width="20" customWidth="1"/>
    <col min="3" max="3" width="16.85546875" customWidth="1"/>
    <col min="4" max="4" width="16.85546875" bestFit="1" customWidth="1"/>
  </cols>
  <sheetData>
    <row r="1" spans="1:3" x14ac:dyDescent="0.25">
      <c r="A1" s="3" t="s">
        <v>0</v>
      </c>
      <c r="B1" t="s">
        <v>10</v>
      </c>
    </row>
    <row r="3" spans="1:3" x14ac:dyDescent="0.25">
      <c r="A3" s="3" t="s">
        <v>6632</v>
      </c>
      <c r="B3" t="s">
        <v>6646</v>
      </c>
      <c r="C3" t="s">
        <v>7013</v>
      </c>
    </row>
    <row r="4" spans="1:3" x14ac:dyDescent="0.25">
      <c r="A4" s="4" t="s">
        <v>7014</v>
      </c>
      <c r="B4" s="5">
        <v>48</v>
      </c>
      <c r="C4" s="5">
        <v>35</v>
      </c>
    </row>
    <row r="5" spans="1:3" x14ac:dyDescent="0.25">
      <c r="A5" s="4" t="s">
        <v>6633</v>
      </c>
      <c r="B5" s="5">
        <v>49</v>
      </c>
      <c r="C5" s="5">
        <v>39</v>
      </c>
    </row>
    <row r="6" spans="1:3" x14ac:dyDescent="0.25">
      <c r="A6" s="4" t="s">
        <v>6634</v>
      </c>
      <c r="B6" s="5">
        <v>60</v>
      </c>
      <c r="C6" s="5">
        <v>46</v>
      </c>
    </row>
    <row r="7" spans="1:3" x14ac:dyDescent="0.25">
      <c r="A7" s="4" t="s">
        <v>6635</v>
      </c>
      <c r="B7" s="5">
        <v>51</v>
      </c>
      <c r="C7" s="5">
        <v>34</v>
      </c>
    </row>
    <row r="8" spans="1:3" x14ac:dyDescent="0.25">
      <c r="A8" s="4" t="s">
        <v>6636</v>
      </c>
      <c r="B8" s="5">
        <v>50</v>
      </c>
      <c r="C8" s="5">
        <v>38</v>
      </c>
    </row>
    <row r="9" spans="1:3" x14ac:dyDescent="0.25">
      <c r="A9" s="4" t="s">
        <v>7017</v>
      </c>
      <c r="B9" s="5">
        <v>44</v>
      </c>
      <c r="C9" s="5">
        <v>27</v>
      </c>
    </row>
    <row r="10" spans="1:3" x14ac:dyDescent="0.25">
      <c r="A10" s="4" t="s">
        <v>6637</v>
      </c>
      <c r="B10" s="5">
        <v>68</v>
      </c>
      <c r="C10" s="5">
        <v>42</v>
      </c>
    </row>
    <row r="11" spans="1:3" x14ac:dyDescent="0.25">
      <c r="A11" s="4" t="s">
        <v>6638</v>
      </c>
      <c r="B11" s="5">
        <v>42</v>
      </c>
      <c r="C11" s="5">
        <v>24</v>
      </c>
    </row>
    <row r="12" spans="1:3" x14ac:dyDescent="0.25">
      <c r="A12" s="4" t="s">
        <v>6639</v>
      </c>
      <c r="B12" s="5">
        <v>52</v>
      </c>
      <c r="C12" s="5">
        <v>26</v>
      </c>
    </row>
    <row r="13" spans="1:3" x14ac:dyDescent="0.25">
      <c r="A13" s="4" t="s">
        <v>6640</v>
      </c>
      <c r="B13" s="5">
        <v>54</v>
      </c>
      <c r="C13" s="5">
        <v>29</v>
      </c>
    </row>
    <row r="14" spans="1:3" x14ac:dyDescent="0.25">
      <c r="A14" s="4" t="s">
        <v>6641</v>
      </c>
      <c r="B14" s="5">
        <v>48</v>
      </c>
      <c r="C14" s="5">
        <v>27</v>
      </c>
    </row>
    <row r="15" spans="1:3" x14ac:dyDescent="0.25">
      <c r="A15" s="4" t="s">
        <v>6785</v>
      </c>
      <c r="B15" s="5">
        <v>44</v>
      </c>
      <c r="C15" s="5">
        <v>35</v>
      </c>
    </row>
    <row r="16" spans="1:3" x14ac:dyDescent="0.25">
      <c r="A16" s="4" t="s">
        <v>6642</v>
      </c>
      <c r="B16" s="5">
        <v>61</v>
      </c>
      <c r="C16" s="5">
        <v>39</v>
      </c>
    </row>
    <row r="17" spans="1:5" x14ac:dyDescent="0.25">
      <c r="A17" s="4" t="s">
        <v>6784</v>
      </c>
      <c r="B17" s="5">
        <v>58</v>
      </c>
      <c r="C17" s="5">
        <v>37</v>
      </c>
    </row>
    <row r="18" spans="1:5" x14ac:dyDescent="0.25">
      <c r="A18" s="4" t="s">
        <v>6643</v>
      </c>
      <c r="B18" s="5">
        <v>4</v>
      </c>
      <c r="C18" s="5">
        <v>4</v>
      </c>
    </row>
    <row r="19" spans="1:5" x14ac:dyDescent="0.25">
      <c r="A19" s="4" t="s">
        <v>7354</v>
      </c>
      <c r="B19" s="5">
        <v>68</v>
      </c>
      <c r="C19" s="5">
        <v>51</v>
      </c>
    </row>
    <row r="20" spans="1:5" x14ac:dyDescent="0.25">
      <c r="A20" s="4" t="s">
        <v>8103</v>
      </c>
      <c r="B20" s="5">
        <v>58</v>
      </c>
      <c r="C20" s="5">
        <v>43</v>
      </c>
    </row>
    <row r="21" spans="1:5" x14ac:dyDescent="0.25">
      <c r="A21" s="4" t="s">
        <v>8102</v>
      </c>
      <c r="B21" s="5">
        <v>56</v>
      </c>
      <c r="C21" s="5">
        <v>34</v>
      </c>
    </row>
    <row r="22" spans="1:5" x14ac:dyDescent="0.25">
      <c r="A22" s="4" t="s">
        <v>8101</v>
      </c>
      <c r="B22" s="5">
        <v>42</v>
      </c>
      <c r="C22" s="5">
        <v>36</v>
      </c>
    </row>
    <row r="23" spans="1:5" x14ac:dyDescent="0.25">
      <c r="A23" s="4" t="s">
        <v>8104</v>
      </c>
      <c r="B23" s="5">
        <v>0</v>
      </c>
      <c r="C23" s="5">
        <v>0</v>
      </c>
    </row>
    <row r="24" spans="1:5" ht="15.75" thickBot="1" x14ac:dyDescent="0.3">
      <c r="A24" s="4" t="s">
        <v>8181</v>
      </c>
      <c r="B24" s="5" t="e">
        <v>#N/A</v>
      </c>
      <c r="C24" s="5" t="e">
        <v>#N/A</v>
      </c>
    </row>
    <row r="25" spans="1:5" ht="16.5" thickTop="1" thickBot="1" x14ac:dyDescent="0.3">
      <c r="A25" s="4" t="s">
        <v>6644</v>
      </c>
      <c r="B25" s="5" t="e">
        <v>#N/A</v>
      </c>
      <c r="C25" s="5" t="e">
        <v>#N/A</v>
      </c>
      <c r="E25" s="19" t="e">
        <f>GETPIVOTDATA("Összeg / Kész2019_2",$A$3)/GETPIVOTDATA("Összeg / Karb./akt.év",$A$3)</f>
        <v>#REF!</v>
      </c>
    </row>
    <row r="26" spans="1:5" ht="15.75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266"/>
  <sheetViews>
    <sheetView tabSelected="1" topLeftCell="C1" workbookViewId="0">
      <selection activeCell="C1" sqref="A1:XFD1"/>
    </sheetView>
  </sheetViews>
  <sheetFormatPr defaultRowHeight="15" x14ac:dyDescent="0.25"/>
  <cols>
    <col min="1" max="1" width="35.42578125" bestFit="1" customWidth="1"/>
    <col min="2" max="2" width="16.28515625" customWidth="1"/>
    <col min="3" max="3" width="41.28515625" bestFit="1" customWidth="1"/>
    <col min="4" max="7" width="17.85546875" customWidth="1"/>
    <col min="8" max="8" width="12.7109375" customWidth="1"/>
    <col min="9" max="9" width="10.7109375" style="1" customWidth="1"/>
    <col min="10" max="10" width="14" style="1" customWidth="1"/>
    <col min="11" max="11" width="16.42578125" customWidth="1"/>
    <col min="12" max="12" width="10.28515625" hidden="1" customWidth="1"/>
    <col min="14" max="14" width="9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6629</v>
      </c>
      <c r="F1" t="s">
        <v>6630</v>
      </c>
      <c r="G1" t="s">
        <v>6631</v>
      </c>
      <c r="H1" t="s">
        <v>7477</v>
      </c>
      <c r="I1" s="6" t="s">
        <v>3596</v>
      </c>
      <c r="J1" s="1" t="s">
        <v>5</v>
      </c>
      <c r="K1" s="9" t="s">
        <v>6783</v>
      </c>
      <c r="L1" t="s">
        <v>8099</v>
      </c>
      <c r="M1" s="18" t="s">
        <v>8100</v>
      </c>
      <c r="N1" s="18" t="s">
        <v>6781</v>
      </c>
    </row>
    <row r="2" spans="1:14" hidden="1" x14ac:dyDescent="0.25">
      <c r="A2" s="17" t="s">
        <v>20</v>
      </c>
      <c r="B2" s="17" t="s">
        <v>1035</v>
      </c>
      <c r="C2" s="17" t="s">
        <v>7176</v>
      </c>
      <c r="D2" s="17" t="s">
        <v>7398</v>
      </c>
      <c r="E2" s="17" t="s">
        <v>4206</v>
      </c>
      <c r="F2" s="17" t="s">
        <v>3598</v>
      </c>
      <c r="G2" s="17" t="s">
        <v>7526</v>
      </c>
      <c r="H2" t="s">
        <v>7476</v>
      </c>
      <c r="I2" s="1">
        <v>1</v>
      </c>
      <c r="J2" s="1">
        <v>1</v>
      </c>
      <c r="K2" t="s">
        <v>7017</v>
      </c>
      <c r="L2" s="5">
        <f>VLOOKUP(D:D,[1]Munka2!$A:$B,2,FALSE)</f>
        <v>1</v>
      </c>
      <c r="M2" s="5">
        <f>_xlfn.IFNA(Táblázat1[[#This Row],[Kész2020]],0)</f>
        <v>1</v>
      </c>
      <c r="N2" s="5">
        <f>IF(Táblázat1[[#This Row],[Karb./akt.év]]-Táblázat1[[#This Row],[Kész2020_2]]&lt;0,0,Táblázat1[[#This Row],[Karb./akt.év]]-Táblázat1[[#This Row],[Kész2020_2]])</f>
        <v>0</v>
      </c>
    </row>
    <row r="3" spans="1:14" hidden="1" x14ac:dyDescent="0.25">
      <c r="A3" s="17" t="s">
        <v>20</v>
      </c>
      <c r="B3" s="17" t="s">
        <v>585</v>
      </c>
      <c r="C3" s="17" t="s">
        <v>1764</v>
      </c>
      <c r="D3" s="17" t="s">
        <v>2358</v>
      </c>
      <c r="E3" s="17" t="s">
        <v>3792</v>
      </c>
      <c r="F3" s="17" t="s">
        <v>3793</v>
      </c>
      <c r="G3" s="17" t="s">
        <v>5549</v>
      </c>
      <c r="H3" t="s">
        <v>7476</v>
      </c>
      <c r="I3" s="1">
        <v>1</v>
      </c>
      <c r="J3" s="1">
        <v>1</v>
      </c>
      <c r="K3" t="s">
        <v>6639</v>
      </c>
      <c r="L3" s="5" t="e">
        <f>VLOOKUP(D:D,[1]Munka2!$A:$B,2,FALSE)</f>
        <v>#N/A</v>
      </c>
      <c r="M3" s="5">
        <f>_xlfn.IFNA(Táblázat1[[#This Row],[Kész2020]],0)</f>
        <v>0</v>
      </c>
      <c r="N3" s="5">
        <f>IF(Táblázat1[[#This Row],[Karb./akt.év]]-Táblázat1[[#This Row],[Kész2020_2]]&lt;0,0,Táblázat1[[#This Row],[Karb./akt.év]]-Táblázat1[[#This Row],[Kész2020_2]])</f>
        <v>1</v>
      </c>
    </row>
    <row r="4" spans="1:14" hidden="1" x14ac:dyDescent="0.25">
      <c r="A4" s="17" t="s">
        <v>20</v>
      </c>
      <c r="B4" s="17" t="s">
        <v>330</v>
      </c>
      <c r="C4" s="17" t="s">
        <v>1735</v>
      </c>
      <c r="D4" s="17" t="s">
        <v>2079</v>
      </c>
      <c r="E4" s="17" t="s">
        <v>3953</v>
      </c>
      <c r="F4" s="17" t="s">
        <v>3664</v>
      </c>
      <c r="G4" s="17" t="s">
        <v>5297</v>
      </c>
      <c r="H4" t="s">
        <v>7476</v>
      </c>
      <c r="I4" s="1">
        <v>1</v>
      </c>
      <c r="J4" s="1">
        <v>1</v>
      </c>
      <c r="K4" t="s">
        <v>6638</v>
      </c>
      <c r="L4" s="5" t="e">
        <f>VLOOKUP(D:D,[1]Munka2!$A:$B,2,FALSE)</f>
        <v>#N/A</v>
      </c>
      <c r="M4" s="5">
        <f>_xlfn.IFNA(Táblázat1[[#This Row],[Kész2020]],0)</f>
        <v>0</v>
      </c>
      <c r="N4" s="5">
        <f>IF(Táblázat1[[#This Row],[Karb./akt.év]]-Táblázat1[[#This Row],[Kész2020_2]]&lt;0,0,Táblázat1[[#This Row],[Karb./akt.év]]-Táblázat1[[#This Row],[Kész2020_2]])</f>
        <v>1</v>
      </c>
    </row>
    <row r="5" spans="1:14" hidden="1" x14ac:dyDescent="0.25">
      <c r="A5" s="17" t="s">
        <v>20</v>
      </c>
      <c r="B5" s="17" t="s">
        <v>77</v>
      </c>
      <c r="C5" s="17" t="s">
        <v>1752</v>
      </c>
      <c r="D5" s="17" t="s">
        <v>1816</v>
      </c>
      <c r="E5" s="17" t="s">
        <v>3667</v>
      </c>
      <c r="F5" s="17" t="s">
        <v>3668</v>
      </c>
      <c r="G5" s="17" t="s">
        <v>5051</v>
      </c>
      <c r="H5" t="s">
        <v>7476</v>
      </c>
      <c r="I5" s="1">
        <v>1</v>
      </c>
      <c r="J5" s="1">
        <v>1</v>
      </c>
      <c r="K5" t="s">
        <v>6637</v>
      </c>
      <c r="L5" s="5" t="e">
        <f>VLOOKUP(D:D,[1]Munka2!$A:$B,2,FALSE)</f>
        <v>#N/A</v>
      </c>
      <c r="M5" s="5">
        <f>_xlfn.IFNA(Táblázat1[[#This Row],[Kész2020]],0)</f>
        <v>0</v>
      </c>
      <c r="N5" s="5">
        <f>IF(Táblázat1[[#This Row],[Karb./akt.év]]-Táblázat1[[#This Row],[Kész2020_2]]&lt;0,0,Táblázat1[[#This Row],[Karb./akt.év]]-Táblázat1[[#This Row],[Kész2020_2]])</f>
        <v>1</v>
      </c>
    </row>
    <row r="6" spans="1:14" hidden="1" x14ac:dyDescent="0.25">
      <c r="A6" s="17" t="s">
        <v>20</v>
      </c>
      <c r="B6" s="17" t="s">
        <v>303</v>
      </c>
      <c r="C6" s="17" t="s">
        <v>1752</v>
      </c>
      <c r="D6" s="17" t="s">
        <v>2052</v>
      </c>
      <c r="E6" s="17" t="s">
        <v>3661</v>
      </c>
      <c r="F6" s="17" t="s">
        <v>3662</v>
      </c>
      <c r="G6" s="17" t="s">
        <v>5270</v>
      </c>
      <c r="H6" t="s">
        <v>7476</v>
      </c>
      <c r="I6" s="1">
        <v>1</v>
      </c>
      <c r="J6" s="1">
        <v>1</v>
      </c>
      <c r="K6" t="s">
        <v>6637</v>
      </c>
      <c r="L6" s="5">
        <f>VLOOKUP(D:D,[1]Munka2!$A:$B,2,FALSE)</f>
        <v>1</v>
      </c>
      <c r="M6" s="5">
        <f>_xlfn.IFNA(Táblázat1[[#This Row],[Kész2020]],0)</f>
        <v>1</v>
      </c>
      <c r="N6" s="5">
        <f>IF(Táblázat1[[#This Row],[Karb./akt.év]]-Táblázat1[[#This Row],[Kész2020_2]]&lt;0,0,Táblázat1[[#This Row],[Karb./akt.év]]-Táblázat1[[#This Row],[Kész2020_2]])</f>
        <v>0</v>
      </c>
    </row>
    <row r="7" spans="1:14" hidden="1" x14ac:dyDescent="0.25">
      <c r="A7" s="17" t="s">
        <v>20</v>
      </c>
      <c r="B7" s="17" t="s">
        <v>1404</v>
      </c>
      <c r="C7" s="17" t="s">
        <v>1736</v>
      </c>
      <c r="D7" s="17" t="s">
        <v>3231</v>
      </c>
      <c r="E7" s="17" t="s">
        <v>3619</v>
      </c>
      <c r="F7" s="17" t="s">
        <v>3620</v>
      </c>
      <c r="G7" s="17" t="s">
        <v>6309</v>
      </c>
      <c r="H7" t="s">
        <v>7476</v>
      </c>
      <c r="I7" s="1">
        <v>1</v>
      </c>
      <c r="J7" s="1">
        <v>1</v>
      </c>
      <c r="K7" t="s">
        <v>6642</v>
      </c>
      <c r="L7" s="5" t="e">
        <f>VLOOKUP(D:D,[1]Munka2!$A:$B,2,FALSE)</f>
        <v>#N/A</v>
      </c>
      <c r="M7" s="5">
        <f>_xlfn.IFNA(Táblázat1[[#This Row],[Kész2020]],0)</f>
        <v>0</v>
      </c>
      <c r="N7" s="5">
        <f>IF(Táblázat1[[#This Row],[Karb./akt.év]]-Táblázat1[[#This Row],[Kész2020_2]]&lt;0,0,Táblázat1[[#This Row],[Karb./akt.év]]-Táblázat1[[#This Row],[Kész2020_2]])</f>
        <v>1</v>
      </c>
    </row>
    <row r="8" spans="1:14" hidden="1" x14ac:dyDescent="0.25">
      <c r="A8" s="17" t="s">
        <v>20</v>
      </c>
      <c r="B8" s="17" t="s">
        <v>97</v>
      </c>
      <c r="C8" s="17" t="s">
        <v>7391</v>
      </c>
      <c r="D8" s="17" t="s">
        <v>7392</v>
      </c>
      <c r="E8" s="17" t="s">
        <v>3682</v>
      </c>
      <c r="F8" s="17" t="s">
        <v>3679</v>
      </c>
      <c r="G8" s="17" t="s">
        <v>5068</v>
      </c>
      <c r="H8" t="s">
        <v>7476</v>
      </c>
      <c r="I8" s="1">
        <v>1</v>
      </c>
      <c r="J8" s="1">
        <v>1</v>
      </c>
      <c r="K8" t="s">
        <v>6643</v>
      </c>
      <c r="L8" s="5" t="e">
        <f>VLOOKUP(D:D,[1]Munka2!$A:$B,2,FALSE)</f>
        <v>#N/A</v>
      </c>
      <c r="M8" s="5">
        <f>_xlfn.IFNA(Táblázat1[[#This Row],[Kész2020]],0)</f>
        <v>0</v>
      </c>
      <c r="N8" s="5">
        <f>IF(Táblázat1[[#This Row],[Karb./akt.év]]-Táblázat1[[#This Row],[Kész2020_2]]&lt;0,0,Táblázat1[[#This Row],[Karb./akt.év]]-Táblázat1[[#This Row],[Kész2020_2]])</f>
        <v>1</v>
      </c>
    </row>
    <row r="9" spans="1:14" hidden="1" x14ac:dyDescent="0.25">
      <c r="A9" s="17" t="s">
        <v>20</v>
      </c>
      <c r="B9" s="17" t="s">
        <v>1574</v>
      </c>
      <c r="C9" s="17" t="s">
        <v>1735</v>
      </c>
      <c r="D9" s="17" t="s">
        <v>3421</v>
      </c>
      <c r="E9" s="17" t="s">
        <v>3625</v>
      </c>
      <c r="F9" s="17" t="s">
        <v>3626</v>
      </c>
      <c r="G9" s="17" t="s">
        <v>6476</v>
      </c>
      <c r="H9" t="s">
        <v>7476</v>
      </c>
      <c r="I9" s="1">
        <v>1</v>
      </c>
      <c r="J9" s="1">
        <v>1</v>
      </c>
      <c r="K9" t="s">
        <v>6642</v>
      </c>
      <c r="L9" s="5" t="e">
        <f>VLOOKUP(D:D,[1]Munka2!$A:$B,2,FALSE)</f>
        <v>#N/A</v>
      </c>
      <c r="M9" s="5">
        <f>_xlfn.IFNA(Táblázat1[[#This Row],[Kész2020]],0)</f>
        <v>0</v>
      </c>
      <c r="N9" s="5">
        <f>IF(Táblázat1[[#This Row],[Karb./akt.év]]-Táblázat1[[#This Row],[Kész2020_2]]&lt;0,0,Táblázat1[[#This Row],[Karb./akt.év]]-Táblázat1[[#This Row],[Kész2020_2]])</f>
        <v>1</v>
      </c>
    </row>
    <row r="10" spans="1:14" hidden="1" x14ac:dyDescent="0.25">
      <c r="A10" s="17" t="s">
        <v>20</v>
      </c>
      <c r="B10" s="17" t="s">
        <v>1347</v>
      </c>
      <c r="C10" s="17" t="s">
        <v>7395</v>
      </c>
      <c r="D10" s="17" t="s">
        <v>7400</v>
      </c>
      <c r="E10" s="17" t="s">
        <v>3988</v>
      </c>
      <c r="F10" s="17" t="s">
        <v>3989</v>
      </c>
      <c r="G10" s="17" t="s">
        <v>6262</v>
      </c>
      <c r="H10" t="s">
        <v>7476</v>
      </c>
      <c r="I10" s="1">
        <v>1</v>
      </c>
      <c r="J10" s="1">
        <v>1</v>
      </c>
      <c r="K10" t="s">
        <v>7014</v>
      </c>
      <c r="L10" s="5" t="e">
        <f>VLOOKUP(D:D,[1]Munka2!$A:$B,2,FALSE)</f>
        <v>#N/A</v>
      </c>
      <c r="M10" s="5">
        <f>_xlfn.IFNA(Táblázat1[[#This Row],[Kész2020]],0)</f>
        <v>0</v>
      </c>
      <c r="N10" s="5">
        <f>IF(Táblázat1[[#This Row],[Karb./akt.év]]-Táblázat1[[#This Row],[Kész2020_2]]&lt;0,0,Táblázat1[[#This Row],[Karb./akt.év]]-Táblázat1[[#This Row],[Kész2020_2]])</f>
        <v>1</v>
      </c>
    </row>
    <row r="11" spans="1:14" hidden="1" x14ac:dyDescent="0.25">
      <c r="A11" s="17" t="s">
        <v>20</v>
      </c>
      <c r="B11" s="17" t="s">
        <v>555</v>
      </c>
      <c r="C11" s="17" t="s">
        <v>1752</v>
      </c>
      <c r="D11" s="17" t="s">
        <v>2325</v>
      </c>
      <c r="E11" s="17" t="s">
        <v>3683</v>
      </c>
      <c r="F11" s="17" t="s">
        <v>3684</v>
      </c>
      <c r="G11" s="17" t="s">
        <v>5517</v>
      </c>
      <c r="H11" t="s">
        <v>7476</v>
      </c>
      <c r="I11" s="1">
        <v>1</v>
      </c>
      <c r="J11" s="1">
        <v>1</v>
      </c>
      <c r="K11" t="s">
        <v>6784</v>
      </c>
      <c r="L11" s="5" t="e">
        <f>VLOOKUP(D:D,[1]Munka2!$A:$B,2,FALSE)</f>
        <v>#N/A</v>
      </c>
      <c r="M11" s="5">
        <f>_xlfn.IFNA(Táblázat1[[#This Row],[Kész2020]],0)</f>
        <v>0</v>
      </c>
      <c r="N11" s="5">
        <f>IF(Táblázat1[[#This Row],[Karb./akt.év]]-Táblázat1[[#This Row],[Kész2020_2]]&lt;0,0,Táblázat1[[#This Row],[Karb./akt.év]]-Táblázat1[[#This Row],[Kész2020_2]])</f>
        <v>1</v>
      </c>
    </row>
    <row r="12" spans="1:14" hidden="1" x14ac:dyDescent="0.25">
      <c r="A12" s="17" t="s">
        <v>20</v>
      </c>
      <c r="B12" s="17" t="s">
        <v>471</v>
      </c>
      <c r="C12" s="17" t="s">
        <v>1736</v>
      </c>
      <c r="D12" s="17" t="s">
        <v>2229</v>
      </c>
      <c r="E12" s="17" t="s">
        <v>3782</v>
      </c>
      <c r="F12" s="17" t="s">
        <v>3783</v>
      </c>
      <c r="G12" s="17" t="s">
        <v>5435</v>
      </c>
      <c r="H12" t="s">
        <v>7476</v>
      </c>
      <c r="I12" s="1">
        <v>1</v>
      </c>
      <c r="J12" s="1">
        <v>1</v>
      </c>
      <c r="K12" t="s">
        <v>8103</v>
      </c>
      <c r="L12" s="5">
        <f>VLOOKUP(D:D,[1]Munka2!$A:$B,2,FALSE)</f>
        <v>1</v>
      </c>
      <c r="M12" s="5">
        <f>_xlfn.IFNA(Táblázat1[[#This Row],[Kész2020]],0)</f>
        <v>1</v>
      </c>
      <c r="N12" s="5">
        <f>IF(Táblázat1[[#This Row],[Karb./akt.év]]-Táblázat1[[#This Row],[Kész2020_2]]&lt;0,0,Táblázat1[[#This Row],[Karb./akt.év]]-Táblázat1[[#This Row],[Kész2020_2]])</f>
        <v>0</v>
      </c>
    </row>
    <row r="13" spans="1:14" hidden="1" x14ac:dyDescent="0.25">
      <c r="A13" s="17" t="s">
        <v>20</v>
      </c>
      <c r="B13" s="17" t="s">
        <v>745</v>
      </c>
      <c r="C13" s="17" t="s">
        <v>1753</v>
      </c>
      <c r="D13" s="17" t="s">
        <v>2521</v>
      </c>
      <c r="E13" s="17" t="s">
        <v>3680</v>
      </c>
      <c r="F13" s="17" t="s">
        <v>3681</v>
      </c>
      <c r="G13" s="17" t="s">
        <v>5690</v>
      </c>
      <c r="H13" t="s">
        <v>7476</v>
      </c>
      <c r="I13" s="1">
        <v>1</v>
      </c>
      <c r="J13" s="1">
        <v>1</v>
      </c>
      <c r="K13" t="s">
        <v>6637</v>
      </c>
      <c r="L13" s="5" t="e">
        <f>VLOOKUP(D:D,[1]Munka2!$A:$B,2,FALSE)</f>
        <v>#N/A</v>
      </c>
      <c r="M13" s="5">
        <f>_xlfn.IFNA(Táblázat1[[#This Row],[Kész2020]],0)</f>
        <v>0</v>
      </c>
      <c r="N13" s="5">
        <f>IF(Táblázat1[[#This Row],[Karb./akt.év]]-Táblázat1[[#This Row],[Kész2020_2]]&lt;0,0,Táblázat1[[#This Row],[Karb./akt.év]]-Táblázat1[[#This Row],[Kész2020_2]])</f>
        <v>1</v>
      </c>
    </row>
    <row r="14" spans="1:14" hidden="1" x14ac:dyDescent="0.25">
      <c r="A14" s="17" t="s">
        <v>20</v>
      </c>
      <c r="B14" s="17" t="s">
        <v>337</v>
      </c>
      <c r="C14" s="17" t="s">
        <v>1752</v>
      </c>
      <c r="D14" s="17" t="s">
        <v>2086</v>
      </c>
      <c r="E14" s="17" t="s">
        <v>3689</v>
      </c>
      <c r="F14" s="17" t="s">
        <v>3690</v>
      </c>
      <c r="G14" s="17" t="s">
        <v>5301</v>
      </c>
      <c r="H14" t="s">
        <v>7476</v>
      </c>
      <c r="I14" s="1">
        <v>1</v>
      </c>
      <c r="J14" s="1">
        <v>1</v>
      </c>
      <c r="K14" t="s">
        <v>6784</v>
      </c>
      <c r="L14" s="5" t="e">
        <f>VLOOKUP(D:D,[1]Munka2!$A:$B,2,FALSE)</f>
        <v>#N/A</v>
      </c>
      <c r="M14" s="5">
        <f>_xlfn.IFNA(Táblázat1[[#This Row],[Kész2020]],0)</f>
        <v>0</v>
      </c>
      <c r="N14" s="5">
        <f>IF(Táblázat1[[#This Row],[Karb./akt.év]]-Táblázat1[[#This Row],[Kész2020_2]]&lt;0,0,Táblázat1[[#This Row],[Karb./akt.év]]-Táblázat1[[#This Row],[Kész2020_2]])</f>
        <v>1</v>
      </c>
    </row>
    <row r="15" spans="1:14" hidden="1" x14ac:dyDescent="0.25">
      <c r="A15" s="17" t="s">
        <v>20</v>
      </c>
      <c r="B15" s="17" t="s">
        <v>723</v>
      </c>
      <c r="C15" s="17" t="s">
        <v>1736</v>
      </c>
      <c r="D15" s="17" t="s">
        <v>2500</v>
      </c>
      <c r="E15" s="17" t="s">
        <v>3818</v>
      </c>
      <c r="F15" s="17" t="s">
        <v>3819</v>
      </c>
      <c r="G15" s="17" t="s">
        <v>5674</v>
      </c>
      <c r="H15" t="s">
        <v>7476</v>
      </c>
      <c r="I15" s="1">
        <v>1</v>
      </c>
      <c r="J15" s="1">
        <v>1</v>
      </c>
      <c r="K15" t="s">
        <v>6634</v>
      </c>
      <c r="L15" s="5">
        <f>VLOOKUP(D:D,[1]Munka2!$A:$B,2,FALSE)</f>
        <v>1</v>
      </c>
      <c r="M15" s="5">
        <f>_xlfn.IFNA(Táblázat1[[#This Row],[Kész2020]],0)</f>
        <v>1</v>
      </c>
      <c r="N15" s="5">
        <f>IF(Táblázat1[[#This Row],[Karb./akt.év]]-Táblázat1[[#This Row],[Kész2020_2]]&lt;0,0,Táblázat1[[#This Row],[Karb./akt.év]]-Táblázat1[[#This Row],[Kész2020_2]])</f>
        <v>0</v>
      </c>
    </row>
    <row r="16" spans="1:14" hidden="1" x14ac:dyDescent="0.25">
      <c r="A16" s="17" t="s">
        <v>20</v>
      </c>
      <c r="B16" s="17" t="s">
        <v>123</v>
      </c>
      <c r="C16" s="17" t="s">
        <v>1755</v>
      </c>
      <c r="D16" s="17" t="s">
        <v>1863</v>
      </c>
      <c r="E16" s="17" t="s">
        <v>3709</v>
      </c>
      <c r="F16" s="17" t="s">
        <v>3710</v>
      </c>
      <c r="G16" s="17" t="s">
        <v>5094</v>
      </c>
      <c r="H16" t="s">
        <v>7476</v>
      </c>
      <c r="I16" s="1">
        <v>1</v>
      </c>
      <c r="J16" s="1">
        <v>1</v>
      </c>
      <c r="K16" t="s">
        <v>6643</v>
      </c>
      <c r="L16" s="5">
        <f>VLOOKUP(D:D,[1]Munka2!$A:$B,2,FALSE)</f>
        <v>1</v>
      </c>
      <c r="M16" s="5">
        <f>_xlfn.IFNA(Táblázat1[[#This Row],[Kész2020]],0)</f>
        <v>1</v>
      </c>
      <c r="N16" s="5">
        <f>IF(Táblázat1[[#This Row],[Karb./akt.év]]-Táblázat1[[#This Row],[Kész2020_2]]&lt;0,0,Táblázat1[[#This Row],[Karb./akt.év]]-Táblázat1[[#This Row],[Kész2020_2]])</f>
        <v>0</v>
      </c>
    </row>
    <row r="17" spans="1:14" hidden="1" x14ac:dyDescent="0.25">
      <c r="A17" s="17" t="s">
        <v>20</v>
      </c>
      <c r="B17" s="17" t="s">
        <v>115</v>
      </c>
      <c r="C17" s="17" t="s">
        <v>1752</v>
      </c>
      <c r="D17" s="17" t="s">
        <v>1855</v>
      </c>
      <c r="E17" s="17" t="s">
        <v>3709</v>
      </c>
      <c r="F17" s="17" t="s">
        <v>3710</v>
      </c>
      <c r="G17" s="17" t="s">
        <v>7527</v>
      </c>
      <c r="H17" t="s">
        <v>7476</v>
      </c>
      <c r="I17" s="1">
        <v>1</v>
      </c>
      <c r="J17" s="1">
        <v>1</v>
      </c>
      <c r="K17" t="s">
        <v>6643</v>
      </c>
      <c r="L17" s="5">
        <f>VLOOKUP(D:D,[1]Munka2!$A:$B,2,FALSE)</f>
        <v>1</v>
      </c>
      <c r="M17" s="5">
        <f>_xlfn.IFNA(Táblázat1[[#This Row],[Kész2020]],0)</f>
        <v>1</v>
      </c>
      <c r="N17" s="5">
        <f>IF(Táblázat1[[#This Row],[Karb./akt.év]]-Táblázat1[[#This Row],[Kész2020_2]]&lt;0,0,Táblázat1[[#This Row],[Karb./akt.év]]-Táblázat1[[#This Row],[Kész2020_2]])</f>
        <v>0</v>
      </c>
    </row>
    <row r="18" spans="1:14" hidden="1" x14ac:dyDescent="0.25">
      <c r="A18" s="17" t="s">
        <v>20</v>
      </c>
      <c r="B18" s="17" t="s">
        <v>1232</v>
      </c>
      <c r="C18" s="17" t="s">
        <v>1736</v>
      </c>
      <c r="D18" s="17" t="s">
        <v>3041</v>
      </c>
      <c r="E18" s="17" t="s">
        <v>3773</v>
      </c>
      <c r="F18" s="17" t="s">
        <v>3774</v>
      </c>
      <c r="G18" s="17" t="s">
        <v>6161</v>
      </c>
      <c r="H18" t="s">
        <v>7476</v>
      </c>
      <c r="I18" s="1">
        <v>1</v>
      </c>
      <c r="J18" s="1">
        <v>1</v>
      </c>
      <c r="K18" t="s">
        <v>6636</v>
      </c>
      <c r="L18" s="5" t="e">
        <f>VLOOKUP(D:D,[1]Munka2!$A:$B,2,FALSE)</f>
        <v>#N/A</v>
      </c>
      <c r="M18" s="5">
        <f>_xlfn.IFNA(Táblázat1[[#This Row],[Kész2020]],0)</f>
        <v>0</v>
      </c>
      <c r="N18" s="5">
        <f>IF(Táblázat1[[#This Row],[Karb./akt.év]]-Táblázat1[[#This Row],[Kész2020_2]]&lt;0,0,Táblázat1[[#This Row],[Karb./akt.év]]-Táblázat1[[#This Row],[Kész2020_2]])</f>
        <v>1</v>
      </c>
    </row>
    <row r="19" spans="1:14" hidden="1" x14ac:dyDescent="0.25">
      <c r="A19" s="17" t="s">
        <v>20</v>
      </c>
      <c r="B19" s="17" t="s">
        <v>1704</v>
      </c>
      <c r="C19" s="17" t="s">
        <v>1735</v>
      </c>
      <c r="D19" s="17" t="s">
        <v>3561</v>
      </c>
      <c r="E19" s="17" t="s">
        <v>3736</v>
      </c>
      <c r="F19" s="17" t="s">
        <v>3737</v>
      </c>
      <c r="G19" s="17" t="s">
        <v>6600</v>
      </c>
      <c r="H19" t="s">
        <v>7476</v>
      </c>
      <c r="I19" s="1">
        <v>1</v>
      </c>
      <c r="J19" s="1">
        <v>1</v>
      </c>
      <c r="K19" t="s">
        <v>6638</v>
      </c>
      <c r="L19" s="5" t="e">
        <f>VLOOKUP(D:D,[1]Munka2!$A:$B,2,FALSE)</f>
        <v>#N/A</v>
      </c>
      <c r="M19" s="5">
        <f>_xlfn.IFNA(Táblázat1[[#This Row],[Kész2020]],0)</f>
        <v>0</v>
      </c>
      <c r="N19" s="5">
        <f>IF(Táblázat1[[#This Row],[Karb./akt.év]]-Táblázat1[[#This Row],[Kész2020_2]]&lt;0,0,Táblázat1[[#This Row],[Karb./akt.év]]-Táblázat1[[#This Row],[Kész2020_2]])</f>
        <v>1</v>
      </c>
    </row>
    <row r="20" spans="1:14" hidden="1" x14ac:dyDescent="0.25">
      <c r="A20" s="17" t="s">
        <v>20</v>
      </c>
      <c r="B20" s="17" t="s">
        <v>285</v>
      </c>
      <c r="C20" s="17" t="s">
        <v>1753</v>
      </c>
      <c r="D20" s="17" t="s">
        <v>2034</v>
      </c>
      <c r="E20" s="17" t="s">
        <v>3641</v>
      </c>
      <c r="F20" s="17" t="s">
        <v>3642</v>
      </c>
      <c r="G20" s="17" t="s">
        <v>5253</v>
      </c>
      <c r="H20" t="s">
        <v>7476</v>
      </c>
      <c r="I20" s="1">
        <v>1</v>
      </c>
      <c r="J20" s="1">
        <v>1</v>
      </c>
      <c r="K20" t="s">
        <v>7354</v>
      </c>
      <c r="L20" s="5">
        <f>VLOOKUP(D:D,[1]Munka2!$A:$B,2,FALSE)</f>
        <v>1</v>
      </c>
      <c r="M20" s="5">
        <f>_xlfn.IFNA(Táblázat1[[#This Row],[Kész2020]],0)</f>
        <v>1</v>
      </c>
      <c r="N20" s="5">
        <f>IF(Táblázat1[[#This Row],[Karb./akt.év]]-Táblázat1[[#This Row],[Kész2020_2]]&lt;0,0,Táblázat1[[#This Row],[Karb./akt.év]]-Táblázat1[[#This Row],[Kész2020_2]])</f>
        <v>0</v>
      </c>
    </row>
    <row r="21" spans="1:14" hidden="1" x14ac:dyDescent="0.25">
      <c r="A21" s="17" t="s">
        <v>20</v>
      </c>
      <c r="B21" s="17" t="s">
        <v>1478</v>
      </c>
      <c r="C21" s="17" t="s">
        <v>1752</v>
      </c>
      <c r="D21" s="17" t="s">
        <v>3313</v>
      </c>
      <c r="E21" s="17" t="s">
        <v>4355</v>
      </c>
      <c r="F21" s="17" t="s">
        <v>4356</v>
      </c>
      <c r="G21" s="17" t="s">
        <v>6387</v>
      </c>
      <c r="H21" t="s">
        <v>7476</v>
      </c>
      <c r="I21" s="1">
        <v>1</v>
      </c>
      <c r="J21" s="1">
        <v>1</v>
      </c>
      <c r="K21" t="s">
        <v>6637</v>
      </c>
      <c r="L21" s="5" t="e">
        <f>VLOOKUP(D:D,[1]Munka2!$A:$B,2,FALSE)</f>
        <v>#N/A</v>
      </c>
      <c r="M21" s="5">
        <f>_xlfn.IFNA(Táblázat1[[#This Row],[Kész2020]],0)</f>
        <v>0</v>
      </c>
      <c r="N21" s="5">
        <f>IF(Táblázat1[[#This Row],[Karb./akt.év]]-Táblázat1[[#This Row],[Kész2020_2]]&lt;0,0,Táblázat1[[#This Row],[Karb./akt.év]]-Táblázat1[[#This Row],[Kész2020_2]])</f>
        <v>1</v>
      </c>
    </row>
    <row r="22" spans="1:14" hidden="1" x14ac:dyDescent="0.25">
      <c r="A22" s="17" t="s">
        <v>20</v>
      </c>
      <c r="B22" s="17" t="s">
        <v>1396</v>
      </c>
      <c r="C22" s="17" t="s">
        <v>1736</v>
      </c>
      <c r="D22" s="17" t="s">
        <v>3222</v>
      </c>
      <c r="E22" s="17" t="s">
        <v>3741</v>
      </c>
      <c r="F22" s="17" t="s">
        <v>3742</v>
      </c>
      <c r="G22" s="17" t="s">
        <v>6303</v>
      </c>
      <c r="H22" t="s">
        <v>7476</v>
      </c>
      <c r="I22" s="1">
        <v>1</v>
      </c>
      <c r="J22" s="1">
        <v>1</v>
      </c>
      <c r="K22" t="s">
        <v>7354</v>
      </c>
      <c r="L22" s="5" t="e">
        <f>VLOOKUP(D:D,[1]Munka2!$A:$B,2,FALSE)</f>
        <v>#N/A</v>
      </c>
      <c r="M22" s="5">
        <f>_xlfn.IFNA(Táblázat1[[#This Row],[Kész2020]],0)</f>
        <v>0</v>
      </c>
      <c r="N22" s="5">
        <f>IF(Táblázat1[[#This Row],[Karb./akt.év]]-Táblázat1[[#This Row],[Kész2020_2]]&lt;0,0,Táblázat1[[#This Row],[Karb./akt.év]]-Táblázat1[[#This Row],[Kész2020_2]])</f>
        <v>1</v>
      </c>
    </row>
    <row r="23" spans="1:14" hidden="1" x14ac:dyDescent="0.25">
      <c r="A23" s="17" t="s">
        <v>20</v>
      </c>
      <c r="B23" s="17" t="s">
        <v>1409</v>
      </c>
      <c r="C23" s="17" t="s">
        <v>1737</v>
      </c>
      <c r="D23" s="17" t="s">
        <v>3236</v>
      </c>
      <c r="E23" s="17" t="s">
        <v>3834</v>
      </c>
      <c r="F23" s="17" t="s">
        <v>3835</v>
      </c>
      <c r="G23" s="17" t="s">
        <v>6314</v>
      </c>
      <c r="H23" t="s">
        <v>7476</v>
      </c>
      <c r="I23" s="1">
        <v>1</v>
      </c>
      <c r="J23" s="1">
        <v>1</v>
      </c>
      <c r="K23" t="s">
        <v>6636</v>
      </c>
      <c r="L23" s="5">
        <f>VLOOKUP(D:D,[1]Munka2!$A:$B,2,FALSE)</f>
        <v>1</v>
      </c>
      <c r="M23" s="5">
        <f>_xlfn.IFNA(Táblázat1[[#This Row],[Kész2020]],0)</f>
        <v>1</v>
      </c>
      <c r="N23" s="5">
        <f>IF(Táblázat1[[#This Row],[Karb./akt.év]]-Táblázat1[[#This Row],[Kész2020_2]]&lt;0,0,Táblázat1[[#This Row],[Karb./akt.év]]-Táblázat1[[#This Row],[Kész2020_2]])</f>
        <v>0</v>
      </c>
    </row>
    <row r="24" spans="1:14" hidden="1" x14ac:dyDescent="0.25">
      <c r="A24" s="17" t="s">
        <v>20</v>
      </c>
      <c r="B24" s="17" t="s">
        <v>1503</v>
      </c>
      <c r="C24" s="17" t="s">
        <v>1736</v>
      </c>
      <c r="D24" s="17" t="s">
        <v>3343</v>
      </c>
      <c r="E24" s="17" t="s">
        <v>3918</v>
      </c>
      <c r="F24" s="17" t="s">
        <v>3919</v>
      </c>
      <c r="G24" s="17" t="s">
        <v>6411</v>
      </c>
      <c r="H24" t="s">
        <v>7476</v>
      </c>
      <c r="I24" s="1">
        <v>1</v>
      </c>
      <c r="J24" s="1">
        <v>1</v>
      </c>
      <c r="K24" t="s">
        <v>7014</v>
      </c>
      <c r="L24" s="5">
        <f>VLOOKUP(D:D,[1]Munka2!$A:$B,2,FALSE)</f>
        <v>1</v>
      </c>
      <c r="M24" s="5">
        <f>_xlfn.IFNA(Táblázat1[[#This Row],[Kész2020]],0)</f>
        <v>1</v>
      </c>
      <c r="N24" s="5">
        <f>IF(Táblázat1[[#This Row],[Karb./akt.év]]-Táblázat1[[#This Row],[Kész2020_2]]&lt;0,0,Táblázat1[[#This Row],[Karb./akt.év]]-Táblázat1[[#This Row],[Kész2020_2]])</f>
        <v>0</v>
      </c>
    </row>
    <row r="25" spans="1:14" hidden="1" x14ac:dyDescent="0.25">
      <c r="A25" s="17" t="s">
        <v>20</v>
      </c>
      <c r="B25" s="17" t="s">
        <v>328</v>
      </c>
      <c r="C25" s="17" t="s">
        <v>1752</v>
      </c>
      <c r="D25" s="17" t="s">
        <v>2077</v>
      </c>
      <c r="E25" s="17" t="s">
        <v>3928</v>
      </c>
      <c r="F25" s="17" t="s">
        <v>3929</v>
      </c>
      <c r="G25" s="17" t="s">
        <v>5295</v>
      </c>
      <c r="H25" t="s">
        <v>7476</v>
      </c>
      <c r="I25" s="1">
        <v>1</v>
      </c>
      <c r="J25" s="1">
        <v>1</v>
      </c>
      <c r="K25" t="s">
        <v>8102</v>
      </c>
      <c r="L25" s="5" t="e">
        <f>VLOOKUP(D:D,[1]Munka2!$A:$B,2,FALSE)</f>
        <v>#N/A</v>
      </c>
      <c r="M25" s="5">
        <f>_xlfn.IFNA(Táblázat1[[#This Row],[Kész2020]],0)</f>
        <v>0</v>
      </c>
      <c r="N25" s="5">
        <f>IF(Táblázat1[[#This Row],[Karb./akt.év]]-Táblázat1[[#This Row],[Kész2020_2]]&lt;0,0,Táblázat1[[#This Row],[Karb./akt.év]]-Táblázat1[[#This Row],[Kész2020_2]])</f>
        <v>1</v>
      </c>
    </row>
    <row r="26" spans="1:14" hidden="1" x14ac:dyDescent="0.25">
      <c r="A26" s="17" t="s">
        <v>20</v>
      </c>
      <c r="B26" s="17" t="s">
        <v>943</v>
      </c>
      <c r="C26" s="17" t="s">
        <v>1752</v>
      </c>
      <c r="D26" s="17" t="s">
        <v>2731</v>
      </c>
      <c r="E26" s="17" t="s">
        <v>4537</v>
      </c>
      <c r="F26" s="17" t="s">
        <v>3598</v>
      </c>
      <c r="G26" s="17" t="s">
        <v>5873</v>
      </c>
      <c r="H26" t="s">
        <v>7476</v>
      </c>
      <c r="I26" s="1">
        <v>1</v>
      </c>
      <c r="J26" s="1">
        <v>1</v>
      </c>
      <c r="K26" t="s">
        <v>6643</v>
      </c>
      <c r="L26" s="5" t="e">
        <f>VLOOKUP(D:D,[1]Munka2!$A:$B,2,FALSE)</f>
        <v>#N/A</v>
      </c>
      <c r="M26" s="5">
        <f>_xlfn.IFNA(Táblázat1[[#This Row],[Kész2020]],0)</f>
        <v>0</v>
      </c>
      <c r="N26" s="5">
        <f>IF(Táblázat1[[#This Row],[Karb./akt.év]]-Táblázat1[[#This Row],[Kész2020_2]]&lt;0,0,Táblázat1[[#This Row],[Karb./akt.év]]-Táblázat1[[#This Row],[Kész2020_2]])</f>
        <v>1</v>
      </c>
    </row>
    <row r="27" spans="1:14" hidden="1" x14ac:dyDescent="0.25">
      <c r="A27" s="17" t="s">
        <v>20</v>
      </c>
      <c r="B27" s="17" t="s">
        <v>1426</v>
      </c>
      <c r="C27" s="17" t="s">
        <v>1736</v>
      </c>
      <c r="D27" s="17" t="s">
        <v>3256</v>
      </c>
      <c r="E27" s="17" t="s">
        <v>3729</v>
      </c>
      <c r="F27" s="17" t="s">
        <v>3598</v>
      </c>
      <c r="G27" s="17" t="s">
        <v>6330</v>
      </c>
      <c r="H27" t="s">
        <v>7476</v>
      </c>
      <c r="I27" s="1">
        <v>1</v>
      </c>
      <c r="J27" s="1">
        <v>1</v>
      </c>
      <c r="K27" t="s">
        <v>8101</v>
      </c>
      <c r="L27" s="5" t="e">
        <f>VLOOKUP(D:D,[1]Munka2!$A:$B,2,FALSE)</f>
        <v>#N/A</v>
      </c>
      <c r="M27" s="5">
        <f>_xlfn.IFNA(Táblázat1[[#This Row],[Kész2020]],0)</f>
        <v>0</v>
      </c>
      <c r="N27" s="5">
        <f>IF(Táblázat1[[#This Row],[Karb./akt.év]]-Táblázat1[[#This Row],[Kész2020_2]]&lt;0,0,Táblázat1[[#This Row],[Karb./akt.év]]-Táblázat1[[#This Row],[Kész2020_2]])</f>
        <v>1</v>
      </c>
    </row>
    <row r="28" spans="1:14" hidden="1" x14ac:dyDescent="0.25">
      <c r="A28" s="17" t="s">
        <v>20</v>
      </c>
      <c r="B28" s="17" t="s">
        <v>1484</v>
      </c>
      <c r="C28" s="17" t="s">
        <v>1736</v>
      </c>
      <c r="D28" s="17" t="s">
        <v>3321</v>
      </c>
      <c r="E28" s="17" t="s">
        <v>3711</v>
      </c>
      <c r="F28" s="17" t="s">
        <v>3712</v>
      </c>
      <c r="G28" s="17" t="s">
        <v>6393</v>
      </c>
      <c r="H28" t="s">
        <v>7476</v>
      </c>
      <c r="I28" s="1">
        <v>1</v>
      </c>
      <c r="J28" s="1">
        <v>1</v>
      </c>
      <c r="K28" t="s">
        <v>6633</v>
      </c>
      <c r="L28" s="5">
        <f>VLOOKUP(D:D,[1]Munka2!$A:$B,2,FALSE)</f>
        <v>1</v>
      </c>
      <c r="M28" s="5">
        <f>_xlfn.IFNA(Táblázat1[[#This Row],[Kész2020]],0)</f>
        <v>1</v>
      </c>
      <c r="N28" s="5">
        <f>IF(Táblázat1[[#This Row],[Karb./akt.év]]-Táblázat1[[#This Row],[Kész2020_2]]&lt;0,0,Táblázat1[[#This Row],[Karb./akt.év]]-Táblázat1[[#This Row],[Kész2020_2]])</f>
        <v>0</v>
      </c>
    </row>
    <row r="29" spans="1:14" hidden="1" x14ac:dyDescent="0.25">
      <c r="A29" s="17" t="s">
        <v>20</v>
      </c>
      <c r="B29" s="17" t="s">
        <v>793</v>
      </c>
      <c r="C29" s="17" t="s">
        <v>1752</v>
      </c>
      <c r="D29" s="17" t="s">
        <v>2569</v>
      </c>
      <c r="E29" s="17" t="s">
        <v>3788</v>
      </c>
      <c r="F29" s="17" t="s">
        <v>3789</v>
      </c>
      <c r="G29" s="17" t="s">
        <v>5735</v>
      </c>
      <c r="H29" t="s">
        <v>7476</v>
      </c>
      <c r="I29" s="1">
        <v>1</v>
      </c>
      <c r="J29" s="1">
        <v>1</v>
      </c>
      <c r="K29" t="s">
        <v>6634</v>
      </c>
      <c r="L29" s="5" t="e">
        <f>VLOOKUP(D:D,[1]Munka2!$A:$B,2,FALSE)</f>
        <v>#N/A</v>
      </c>
      <c r="M29" s="5">
        <f>_xlfn.IFNA(Táblázat1[[#This Row],[Kész2020]],0)</f>
        <v>0</v>
      </c>
      <c r="N29" s="5">
        <f>IF(Táblázat1[[#This Row],[Karb./akt.év]]-Táblázat1[[#This Row],[Kész2020_2]]&lt;0,0,Táblázat1[[#This Row],[Karb./akt.év]]-Táblázat1[[#This Row],[Kész2020_2]])</f>
        <v>1</v>
      </c>
    </row>
    <row r="30" spans="1:14" hidden="1" x14ac:dyDescent="0.25">
      <c r="A30" s="17" t="s">
        <v>20</v>
      </c>
      <c r="B30" s="17" t="s">
        <v>704</v>
      </c>
      <c r="C30" s="17" t="s">
        <v>1735</v>
      </c>
      <c r="D30" s="17" t="s">
        <v>2480</v>
      </c>
      <c r="E30" s="17" t="s">
        <v>3650</v>
      </c>
      <c r="F30" s="17" t="s">
        <v>3651</v>
      </c>
      <c r="G30" s="17" t="s">
        <v>5658</v>
      </c>
      <c r="H30" t="s">
        <v>7476</v>
      </c>
      <c r="I30" s="1">
        <v>1</v>
      </c>
      <c r="J30" s="1">
        <v>1</v>
      </c>
      <c r="K30" t="s">
        <v>6639</v>
      </c>
      <c r="L30" s="5">
        <f>VLOOKUP(D:D,[1]Munka2!$A:$B,2,FALSE)</f>
        <v>1</v>
      </c>
      <c r="M30" s="5">
        <f>_xlfn.IFNA(Táblázat1[[#This Row],[Kész2020]],0)</f>
        <v>1</v>
      </c>
      <c r="N30" s="5">
        <f>IF(Táblázat1[[#This Row],[Karb./akt.év]]-Táblázat1[[#This Row],[Kész2020_2]]&lt;0,0,Táblázat1[[#This Row],[Karb./akt.év]]-Táblázat1[[#This Row],[Kész2020_2]])</f>
        <v>0</v>
      </c>
    </row>
    <row r="31" spans="1:14" hidden="1" x14ac:dyDescent="0.25">
      <c r="A31" s="17" t="s">
        <v>20</v>
      </c>
      <c r="B31" s="17" t="s">
        <v>946</v>
      </c>
      <c r="C31" s="17" t="s">
        <v>7395</v>
      </c>
      <c r="D31" s="17" t="s">
        <v>7396</v>
      </c>
      <c r="E31" s="17" t="s">
        <v>4538</v>
      </c>
      <c r="F31" s="17" t="s">
        <v>3598</v>
      </c>
      <c r="G31" s="17" t="s">
        <v>5876</v>
      </c>
      <c r="H31" t="s">
        <v>7476</v>
      </c>
      <c r="I31" s="1">
        <v>1</v>
      </c>
      <c r="J31" s="1">
        <v>1</v>
      </c>
      <c r="K31" t="s">
        <v>7017</v>
      </c>
      <c r="L31" s="5" t="e">
        <f>VLOOKUP(D:D,[1]Munka2!$A:$B,2,FALSE)</f>
        <v>#N/A</v>
      </c>
      <c r="M31" s="5">
        <f>_xlfn.IFNA(Táblázat1[[#This Row],[Kész2020]],0)</f>
        <v>0</v>
      </c>
      <c r="N31" s="5">
        <f>IF(Táblázat1[[#This Row],[Karb./akt.év]]-Táblázat1[[#This Row],[Kész2020_2]]&lt;0,0,Táblázat1[[#This Row],[Karb./akt.év]]-Táblázat1[[#This Row],[Kész2020_2]])</f>
        <v>1</v>
      </c>
    </row>
    <row r="32" spans="1:14" hidden="1" x14ac:dyDescent="0.25">
      <c r="A32" s="17" t="s">
        <v>20</v>
      </c>
      <c r="B32" s="17" t="s">
        <v>1646</v>
      </c>
      <c r="C32" s="17" t="s">
        <v>1737</v>
      </c>
      <c r="D32" s="17" t="s">
        <v>3501</v>
      </c>
      <c r="E32" s="17" t="s">
        <v>3836</v>
      </c>
      <c r="F32" s="17" t="s">
        <v>3837</v>
      </c>
      <c r="G32" s="17" t="s">
        <v>6540</v>
      </c>
      <c r="H32" t="s">
        <v>7476</v>
      </c>
      <c r="I32" s="1">
        <v>1</v>
      </c>
      <c r="J32" s="1">
        <v>1</v>
      </c>
      <c r="K32" t="s">
        <v>8103</v>
      </c>
      <c r="L32" s="5">
        <f>VLOOKUP(D:D,[1]Munka2!$A:$B,2,FALSE)</f>
        <v>1</v>
      </c>
      <c r="M32" s="5">
        <f>_xlfn.IFNA(Táblázat1[[#This Row],[Kész2020]],0)</f>
        <v>1</v>
      </c>
      <c r="N32" s="5">
        <f>IF(Táblázat1[[#This Row],[Karb./akt.év]]-Táblázat1[[#This Row],[Kész2020_2]]&lt;0,0,Táblázat1[[#This Row],[Karb./akt.év]]-Táblázat1[[#This Row],[Kész2020_2]])</f>
        <v>0</v>
      </c>
    </row>
    <row r="33" spans="1:14" hidden="1" x14ac:dyDescent="0.25">
      <c r="A33" s="17" t="s">
        <v>20</v>
      </c>
      <c r="B33" s="17" t="s">
        <v>665</v>
      </c>
      <c r="C33" s="17" t="s">
        <v>1752</v>
      </c>
      <c r="D33" s="17" t="s">
        <v>2439</v>
      </c>
      <c r="E33" s="17" t="s">
        <v>4278</v>
      </c>
      <c r="F33" s="17" t="s">
        <v>3598</v>
      </c>
      <c r="G33" s="17" t="s">
        <v>5622</v>
      </c>
      <c r="H33" t="s">
        <v>7476</v>
      </c>
      <c r="I33" s="1">
        <v>1</v>
      </c>
      <c r="J33" s="1">
        <v>1</v>
      </c>
      <c r="K33" t="s">
        <v>6643</v>
      </c>
      <c r="L33" s="5">
        <f>VLOOKUP(D:D,[1]Munka2!$A:$B,2,FALSE)</f>
        <v>1</v>
      </c>
      <c r="M33" s="5">
        <f>_xlfn.IFNA(Táblázat1[[#This Row],[Kész2020]],0)</f>
        <v>1</v>
      </c>
      <c r="N33" s="5">
        <f>IF(Táblázat1[[#This Row],[Karb./akt.év]]-Táblázat1[[#This Row],[Kész2020_2]]&lt;0,0,Táblázat1[[#This Row],[Karb./akt.év]]-Táblázat1[[#This Row],[Kész2020_2]])</f>
        <v>0</v>
      </c>
    </row>
    <row r="34" spans="1:14" hidden="1" x14ac:dyDescent="0.25">
      <c r="A34" s="17" t="s">
        <v>20</v>
      </c>
      <c r="B34" s="17" t="s">
        <v>1624</v>
      </c>
      <c r="C34" s="17" t="s">
        <v>1752</v>
      </c>
      <c r="D34" s="17" t="s">
        <v>3475</v>
      </c>
      <c r="E34" s="17" t="s">
        <v>3597</v>
      </c>
      <c r="F34" s="17" t="s">
        <v>3598</v>
      </c>
      <c r="G34" s="17" t="s">
        <v>6522</v>
      </c>
      <c r="H34" t="s">
        <v>7476</v>
      </c>
      <c r="I34" s="1">
        <v>1</v>
      </c>
      <c r="J34" s="1">
        <v>1</v>
      </c>
      <c r="K34" t="s">
        <v>6643</v>
      </c>
      <c r="L34" s="5">
        <f>VLOOKUP(D:D,[1]Munka2!$A:$B,2,FALSE)</f>
        <v>1</v>
      </c>
      <c r="M34" s="5">
        <f>_xlfn.IFNA(Táblázat1[[#This Row],[Kész2020]],0)</f>
        <v>1</v>
      </c>
      <c r="N34" s="5">
        <f>IF(Táblázat1[[#This Row],[Karb./akt.év]]-Táblázat1[[#This Row],[Kész2020_2]]&lt;0,0,Táblázat1[[#This Row],[Karb./akt.év]]-Táblázat1[[#This Row],[Kész2020_2]])</f>
        <v>0</v>
      </c>
    </row>
    <row r="35" spans="1:14" hidden="1" x14ac:dyDescent="0.25">
      <c r="A35" s="17" t="s">
        <v>20</v>
      </c>
      <c r="B35" s="17" t="s">
        <v>823</v>
      </c>
      <c r="C35" s="17" t="s">
        <v>1736</v>
      </c>
      <c r="D35" s="17" t="s">
        <v>2601</v>
      </c>
      <c r="E35" s="17" t="s">
        <v>3879</v>
      </c>
      <c r="F35" s="17" t="s">
        <v>3598</v>
      </c>
      <c r="G35" s="17" t="s">
        <v>5762</v>
      </c>
      <c r="H35" t="s">
        <v>7476</v>
      </c>
      <c r="I35" s="1">
        <v>1</v>
      </c>
      <c r="J35" s="1">
        <v>1</v>
      </c>
      <c r="K35" t="s">
        <v>6641</v>
      </c>
      <c r="L35" s="5">
        <f>VLOOKUP(D:D,[1]Munka2!$A:$B,2,FALSE)</f>
        <v>1</v>
      </c>
      <c r="M35" s="5">
        <f>_xlfn.IFNA(Táblázat1[[#This Row],[Kész2020]],0)</f>
        <v>1</v>
      </c>
      <c r="N35" s="5">
        <f>IF(Táblázat1[[#This Row],[Karb./akt.év]]-Táblázat1[[#This Row],[Kész2020_2]]&lt;0,0,Táblázat1[[#This Row],[Karb./akt.év]]-Táblázat1[[#This Row],[Kész2020_2]])</f>
        <v>0</v>
      </c>
    </row>
    <row r="36" spans="1:14" hidden="1" x14ac:dyDescent="0.25">
      <c r="A36" s="17" t="s">
        <v>20</v>
      </c>
      <c r="B36" s="17" t="s">
        <v>1061</v>
      </c>
      <c r="C36" s="17" t="s">
        <v>1743</v>
      </c>
      <c r="D36" s="17" t="s">
        <v>2849</v>
      </c>
      <c r="E36" s="17" t="s">
        <v>4214</v>
      </c>
      <c r="F36" s="17" t="s">
        <v>3598</v>
      </c>
      <c r="G36" s="17" t="s">
        <v>5989</v>
      </c>
      <c r="H36" t="s">
        <v>7476</v>
      </c>
      <c r="I36" s="1">
        <v>1</v>
      </c>
      <c r="J36" s="1">
        <v>0</v>
      </c>
      <c r="K36" t="s">
        <v>7017</v>
      </c>
      <c r="L36" s="5" t="e">
        <f>VLOOKUP(D:D,[1]Munka2!$A:$B,2,FALSE)</f>
        <v>#N/A</v>
      </c>
      <c r="M36" s="5">
        <f>_xlfn.IFNA(Táblázat1[[#This Row],[Kész2020]],0)</f>
        <v>0</v>
      </c>
      <c r="N36" s="5">
        <f>IF(Táblázat1[[#This Row],[Karb./akt.év]]-Táblázat1[[#This Row],[Kész2020_2]]&lt;0,0,Táblázat1[[#This Row],[Karb./akt.év]]-Táblázat1[[#This Row],[Kész2020_2]])</f>
        <v>0</v>
      </c>
    </row>
    <row r="37" spans="1:14" hidden="1" x14ac:dyDescent="0.25">
      <c r="A37" s="17" t="s">
        <v>20</v>
      </c>
      <c r="B37" s="17" t="s">
        <v>114</v>
      </c>
      <c r="C37" s="17" t="s">
        <v>1752</v>
      </c>
      <c r="D37" s="17" t="s">
        <v>1854</v>
      </c>
      <c r="E37" s="17" t="s">
        <v>3707</v>
      </c>
      <c r="F37" s="17" t="s">
        <v>3708</v>
      </c>
      <c r="G37" s="17" t="s">
        <v>5086</v>
      </c>
      <c r="H37" t="s">
        <v>7476</v>
      </c>
      <c r="I37" s="1">
        <v>1</v>
      </c>
      <c r="J37" s="1">
        <v>1</v>
      </c>
      <c r="K37" t="s">
        <v>6643</v>
      </c>
      <c r="L37" s="5" t="e">
        <f>VLOOKUP(D:D,[1]Munka2!$A:$B,2,FALSE)</f>
        <v>#N/A</v>
      </c>
      <c r="M37" s="5">
        <f>_xlfn.IFNA(Táblázat1[[#This Row],[Kész2020]],0)</f>
        <v>0</v>
      </c>
      <c r="N37" s="5">
        <f>IF(Táblázat1[[#This Row],[Karb./akt.év]]-Táblázat1[[#This Row],[Kész2020_2]]&lt;0,0,Táblázat1[[#This Row],[Karb./akt.év]]-Táblázat1[[#This Row],[Kész2020_2]])</f>
        <v>1</v>
      </c>
    </row>
    <row r="38" spans="1:14" hidden="1" x14ac:dyDescent="0.25">
      <c r="A38" s="17" t="s">
        <v>20</v>
      </c>
      <c r="B38" s="17" t="s">
        <v>464</v>
      </c>
      <c r="C38" s="17" t="s">
        <v>1752</v>
      </c>
      <c r="D38" s="17" t="s">
        <v>2221</v>
      </c>
      <c r="E38" s="17" t="s">
        <v>3939</v>
      </c>
      <c r="F38" s="17" t="s">
        <v>3940</v>
      </c>
      <c r="G38" s="17" t="s">
        <v>5428</v>
      </c>
      <c r="H38" t="s">
        <v>7476</v>
      </c>
      <c r="I38" s="1">
        <v>1</v>
      </c>
      <c r="J38" s="1">
        <v>1</v>
      </c>
      <c r="K38" t="s">
        <v>6643</v>
      </c>
      <c r="L38" s="5">
        <f>VLOOKUP(D:D,[1]Munka2!$A:$B,2,FALSE)</f>
        <v>1</v>
      </c>
      <c r="M38" s="5">
        <f>_xlfn.IFNA(Táblázat1[[#This Row],[Kész2020]],0)</f>
        <v>1</v>
      </c>
      <c r="N38" s="5">
        <f>IF(Táblázat1[[#This Row],[Karb./akt.év]]-Táblázat1[[#This Row],[Kész2020_2]]&lt;0,0,Táblázat1[[#This Row],[Karb./akt.év]]-Táblázat1[[#This Row],[Kész2020_2]])</f>
        <v>0</v>
      </c>
    </row>
    <row r="39" spans="1:14" hidden="1" x14ac:dyDescent="0.25">
      <c r="A39" s="17" t="s">
        <v>20</v>
      </c>
      <c r="B39" s="17" t="s">
        <v>1715</v>
      </c>
      <c r="C39" s="17" t="s">
        <v>1752</v>
      </c>
      <c r="D39" s="17" t="s">
        <v>3573</v>
      </c>
      <c r="E39" s="17" t="s">
        <v>4312</v>
      </c>
      <c r="F39" s="17" t="s">
        <v>3598</v>
      </c>
      <c r="G39" s="17" t="s">
        <v>6608</v>
      </c>
      <c r="H39" t="s">
        <v>7476</v>
      </c>
      <c r="I39" s="1">
        <v>1</v>
      </c>
      <c r="J39" s="1">
        <v>1</v>
      </c>
      <c r="K39" t="s">
        <v>6643</v>
      </c>
      <c r="L39" s="5" t="e">
        <f>VLOOKUP(D:D,[1]Munka2!$A:$B,2,FALSE)</f>
        <v>#N/A</v>
      </c>
      <c r="M39" s="5">
        <f>_xlfn.IFNA(Táblázat1[[#This Row],[Kész2020]],0)</f>
        <v>0</v>
      </c>
      <c r="N39" s="5">
        <f>IF(Táblázat1[[#This Row],[Karb./akt.év]]-Táblázat1[[#This Row],[Kész2020_2]]&lt;0,0,Táblázat1[[#This Row],[Karb./akt.év]]-Táblázat1[[#This Row],[Kész2020_2]])</f>
        <v>1</v>
      </c>
    </row>
    <row r="40" spans="1:14" hidden="1" x14ac:dyDescent="0.25">
      <c r="A40" s="17" t="s">
        <v>20</v>
      </c>
      <c r="B40" s="17" t="s">
        <v>795</v>
      </c>
      <c r="C40" s="17" t="s">
        <v>1736</v>
      </c>
      <c r="D40" s="17" t="s">
        <v>2571</v>
      </c>
      <c r="E40" s="17" t="s">
        <v>4265</v>
      </c>
      <c r="F40" s="17" t="s">
        <v>3598</v>
      </c>
      <c r="G40" s="17" t="s">
        <v>5737</v>
      </c>
      <c r="H40" t="s">
        <v>7476</v>
      </c>
      <c r="I40" s="1">
        <v>1</v>
      </c>
      <c r="J40" s="1">
        <v>1</v>
      </c>
      <c r="K40" t="s">
        <v>6641</v>
      </c>
      <c r="L40" s="5">
        <f>VLOOKUP(D:D,[1]Munka2!$A:$B,2,FALSE)</f>
        <v>1</v>
      </c>
      <c r="M40" s="5">
        <f>_xlfn.IFNA(Táblázat1[[#This Row],[Kész2020]],0)</f>
        <v>1</v>
      </c>
      <c r="N40" s="5">
        <f>IF(Táblázat1[[#This Row],[Karb./akt.év]]-Táblázat1[[#This Row],[Kész2020_2]]&lt;0,0,Táblázat1[[#This Row],[Karb./akt.év]]-Táblázat1[[#This Row],[Kész2020_2]])</f>
        <v>0</v>
      </c>
    </row>
    <row r="41" spans="1:14" hidden="1" x14ac:dyDescent="0.25">
      <c r="A41" s="17" t="s">
        <v>20</v>
      </c>
      <c r="B41" s="17" t="s">
        <v>1141</v>
      </c>
      <c r="C41" s="17" t="s">
        <v>1753</v>
      </c>
      <c r="D41" s="17" t="s">
        <v>2939</v>
      </c>
      <c r="E41" s="17" t="s">
        <v>4051</v>
      </c>
      <c r="F41" s="17" t="s">
        <v>3598</v>
      </c>
      <c r="G41" s="17" t="s">
        <v>6072</v>
      </c>
      <c r="H41" t="s">
        <v>7476</v>
      </c>
      <c r="I41" s="1">
        <v>1</v>
      </c>
      <c r="J41" s="1">
        <v>1</v>
      </c>
      <c r="K41" t="s">
        <v>6643</v>
      </c>
      <c r="L41" s="5" t="e">
        <f>VLOOKUP(D:D,[1]Munka2!$A:$B,2,FALSE)</f>
        <v>#N/A</v>
      </c>
      <c r="M41" s="5">
        <f>_xlfn.IFNA(Táblázat1[[#This Row],[Kész2020]],0)</f>
        <v>0</v>
      </c>
      <c r="N41" s="5">
        <f>IF(Táblázat1[[#This Row],[Karb./akt.év]]-Táblázat1[[#This Row],[Kész2020_2]]&lt;0,0,Táblázat1[[#This Row],[Karb./akt.év]]-Táblázat1[[#This Row],[Kész2020_2]])</f>
        <v>1</v>
      </c>
    </row>
    <row r="42" spans="1:14" hidden="1" x14ac:dyDescent="0.25">
      <c r="A42" s="17" t="s">
        <v>20</v>
      </c>
      <c r="B42" s="17" t="s">
        <v>262</v>
      </c>
      <c r="C42" s="17" t="s">
        <v>1752</v>
      </c>
      <c r="D42" s="17" t="s">
        <v>2009</v>
      </c>
      <c r="E42" s="17" t="s">
        <v>3761</v>
      </c>
      <c r="F42" s="17" t="s">
        <v>3762</v>
      </c>
      <c r="G42" s="17" t="s">
        <v>5229</v>
      </c>
      <c r="H42" t="s">
        <v>7476</v>
      </c>
      <c r="I42" s="1">
        <v>1</v>
      </c>
      <c r="J42" s="1">
        <v>1</v>
      </c>
      <c r="K42" t="s">
        <v>7014</v>
      </c>
      <c r="L42" s="5" t="e">
        <f>VLOOKUP(D:D,[1]Munka2!$A:$B,2,FALSE)</f>
        <v>#N/A</v>
      </c>
      <c r="M42" s="5">
        <f>_xlfn.IFNA(Táblázat1[[#This Row],[Kész2020]],0)</f>
        <v>0</v>
      </c>
      <c r="N42" s="5">
        <f>IF(Táblázat1[[#This Row],[Karb./akt.év]]-Táblázat1[[#This Row],[Kész2020_2]]&lt;0,0,Táblázat1[[#This Row],[Karb./akt.év]]-Táblázat1[[#This Row],[Kész2020_2]])</f>
        <v>1</v>
      </c>
    </row>
    <row r="43" spans="1:14" hidden="1" x14ac:dyDescent="0.25">
      <c r="A43" s="17" t="s">
        <v>20</v>
      </c>
      <c r="B43" s="17" t="s">
        <v>1575</v>
      </c>
      <c r="C43" s="17" t="s">
        <v>1752</v>
      </c>
      <c r="D43" s="17" t="s">
        <v>3423</v>
      </c>
      <c r="E43" s="17" t="s">
        <v>3824</v>
      </c>
      <c r="F43" s="17" t="s">
        <v>3598</v>
      </c>
      <c r="G43" s="17" t="s">
        <v>6478</v>
      </c>
      <c r="H43" t="s">
        <v>7476</v>
      </c>
      <c r="I43" s="1">
        <v>1</v>
      </c>
      <c r="J43" s="1">
        <v>1</v>
      </c>
      <c r="K43" t="s">
        <v>6643</v>
      </c>
      <c r="L43" s="5" t="e">
        <f>VLOOKUP(D:D,[1]Munka2!$A:$B,2,FALSE)</f>
        <v>#N/A</v>
      </c>
      <c r="M43" s="5">
        <f>_xlfn.IFNA(Táblázat1[[#This Row],[Kész2020]],0)</f>
        <v>0</v>
      </c>
      <c r="N43" s="5">
        <f>IF(Táblázat1[[#This Row],[Karb./akt.év]]-Táblázat1[[#This Row],[Kész2020_2]]&lt;0,0,Táblázat1[[#This Row],[Karb./akt.év]]-Táblázat1[[#This Row],[Kész2020_2]])</f>
        <v>1</v>
      </c>
    </row>
    <row r="44" spans="1:14" hidden="1" x14ac:dyDescent="0.25">
      <c r="A44" s="17" t="s">
        <v>20</v>
      </c>
      <c r="B44" s="17" t="s">
        <v>1206</v>
      </c>
      <c r="C44" s="17" t="s">
        <v>1752</v>
      </c>
      <c r="D44" s="17" t="s">
        <v>3012</v>
      </c>
      <c r="E44" s="17" t="s">
        <v>4627</v>
      </c>
      <c r="F44" s="17" t="s">
        <v>3598</v>
      </c>
      <c r="G44" s="17" t="s">
        <v>6135</v>
      </c>
      <c r="H44" t="s">
        <v>7476</v>
      </c>
      <c r="I44" s="1">
        <v>1</v>
      </c>
      <c r="J44" s="1">
        <v>1</v>
      </c>
      <c r="K44" t="s">
        <v>7014</v>
      </c>
      <c r="L44" s="5" t="e">
        <f>VLOOKUP(D:D,[1]Munka2!$A:$B,2,FALSE)</f>
        <v>#N/A</v>
      </c>
      <c r="M44" s="5">
        <f>_xlfn.IFNA(Táblázat1[[#This Row],[Kész2020]],0)</f>
        <v>0</v>
      </c>
      <c r="N44" s="5">
        <f>IF(Táblázat1[[#This Row],[Karb./akt.év]]-Táblázat1[[#This Row],[Kész2020_2]]&lt;0,0,Táblázat1[[#This Row],[Karb./akt.év]]-Táblázat1[[#This Row],[Kész2020_2]])</f>
        <v>1</v>
      </c>
    </row>
    <row r="45" spans="1:14" hidden="1" x14ac:dyDescent="0.25">
      <c r="A45" s="17" t="s">
        <v>20</v>
      </c>
      <c r="B45" s="17" t="s">
        <v>1320</v>
      </c>
      <c r="C45" s="17" t="s">
        <v>1752</v>
      </c>
      <c r="D45" s="17" t="s">
        <v>3135</v>
      </c>
      <c r="E45" s="17" t="s">
        <v>4071</v>
      </c>
      <c r="F45" s="17" t="s">
        <v>4072</v>
      </c>
      <c r="G45" s="17" t="s">
        <v>6239</v>
      </c>
      <c r="H45" t="s">
        <v>7476</v>
      </c>
      <c r="I45" s="1">
        <v>1</v>
      </c>
      <c r="J45" s="1">
        <v>1</v>
      </c>
      <c r="K45" t="s">
        <v>6642</v>
      </c>
      <c r="L45" s="5" t="e">
        <f>VLOOKUP(D:D,[1]Munka2!$A:$B,2,FALSE)</f>
        <v>#N/A</v>
      </c>
      <c r="M45" s="5">
        <f>_xlfn.IFNA(Táblázat1[[#This Row],[Kész2020]],0)</f>
        <v>0</v>
      </c>
      <c r="N45" s="5">
        <f>IF(Táblázat1[[#This Row],[Karb./akt.év]]-Táblázat1[[#This Row],[Kész2020_2]]&lt;0,0,Táblázat1[[#This Row],[Karb./akt.év]]-Táblázat1[[#This Row],[Kész2020_2]])</f>
        <v>1</v>
      </c>
    </row>
    <row r="46" spans="1:14" hidden="1" x14ac:dyDescent="0.25">
      <c r="A46" s="17" t="s">
        <v>20</v>
      </c>
      <c r="B46" s="17" t="s">
        <v>1547</v>
      </c>
      <c r="C46" s="17" t="s">
        <v>1736</v>
      </c>
      <c r="D46" s="17" t="s">
        <v>3392</v>
      </c>
      <c r="E46" s="17" t="s">
        <v>4942</v>
      </c>
      <c r="F46" s="17" t="s">
        <v>3598</v>
      </c>
      <c r="G46" s="17" t="s">
        <v>6454</v>
      </c>
      <c r="H46" t="s">
        <v>7476</v>
      </c>
      <c r="I46" s="1">
        <v>1</v>
      </c>
      <c r="J46" s="1">
        <v>0</v>
      </c>
      <c r="K46" t="s">
        <v>8101</v>
      </c>
      <c r="L46" s="5" t="e">
        <f>VLOOKUP(D:D,[1]Munka2!$A:$B,2,FALSE)</f>
        <v>#N/A</v>
      </c>
      <c r="M46" s="5">
        <f>_xlfn.IFNA(Táblázat1[[#This Row],[Kész2020]],0)</f>
        <v>0</v>
      </c>
      <c r="N46" s="5">
        <f>IF(Táblázat1[[#This Row],[Karb./akt.év]]-Táblázat1[[#This Row],[Kész2020_2]]&lt;0,0,Táblázat1[[#This Row],[Karb./akt.év]]-Táblázat1[[#This Row],[Kész2020_2]])</f>
        <v>0</v>
      </c>
    </row>
    <row r="47" spans="1:14" hidden="1" x14ac:dyDescent="0.25">
      <c r="A47" s="17" t="s">
        <v>20</v>
      </c>
      <c r="B47" s="17" t="s">
        <v>1095</v>
      </c>
      <c r="C47" s="17" t="s">
        <v>1752</v>
      </c>
      <c r="D47" s="17" t="s">
        <v>2886</v>
      </c>
      <c r="E47" s="17" t="s">
        <v>4392</v>
      </c>
      <c r="F47" s="17" t="s">
        <v>3598</v>
      </c>
      <c r="G47" s="17" t="s">
        <v>6024</v>
      </c>
      <c r="H47" t="s">
        <v>7476</v>
      </c>
      <c r="I47" s="1">
        <v>1</v>
      </c>
      <c r="J47" s="1">
        <v>1</v>
      </c>
      <c r="K47" t="s">
        <v>6643</v>
      </c>
      <c r="L47" s="5" t="e">
        <f>VLOOKUP(D:D,[1]Munka2!$A:$B,2,FALSE)</f>
        <v>#N/A</v>
      </c>
      <c r="M47" s="5">
        <f>_xlfn.IFNA(Táblázat1[[#This Row],[Kész2020]],0)</f>
        <v>0</v>
      </c>
      <c r="N47" s="5">
        <f>IF(Táblázat1[[#This Row],[Karb./akt.év]]-Táblázat1[[#This Row],[Kész2020_2]]&lt;0,0,Táblázat1[[#This Row],[Karb./akt.év]]-Táblázat1[[#This Row],[Kész2020_2]])</f>
        <v>1</v>
      </c>
    </row>
    <row r="48" spans="1:14" hidden="1" x14ac:dyDescent="0.25">
      <c r="A48" s="17" t="s">
        <v>20</v>
      </c>
      <c r="B48" s="17" t="s">
        <v>214</v>
      </c>
      <c r="C48" s="17" t="s">
        <v>1752</v>
      </c>
      <c r="D48" s="17" t="s">
        <v>1955</v>
      </c>
      <c r="E48" s="17" t="s">
        <v>3693</v>
      </c>
      <c r="F48" s="17" t="s">
        <v>3694</v>
      </c>
      <c r="G48" s="17" t="s">
        <v>5182</v>
      </c>
      <c r="H48" t="s">
        <v>7476</v>
      </c>
      <c r="I48" s="1">
        <v>1</v>
      </c>
      <c r="J48" s="1">
        <v>1</v>
      </c>
      <c r="K48" t="s">
        <v>6643</v>
      </c>
      <c r="L48" s="5">
        <f>VLOOKUP(D:D,[1]Munka2!$A:$B,2,FALSE)</f>
        <v>1</v>
      </c>
      <c r="M48" s="5">
        <f>_xlfn.IFNA(Táblázat1[[#This Row],[Kész2020]],0)</f>
        <v>1</v>
      </c>
      <c r="N48" s="5">
        <f>IF(Táblázat1[[#This Row],[Karb./akt.év]]-Táblázat1[[#This Row],[Kész2020_2]]&lt;0,0,Táblázat1[[#This Row],[Karb./akt.év]]-Táblázat1[[#This Row],[Kész2020_2]])</f>
        <v>0</v>
      </c>
    </row>
    <row r="49" spans="1:14" hidden="1" x14ac:dyDescent="0.25">
      <c r="A49" s="17" t="s">
        <v>20</v>
      </c>
      <c r="B49" s="17" t="s">
        <v>1370</v>
      </c>
      <c r="C49" s="17" t="s">
        <v>1752</v>
      </c>
      <c r="D49" s="17" t="s">
        <v>3189</v>
      </c>
      <c r="E49" s="17" t="s">
        <v>4026</v>
      </c>
      <c r="F49" s="17" t="s">
        <v>4027</v>
      </c>
      <c r="G49" s="17" t="s">
        <v>6275</v>
      </c>
      <c r="H49" t="s">
        <v>7476</v>
      </c>
      <c r="I49" s="1">
        <v>1</v>
      </c>
      <c r="J49" s="1">
        <v>1</v>
      </c>
      <c r="K49" t="s">
        <v>7014</v>
      </c>
      <c r="L49" s="5" t="e">
        <f>VLOOKUP(D:D,[1]Munka2!$A:$B,2,FALSE)</f>
        <v>#N/A</v>
      </c>
      <c r="M49" s="5">
        <f>_xlfn.IFNA(Táblázat1[[#This Row],[Kész2020]],0)</f>
        <v>0</v>
      </c>
      <c r="N49" s="5">
        <f>IF(Táblázat1[[#This Row],[Karb./akt.év]]-Táblázat1[[#This Row],[Kész2020_2]]&lt;0,0,Táblázat1[[#This Row],[Karb./akt.év]]-Táblázat1[[#This Row],[Kész2020_2]])</f>
        <v>1</v>
      </c>
    </row>
    <row r="50" spans="1:14" hidden="1" x14ac:dyDescent="0.25">
      <c r="A50" s="17" t="s">
        <v>20</v>
      </c>
      <c r="B50" s="17" t="s">
        <v>1150</v>
      </c>
      <c r="C50" s="17" t="s">
        <v>1752</v>
      </c>
      <c r="D50" s="17" t="s">
        <v>2948</v>
      </c>
      <c r="E50" s="17" t="s">
        <v>4063</v>
      </c>
      <c r="F50" s="17" t="s">
        <v>3598</v>
      </c>
      <c r="G50" s="17" t="s">
        <v>6078</v>
      </c>
      <c r="H50" t="s">
        <v>7476</v>
      </c>
      <c r="I50" s="1">
        <v>1</v>
      </c>
      <c r="J50" s="1">
        <v>1</v>
      </c>
      <c r="K50" t="s">
        <v>6643</v>
      </c>
      <c r="L50" s="5" t="e">
        <f>VLOOKUP(D:D,[1]Munka2!$A:$B,2,FALSE)</f>
        <v>#N/A</v>
      </c>
      <c r="M50" s="5">
        <f>_xlfn.IFNA(Táblázat1[[#This Row],[Kész2020]],0)</f>
        <v>0</v>
      </c>
      <c r="N50" s="5">
        <f>IF(Táblázat1[[#This Row],[Karb./akt.év]]-Táblázat1[[#This Row],[Kész2020_2]]&lt;0,0,Táblázat1[[#This Row],[Karb./akt.év]]-Táblázat1[[#This Row],[Kész2020_2]])</f>
        <v>1</v>
      </c>
    </row>
    <row r="51" spans="1:14" hidden="1" x14ac:dyDescent="0.25">
      <c r="A51" s="17" t="s">
        <v>20</v>
      </c>
      <c r="B51" s="17" t="s">
        <v>659</v>
      </c>
      <c r="C51" s="17" t="s">
        <v>1753</v>
      </c>
      <c r="D51" s="17" t="s">
        <v>2433</v>
      </c>
      <c r="E51" s="17" t="s">
        <v>4049</v>
      </c>
      <c r="F51" s="17" t="s">
        <v>3718</v>
      </c>
      <c r="G51" s="17" t="s">
        <v>5617</v>
      </c>
      <c r="H51" t="s">
        <v>7476</v>
      </c>
      <c r="I51" s="1">
        <v>1</v>
      </c>
      <c r="J51" s="1">
        <v>1</v>
      </c>
      <c r="K51" t="s">
        <v>8102</v>
      </c>
      <c r="L51" s="5" t="e">
        <f>VLOOKUP(D:D,[1]Munka2!$A:$B,2,FALSE)</f>
        <v>#N/A</v>
      </c>
      <c r="M51" s="5">
        <f>_xlfn.IFNA(Táblázat1[[#This Row],[Kész2020]],0)</f>
        <v>0</v>
      </c>
      <c r="N51" s="5">
        <f>IF(Táblázat1[[#This Row],[Karb./akt.év]]-Táblázat1[[#This Row],[Kész2020_2]]&lt;0,0,Táblázat1[[#This Row],[Karb./akt.év]]-Táblázat1[[#This Row],[Kész2020_2]])</f>
        <v>1</v>
      </c>
    </row>
    <row r="52" spans="1:14" hidden="1" x14ac:dyDescent="0.25">
      <c r="A52" s="17" t="s">
        <v>20</v>
      </c>
      <c r="B52" s="17" t="s">
        <v>375</v>
      </c>
      <c r="C52" s="17" t="s">
        <v>1752</v>
      </c>
      <c r="D52" s="17" t="s">
        <v>2129</v>
      </c>
      <c r="E52" s="17" t="s">
        <v>3695</v>
      </c>
      <c r="F52" s="17" t="s">
        <v>3696</v>
      </c>
      <c r="G52" s="17" t="s">
        <v>5342</v>
      </c>
      <c r="H52" t="s">
        <v>7476</v>
      </c>
      <c r="I52" s="1">
        <v>1</v>
      </c>
      <c r="J52" s="1">
        <v>1</v>
      </c>
      <c r="K52" t="s">
        <v>6638</v>
      </c>
      <c r="L52" s="5">
        <f>VLOOKUP(D:D,[1]Munka2!$A:$B,2,FALSE)</f>
        <v>1</v>
      </c>
      <c r="M52" s="5">
        <f>_xlfn.IFNA(Táblázat1[[#This Row],[Kész2020]],0)</f>
        <v>1</v>
      </c>
      <c r="N52" s="5">
        <f>IF(Táblázat1[[#This Row],[Karb./akt.év]]-Táblázat1[[#This Row],[Kész2020_2]]&lt;0,0,Táblázat1[[#This Row],[Karb./akt.év]]-Táblázat1[[#This Row],[Kész2020_2]])</f>
        <v>0</v>
      </c>
    </row>
    <row r="53" spans="1:14" hidden="1" x14ac:dyDescent="0.25">
      <c r="A53" s="17" t="s">
        <v>20</v>
      </c>
      <c r="B53" s="17" t="s">
        <v>1541</v>
      </c>
      <c r="C53" s="17" t="s">
        <v>1752</v>
      </c>
      <c r="D53" s="17" t="s">
        <v>3385</v>
      </c>
      <c r="E53" s="17" t="s">
        <v>4097</v>
      </c>
      <c r="F53" s="17" t="s">
        <v>4098</v>
      </c>
      <c r="G53" s="17" t="s">
        <v>6448</v>
      </c>
      <c r="H53" t="s">
        <v>7476</v>
      </c>
      <c r="I53" s="1">
        <v>1</v>
      </c>
      <c r="J53" s="1">
        <v>1</v>
      </c>
      <c r="K53" t="s">
        <v>7014</v>
      </c>
      <c r="L53" s="5" t="e">
        <f>VLOOKUP(D:D,[1]Munka2!$A:$B,2,FALSE)</f>
        <v>#N/A</v>
      </c>
      <c r="M53" s="5">
        <f>_xlfn.IFNA(Táblázat1[[#This Row],[Kész2020]],0)</f>
        <v>0</v>
      </c>
      <c r="N53" s="5">
        <f>IF(Táblázat1[[#This Row],[Karb./akt.év]]-Táblázat1[[#This Row],[Kész2020_2]]&lt;0,0,Táblázat1[[#This Row],[Karb./akt.év]]-Táblázat1[[#This Row],[Kész2020_2]])</f>
        <v>1</v>
      </c>
    </row>
    <row r="54" spans="1:14" hidden="1" x14ac:dyDescent="0.25">
      <c r="A54" s="17" t="s">
        <v>20</v>
      </c>
      <c r="B54" s="17" t="s">
        <v>197</v>
      </c>
      <c r="C54" s="17" t="s">
        <v>1736</v>
      </c>
      <c r="D54" s="17" t="s">
        <v>1938</v>
      </c>
      <c r="E54" s="17" t="s">
        <v>3817</v>
      </c>
      <c r="F54" s="17" t="s">
        <v>3598</v>
      </c>
      <c r="G54" s="17" t="s">
        <v>5167</v>
      </c>
      <c r="H54" t="s">
        <v>7476</v>
      </c>
      <c r="I54" s="1">
        <v>1</v>
      </c>
      <c r="J54" s="1">
        <v>1</v>
      </c>
      <c r="K54" t="s">
        <v>6633</v>
      </c>
      <c r="L54" s="5">
        <f>VLOOKUP(D:D,[1]Munka2!$A:$B,2,FALSE)</f>
        <v>1</v>
      </c>
      <c r="M54" s="5">
        <f>_xlfn.IFNA(Táblázat1[[#This Row],[Kész2020]],0)</f>
        <v>1</v>
      </c>
      <c r="N54" s="5">
        <f>IF(Táblázat1[[#This Row],[Karb./akt.év]]-Táblázat1[[#This Row],[Kész2020_2]]&lt;0,0,Táblázat1[[#This Row],[Karb./akt.év]]-Táblázat1[[#This Row],[Kész2020_2]])</f>
        <v>0</v>
      </c>
    </row>
    <row r="55" spans="1:14" hidden="1" x14ac:dyDescent="0.25">
      <c r="A55" s="17" t="s">
        <v>20</v>
      </c>
      <c r="B55" s="17" t="s">
        <v>1191</v>
      </c>
      <c r="C55" s="17" t="s">
        <v>7175</v>
      </c>
      <c r="D55" s="17" t="s">
        <v>7399</v>
      </c>
      <c r="E55" s="17" t="s">
        <v>4211</v>
      </c>
      <c r="F55" s="17" t="s">
        <v>3755</v>
      </c>
      <c r="G55" s="17" t="s">
        <v>6119</v>
      </c>
      <c r="H55" t="s">
        <v>7476</v>
      </c>
      <c r="I55" s="1">
        <v>1</v>
      </c>
      <c r="J55" s="1">
        <v>1</v>
      </c>
      <c r="K55" t="s">
        <v>6640</v>
      </c>
      <c r="L55" s="5" t="e">
        <f>VLOOKUP(D:D,[1]Munka2!$A:$B,2,FALSE)</f>
        <v>#N/A</v>
      </c>
      <c r="M55" s="5">
        <f>_xlfn.IFNA(Táblázat1[[#This Row],[Kész2020]],0)</f>
        <v>0</v>
      </c>
      <c r="N55" s="5">
        <f>IF(Táblázat1[[#This Row],[Karb./akt.év]]-Táblázat1[[#This Row],[Kész2020_2]]&lt;0,0,Táblázat1[[#This Row],[Karb./akt.év]]-Táblázat1[[#This Row],[Kész2020_2]])</f>
        <v>1</v>
      </c>
    </row>
    <row r="56" spans="1:14" hidden="1" x14ac:dyDescent="0.25">
      <c r="A56" s="17" t="s">
        <v>20</v>
      </c>
      <c r="B56" s="17" t="s">
        <v>391</v>
      </c>
      <c r="C56" s="17" t="s">
        <v>7175</v>
      </c>
      <c r="D56" s="17" t="s">
        <v>7393</v>
      </c>
      <c r="E56" s="17" t="s">
        <v>4016</v>
      </c>
      <c r="F56" s="17" t="s">
        <v>3598</v>
      </c>
      <c r="G56" s="17" t="s">
        <v>5359</v>
      </c>
      <c r="H56" t="s">
        <v>7476</v>
      </c>
      <c r="I56" s="1">
        <v>1</v>
      </c>
      <c r="J56" s="1">
        <v>1</v>
      </c>
      <c r="K56" t="s">
        <v>8101</v>
      </c>
      <c r="L56" s="5" t="e">
        <f>VLOOKUP(D:D,[1]Munka2!$A:$B,2,FALSE)</f>
        <v>#N/A</v>
      </c>
      <c r="M56" s="5">
        <f>_xlfn.IFNA(Táblázat1[[#This Row],[Kész2020]],0)</f>
        <v>0</v>
      </c>
      <c r="N56" s="5">
        <f>IF(Táblázat1[[#This Row],[Karb./akt.év]]-Táblázat1[[#This Row],[Kész2020_2]]&lt;0,0,Táblázat1[[#This Row],[Karb./akt.év]]-Táblázat1[[#This Row],[Kész2020_2]])</f>
        <v>1</v>
      </c>
    </row>
    <row r="57" spans="1:14" hidden="1" x14ac:dyDescent="0.25">
      <c r="A57" s="17" t="s">
        <v>20</v>
      </c>
      <c r="B57" s="17" t="s">
        <v>131</v>
      </c>
      <c r="C57" s="17" t="s">
        <v>1737</v>
      </c>
      <c r="D57" s="17" t="s">
        <v>1871</v>
      </c>
      <c r="E57" s="17" t="s">
        <v>3728</v>
      </c>
      <c r="F57" s="17" t="s">
        <v>3598</v>
      </c>
      <c r="G57" s="17" t="s">
        <v>5103</v>
      </c>
      <c r="H57" t="s">
        <v>7476</v>
      </c>
      <c r="I57" s="1">
        <v>1</v>
      </c>
      <c r="J57" s="1">
        <v>1</v>
      </c>
      <c r="K57" t="s">
        <v>8101</v>
      </c>
      <c r="L57" s="5">
        <f>VLOOKUP(D:D,[1]Munka2!$A:$B,2,FALSE)</f>
        <v>1</v>
      </c>
      <c r="M57" s="5">
        <f>_xlfn.IFNA(Táblázat1[[#This Row],[Kész2020]],0)</f>
        <v>1</v>
      </c>
      <c r="N57" s="5">
        <f>IF(Táblázat1[[#This Row],[Karb./akt.év]]-Táblázat1[[#This Row],[Kész2020_2]]&lt;0,0,Táblázat1[[#This Row],[Karb./akt.év]]-Táblázat1[[#This Row],[Kész2020_2]])</f>
        <v>0</v>
      </c>
    </row>
    <row r="58" spans="1:14" hidden="1" x14ac:dyDescent="0.25">
      <c r="A58" s="17" t="s">
        <v>20</v>
      </c>
      <c r="B58" s="17" t="s">
        <v>1121</v>
      </c>
      <c r="C58" s="17" t="s">
        <v>1736</v>
      </c>
      <c r="D58" s="17" t="s">
        <v>2916</v>
      </c>
      <c r="E58" s="17" t="s">
        <v>3824</v>
      </c>
      <c r="F58" s="17" t="s">
        <v>3598</v>
      </c>
      <c r="G58" s="17" t="s">
        <v>6050</v>
      </c>
      <c r="H58" t="s">
        <v>7476</v>
      </c>
      <c r="I58" s="1">
        <v>1</v>
      </c>
      <c r="J58" s="1">
        <v>1</v>
      </c>
      <c r="K58" t="s">
        <v>6785</v>
      </c>
      <c r="L58" s="5">
        <f>VLOOKUP(D:D,[1]Munka2!$A:$B,2,FALSE)</f>
        <v>1</v>
      </c>
      <c r="M58" s="5">
        <f>_xlfn.IFNA(Táblázat1[[#This Row],[Kész2020]],0)</f>
        <v>1</v>
      </c>
      <c r="N58" s="5">
        <f>IF(Táblázat1[[#This Row],[Karb./akt.év]]-Táblázat1[[#This Row],[Kész2020_2]]&lt;0,0,Táblázat1[[#This Row],[Karb./akt.év]]-Táblázat1[[#This Row],[Kész2020_2]])</f>
        <v>0</v>
      </c>
    </row>
    <row r="59" spans="1:14" hidden="1" x14ac:dyDescent="0.25">
      <c r="A59" s="17" t="s">
        <v>20</v>
      </c>
      <c r="B59" s="17" t="s">
        <v>1727</v>
      </c>
      <c r="C59" s="17" t="s">
        <v>1736</v>
      </c>
      <c r="D59" s="17" t="s">
        <v>3587</v>
      </c>
      <c r="E59" s="17" t="s">
        <v>5005</v>
      </c>
      <c r="F59" s="17" t="s">
        <v>3598</v>
      </c>
      <c r="G59" s="17" t="s">
        <v>6622</v>
      </c>
      <c r="H59" t="s">
        <v>7476</v>
      </c>
      <c r="I59" s="1">
        <v>1</v>
      </c>
      <c r="J59" s="1">
        <v>1</v>
      </c>
      <c r="K59" t="s">
        <v>6641</v>
      </c>
      <c r="L59" s="5">
        <f>VLOOKUP(D:D,[1]Munka2!$A:$B,2,FALSE)</f>
        <v>1</v>
      </c>
      <c r="M59" s="5">
        <f>_xlfn.IFNA(Táblázat1[[#This Row],[Kész2020]],0)</f>
        <v>1</v>
      </c>
      <c r="N59" s="5">
        <f>IF(Táblázat1[[#This Row],[Karb./akt.év]]-Táblázat1[[#This Row],[Kész2020_2]]&lt;0,0,Táblázat1[[#This Row],[Karb./akt.év]]-Táblázat1[[#This Row],[Kész2020_2]])</f>
        <v>0</v>
      </c>
    </row>
    <row r="60" spans="1:14" hidden="1" x14ac:dyDescent="0.25">
      <c r="A60" s="17" t="s">
        <v>20</v>
      </c>
      <c r="B60" s="17" t="s">
        <v>461</v>
      </c>
      <c r="C60" s="17" t="s">
        <v>7395</v>
      </c>
      <c r="D60" s="17" t="s">
        <v>7523</v>
      </c>
      <c r="E60" s="17" t="s">
        <v>3802</v>
      </c>
      <c r="F60" s="17" t="s">
        <v>3803</v>
      </c>
      <c r="G60" s="17" t="s">
        <v>5425</v>
      </c>
      <c r="H60" t="s">
        <v>7476</v>
      </c>
      <c r="I60" s="1">
        <v>1</v>
      </c>
      <c r="J60" s="1">
        <v>1</v>
      </c>
      <c r="K60" t="s">
        <v>6643</v>
      </c>
      <c r="L60" s="5" t="e">
        <f>VLOOKUP(D:D,[1]Munka2!$A:$B,2,FALSE)</f>
        <v>#N/A</v>
      </c>
      <c r="M60" s="5">
        <f>_xlfn.IFNA(Táblázat1[[#This Row],[Kész2020]],0)</f>
        <v>0</v>
      </c>
      <c r="N60" s="5">
        <f>IF(Táblázat1[[#This Row],[Karb./akt.év]]-Táblázat1[[#This Row],[Kész2020_2]]&lt;0,0,Táblázat1[[#This Row],[Karb./akt.év]]-Táblázat1[[#This Row],[Kész2020_2]])</f>
        <v>1</v>
      </c>
    </row>
    <row r="61" spans="1:14" hidden="1" x14ac:dyDescent="0.25">
      <c r="A61" s="17" t="s">
        <v>20</v>
      </c>
      <c r="B61" s="17" t="s">
        <v>1606</v>
      </c>
      <c r="C61" s="17" t="s">
        <v>1748</v>
      </c>
      <c r="D61" s="17" t="s">
        <v>3456</v>
      </c>
      <c r="E61" s="17" t="s">
        <v>3892</v>
      </c>
      <c r="F61" s="17" t="s">
        <v>3598</v>
      </c>
      <c r="G61" s="17" t="s">
        <v>6508</v>
      </c>
      <c r="H61" t="s">
        <v>7476</v>
      </c>
      <c r="I61" s="1">
        <v>1</v>
      </c>
      <c r="J61" s="1">
        <v>1</v>
      </c>
      <c r="K61" t="s">
        <v>7014</v>
      </c>
      <c r="L61" s="5">
        <f>VLOOKUP(D:D,[1]Munka2!$A:$B,2,FALSE)</f>
        <v>1</v>
      </c>
      <c r="M61" s="5">
        <f>_xlfn.IFNA(Táblázat1[[#This Row],[Kész2020]],0)</f>
        <v>1</v>
      </c>
      <c r="N61" s="5">
        <f>IF(Táblázat1[[#This Row],[Karb./akt.év]]-Táblázat1[[#This Row],[Kész2020_2]]&lt;0,0,Táblázat1[[#This Row],[Karb./akt.év]]-Táblázat1[[#This Row],[Kész2020_2]])</f>
        <v>0</v>
      </c>
    </row>
    <row r="62" spans="1:14" hidden="1" x14ac:dyDescent="0.25">
      <c r="A62" s="17" t="s">
        <v>20</v>
      </c>
      <c r="B62" s="17" t="s">
        <v>1393</v>
      </c>
      <c r="C62" s="17" t="s">
        <v>1748</v>
      </c>
      <c r="D62" s="17" t="s">
        <v>3219</v>
      </c>
      <c r="E62" s="17" t="s">
        <v>4187</v>
      </c>
      <c r="F62" s="17" t="s">
        <v>4188</v>
      </c>
      <c r="G62" s="17" t="s">
        <v>6300</v>
      </c>
      <c r="H62" t="s">
        <v>7476</v>
      </c>
      <c r="I62" s="1">
        <v>1</v>
      </c>
      <c r="J62" s="1">
        <v>1</v>
      </c>
      <c r="K62" t="s">
        <v>6785</v>
      </c>
      <c r="L62" s="5">
        <f>VLOOKUP(D:D,[1]Munka2!$A:$B,2,FALSE)</f>
        <v>1</v>
      </c>
      <c r="M62" s="5">
        <f>_xlfn.IFNA(Táblázat1[[#This Row],[Kész2020]],0)</f>
        <v>1</v>
      </c>
      <c r="N62" s="5">
        <f>IF(Táblázat1[[#This Row],[Karb./akt.év]]-Táblázat1[[#This Row],[Kész2020_2]]&lt;0,0,Táblázat1[[#This Row],[Karb./akt.év]]-Táblázat1[[#This Row],[Kész2020_2]])</f>
        <v>0</v>
      </c>
    </row>
    <row r="63" spans="1:14" hidden="1" x14ac:dyDescent="0.25">
      <c r="A63" s="17" t="s">
        <v>20</v>
      </c>
      <c r="B63" s="17" t="s">
        <v>432</v>
      </c>
      <c r="C63" s="17" t="s">
        <v>1743</v>
      </c>
      <c r="D63" s="17" t="s">
        <v>2189</v>
      </c>
      <c r="E63" s="17" t="s">
        <v>4048</v>
      </c>
      <c r="F63" s="17" t="s">
        <v>3598</v>
      </c>
      <c r="G63" s="17" t="s">
        <v>5398</v>
      </c>
      <c r="H63" t="s">
        <v>7476</v>
      </c>
      <c r="I63" s="1">
        <v>1</v>
      </c>
      <c r="J63" s="1">
        <v>1</v>
      </c>
      <c r="K63" t="s">
        <v>6785</v>
      </c>
      <c r="L63" s="5">
        <f>VLOOKUP(D:D,[1]Munka2!$A:$B,2,FALSE)</f>
        <v>1</v>
      </c>
      <c r="M63" s="5">
        <f>_xlfn.IFNA(Táblázat1[[#This Row],[Kész2020]],0)</f>
        <v>1</v>
      </c>
      <c r="N63" s="5">
        <f>IF(Táblázat1[[#This Row],[Karb./akt.év]]-Táblázat1[[#This Row],[Kész2020_2]]&lt;0,0,Táblázat1[[#This Row],[Karb./akt.év]]-Táblázat1[[#This Row],[Kész2020_2]])</f>
        <v>0</v>
      </c>
    </row>
    <row r="64" spans="1:14" hidden="1" x14ac:dyDescent="0.25">
      <c r="A64" s="17" t="s">
        <v>20</v>
      </c>
      <c r="B64" s="17" t="s">
        <v>483</v>
      </c>
      <c r="C64" s="17" t="s">
        <v>1743</v>
      </c>
      <c r="D64" s="17" t="s">
        <v>2243</v>
      </c>
      <c r="E64" s="17" t="s">
        <v>3743</v>
      </c>
      <c r="F64" s="17" t="s">
        <v>3744</v>
      </c>
      <c r="G64" s="17" t="s">
        <v>5444</v>
      </c>
      <c r="H64" t="s">
        <v>7476</v>
      </c>
      <c r="I64" s="1">
        <v>1</v>
      </c>
      <c r="J64" s="1">
        <v>1</v>
      </c>
      <c r="K64" t="s">
        <v>8102</v>
      </c>
      <c r="L64" s="5" t="e">
        <f>VLOOKUP(D:D,[1]Munka2!$A:$B,2,FALSE)</f>
        <v>#N/A</v>
      </c>
      <c r="M64" s="5">
        <f>_xlfn.IFNA(Táblázat1[[#This Row],[Kész2020]],0)</f>
        <v>0</v>
      </c>
      <c r="N64" s="5">
        <f>IF(Táblázat1[[#This Row],[Karb./akt.év]]-Táblázat1[[#This Row],[Kész2020_2]]&lt;0,0,Táblázat1[[#This Row],[Karb./akt.év]]-Táblázat1[[#This Row],[Kész2020_2]])</f>
        <v>1</v>
      </c>
    </row>
    <row r="65" spans="1:14" hidden="1" x14ac:dyDescent="0.25">
      <c r="A65" s="17" t="s">
        <v>20</v>
      </c>
      <c r="B65" s="17" t="s">
        <v>1595</v>
      </c>
      <c r="C65" s="17" t="s">
        <v>1737</v>
      </c>
      <c r="D65" s="17" t="s">
        <v>3442</v>
      </c>
      <c r="E65" s="17" t="s">
        <v>4421</v>
      </c>
      <c r="F65" s="17" t="s">
        <v>3598</v>
      </c>
      <c r="G65" s="17" t="s">
        <v>6494</v>
      </c>
      <c r="H65" t="s">
        <v>7476</v>
      </c>
      <c r="I65" s="1">
        <v>1</v>
      </c>
      <c r="J65" s="1">
        <v>1</v>
      </c>
      <c r="K65" t="s">
        <v>6636</v>
      </c>
      <c r="L65" s="5">
        <f>VLOOKUP(D:D,[1]Munka2!$A:$B,2,FALSE)</f>
        <v>1</v>
      </c>
      <c r="M65" s="5">
        <f>_xlfn.IFNA(Táblázat1[[#This Row],[Kész2020]],0)</f>
        <v>1</v>
      </c>
      <c r="N65" s="5">
        <f>IF(Táblázat1[[#This Row],[Karb./akt.év]]-Táblázat1[[#This Row],[Kész2020_2]]&lt;0,0,Táblázat1[[#This Row],[Karb./akt.év]]-Táblázat1[[#This Row],[Kész2020_2]])</f>
        <v>0</v>
      </c>
    </row>
    <row r="66" spans="1:14" hidden="1" x14ac:dyDescent="0.25">
      <c r="A66" s="17" t="s">
        <v>20</v>
      </c>
      <c r="B66" s="17" t="s">
        <v>1636</v>
      </c>
      <c r="C66" s="17" t="s">
        <v>1757</v>
      </c>
      <c r="D66" s="17" t="s">
        <v>3489</v>
      </c>
      <c r="E66" s="17" t="s">
        <v>4688</v>
      </c>
      <c r="F66" s="17" t="s">
        <v>4689</v>
      </c>
      <c r="G66" s="17" t="s">
        <v>6532</v>
      </c>
      <c r="H66" t="s">
        <v>7476</v>
      </c>
      <c r="I66" s="1">
        <v>1</v>
      </c>
      <c r="J66" s="1">
        <v>1</v>
      </c>
      <c r="K66" t="s">
        <v>6643</v>
      </c>
      <c r="L66" s="5">
        <f>VLOOKUP(D:D,[1]Munka2!$A:$B,2,FALSE)</f>
        <v>1</v>
      </c>
      <c r="M66" s="5">
        <f>_xlfn.IFNA(Táblázat1[[#This Row],[Kész2020]],0)</f>
        <v>1</v>
      </c>
      <c r="N66" s="5">
        <f>IF(Táblázat1[[#This Row],[Karb./akt.év]]-Táblázat1[[#This Row],[Kész2020_2]]&lt;0,0,Táblázat1[[#This Row],[Karb./akt.év]]-Táblázat1[[#This Row],[Kész2020_2]])</f>
        <v>0</v>
      </c>
    </row>
    <row r="67" spans="1:14" hidden="1" x14ac:dyDescent="0.25">
      <c r="A67" s="17" t="s">
        <v>20</v>
      </c>
      <c r="B67" s="17" t="s">
        <v>7188</v>
      </c>
      <c r="C67" s="17" t="s">
        <v>1744</v>
      </c>
      <c r="D67" s="17" t="s">
        <v>7195</v>
      </c>
      <c r="E67" s="17" t="s">
        <v>3798</v>
      </c>
      <c r="F67" s="17" t="s">
        <v>3799</v>
      </c>
      <c r="G67" s="17" t="s">
        <v>7204</v>
      </c>
      <c r="H67" t="s">
        <v>7476</v>
      </c>
      <c r="I67" s="1">
        <v>1</v>
      </c>
      <c r="J67" s="1">
        <v>1</v>
      </c>
      <c r="K67" t="s">
        <v>6636</v>
      </c>
      <c r="L67" s="5">
        <f>VLOOKUP(D:D,[1]Munka2!$A:$B,2,FALSE)</f>
        <v>1</v>
      </c>
      <c r="M67" s="5">
        <f>_xlfn.IFNA(Táblázat1[[#This Row],[Kész2020]],0)</f>
        <v>1</v>
      </c>
      <c r="N67" s="5">
        <f>IF(Táblázat1[[#This Row],[Karb./akt.év]]-Táblázat1[[#This Row],[Kész2020_2]]&lt;0,0,Táblázat1[[#This Row],[Karb./akt.év]]-Táblázat1[[#This Row],[Kész2020_2]])</f>
        <v>0</v>
      </c>
    </row>
    <row r="68" spans="1:14" hidden="1" x14ac:dyDescent="0.25">
      <c r="A68" s="17" t="s">
        <v>20</v>
      </c>
      <c r="B68" s="17" t="s">
        <v>177</v>
      </c>
      <c r="C68" s="17" t="s">
        <v>1753</v>
      </c>
      <c r="D68" s="17" t="s">
        <v>1918</v>
      </c>
      <c r="E68" s="17" t="s">
        <v>3625</v>
      </c>
      <c r="F68" s="17" t="s">
        <v>3626</v>
      </c>
      <c r="G68" s="17" t="s">
        <v>5149</v>
      </c>
      <c r="H68" t="s">
        <v>7476</v>
      </c>
      <c r="I68" s="1">
        <v>1</v>
      </c>
      <c r="J68" s="1">
        <v>1</v>
      </c>
      <c r="K68" t="s">
        <v>6642</v>
      </c>
      <c r="L68" s="5" t="e">
        <f>VLOOKUP(D:D,[1]Munka2!$A:$B,2,FALSE)</f>
        <v>#N/A</v>
      </c>
      <c r="M68" s="5">
        <f>_xlfn.IFNA(Táblázat1[[#This Row],[Kész2020]],0)</f>
        <v>0</v>
      </c>
      <c r="N68" s="5">
        <f>IF(Táblázat1[[#This Row],[Karb./akt.év]]-Táblázat1[[#This Row],[Kész2020_2]]&lt;0,0,Táblázat1[[#This Row],[Karb./akt.év]]-Táblázat1[[#This Row],[Kész2020_2]])</f>
        <v>1</v>
      </c>
    </row>
    <row r="69" spans="1:14" hidden="1" x14ac:dyDescent="0.25">
      <c r="A69" s="17" t="s">
        <v>20</v>
      </c>
      <c r="B69" s="17" t="s">
        <v>69</v>
      </c>
      <c r="C69" s="17" t="s">
        <v>1752</v>
      </c>
      <c r="D69" s="17" t="s">
        <v>1807</v>
      </c>
      <c r="E69" s="17" t="s">
        <v>3654</v>
      </c>
      <c r="F69" s="17" t="s">
        <v>3598</v>
      </c>
      <c r="G69" s="17" t="s">
        <v>5043</v>
      </c>
      <c r="H69" t="s">
        <v>7476</v>
      </c>
      <c r="I69" s="1">
        <v>1</v>
      </c>
      <c r="J69" s="1">
        <v>1</v>
      </c>
      <c r="K69" t="s">
        <v>6643</v>
      </c>
      <c r="L69" s="5" t="e">
        <f>VLOOKUP(D:D,[1]Munka2!$A:$B,2,FALSE)</f>
        <v>#N/A</v>
      </c>
      <c r="M69" s="5">
        <f>_xlfn.IFNA(Táblázat1[[#This Row],[Kész2020]],0)</f>
        <v>0</v>
      </c>
      <c r="N69" s="5">
        <f>IF(Táblázat1[[#This Row],[Karb./akt.év]]-Táblázat1[[#This Row],[Kész2020_2]]&lt;0,0,Táblázat1[[#This Row],[Karb./akt.év]]-Táblázat1[[#This Row],[Kész2020_2]])</f>
        <v>1</v>
      </c>
    </row>
    <row r="70" spans="1:14" hidden="1" x14ac:dyDescent="0.25">
      <c r="A70" s="17" t="s">
        <v>20</v>
      </c>
      <c r="B70" s="17" t="s">
        <v>1136</v>
      </c>
      <c r="C70" s="17" t="s">
        <v>1752</v>
      </c>
      <c r="D70" s="17" t="s">
        <v>2933</v>
      </c>
      <c r="E70" s="17" t="s">
        <v>3625</v>
      </c>
      <c r="F70" s="17" t="s">
        <v>3626</v>
      </c>
      <c r="G70" s="17" t="s">
        <v>6066</v>
      </c>
      <c r="H70" t="s">
        <v>7476</v>
      </c>
      <c r="I70" s="1">
        <v>1</v>
      </c>
      <c r="J70" s="1">
        <v>1</v>
      </c>
      <c r="K70" t="s">
        <v>6642</v>
      </c>
      <c r="L70" s="5" t="e">
        <f>VLOOKUP(D:D,[1]Munka2!$A:$B,2,FALSE)</f>
        <v>#N/A</v>
      </c>
      <c r="M70" s="5">
        <f>_xlfn.IFNA(Táblázat1[[#This Row],[Kész2020]],0)</f>
        <v>0</v>
      </c>
      <c r="N70" s="5">
        <f>IF(Táblázat1[[#This Row],[Karb./akt.év]]-Táblázat1[[#This Row],[Kész2020_2]]&lt;0,0,Táblázat1[[#This Row],[Karb./akt.év]]-Táblázat1[[#This Row],[Kész2020_2]])</f>
        <v>1</v>
      </c>
    </row>
    <row r="71" spans="1:14" hidden="1" x14ac:dyDescent="0.25">
      <c r="A71" s="17" t="s">
        <v>20</v>
      </c>
      <c r="B71" s="17" t="s">
        <v>416</v>
      </c>
      <c r="C71" s="17" t="s">
        <v>1751</v>
      </c>
      <c r="D71" s="17" t="s">
        <v>2172</v>
      </c>
      <c r="E71" s="17" t="s">
        <v>4035</v>
      </c>
      <c r="F71" s="17" t="s">
        <v>3598</v>
      </c>
      <c r="G71" s="17" t="s">
        <v>5381</v>
      </c>
      <c r="H71" t="s">
        <v>7476</v>
      </c>
      <c r="I71" s="1">
        <v>1</v>
      </c>
      <c r="J71" s="1">
        <v>1</v>
      </c>
      <c r="K71" t="s">
        <v>6643</v>
      </c>
      <c r="L71" s="5" t="e">
        <f>VLOOKUP(D:D,[1]Munka2!$A:$B,2,FALSE)</f>
        <v>#N/A</v>
      </c>
      <c r="M71" s="5">
        <f>_xlfn.IFNA(Táblázat1[[#This Row],[Kész2020]],0)</f>
        <v>0</v>
      </c>
      <c r="N71" s="5">
        <f>IF(Táblázat1[[#This Row],[Karb./akt.év]]-Táblázat1[[#This Row],[Kész2020_2]]&lt;0,0,Táblázat1[[#This Row],[Karb./akt.év]]-Táblázat1[[#This Row],[Kész2020_2]])</f>
        <v>1</v>
      </c>
    </row>
    <row r="72" spans="1:14" hidden="1" x14ac:dyDescent="0.25">
      <c r="A72" s="17" t="s">
        <v>20</v>
      </c>
      <c r="B72" s="17" t="s">
        <v>166</v>
      </c>
      <c r="C72" s="17" t="s">
        <v>1735</v>
      </c>
      <c r="D72" s="17" t="s">
        <v>1906</v>
      </c>
      <c r="E72" s="17" t="s">
        <v>3767</v>
      </c>
      <c r="F72" s="17" t="s">
        <v>3598</v>
      </c>
      <c r="G72" s="17" t="s">
        <v>5136</v>
      </c>
      <c r="H72" t="s">
        <v>7476</v>
      </c>
      <c r="I72" s="1">
        <v>1</v>
      </c>
      <c r="J72" s="1">
        <v>1</v>
      </c>
      <c r="K72" t="s">
        <v>8101</v>
      </c>
      <c r="L72" s="5">
        <f>VLOOKUP(D:D,[1]Munka2!$A:$B,2,FALSE)</f>
        <v>1</v>
      </c>
      <c r="M72" s="5">
        <f>_xlfn.IFNA(Táblázat1[[#This Row],[Kész2020]],0)</f>
        <v>1</v>
      </c>
      <c r="N72" s="5">
        <f>IF(Táblázat1[[#This Row],[Karb./akt.év]]-Táblázat1[[#This Row],[Kész2020_2]]&lt;0,0,Táblázat1[[#This Row],[Karb./akt.év]]-Táblázat1[[#This Row],[Kész2020_2]])</f>
        <v>0</v>
      </c>
    </row>
    <row r="73" spans="1:14" hidden="1" x14ac:dyDescent="0.25">
      <c r="A73" s="17" t="s">
        <v>20</v>
      </c>
      <c r="B73" s="17" t="s">
        <v>1129</v>
      </c>
      <c r="C73" s="17" t="s">
        <v>1751</v>
      </c>
      <c r="D73" s="17" t="s">
        <v>2924</v>
      </c>
      <c r="E73" s="17" t="s">
        <v>4638</v>
      </c>
      <c r="F73" s="17" t="s">
        <v>3598</v>
      </c>
      <c r="G73" s="17" t="s">
        <v>6057</v>
      </c>
      <c r="H73" t="s">
        <v>7476</v>
      </c>
      <c r="I73" s="1">
        <v>1</v>
      </c>
      <c r="J73" s="1">
        <v>1</v>
      </c>
      <c r="K73" t="s">
        <v>6643</v>
      </c>
      <c r="L73" s="5">
        <f>VLOOKUP(D:D,[1]Munka2!$A:$B,2,FALSE)</f>
        <v>1</v>
      </c>
      <c r="M73" s="5">
        <f>_xlfn.IFNA(Táblázat1[[#This Row],[Kész2020]],0)</f>
        <v>1</v>
      </c>
      <c r="N73" s="5">
        <f>IF(Táblázat1[[#This Row],[Karb./akt.év]]-Táblázat1[[#This Row],[Kész2020_2]]&lt;0,0,Táblázat1[[#This Row],[Karb./akt.év]]-Táblázat1[[#This Row],[Kész2020_2]])</f>
        <v>0</v>
      </c>
    </row>
    <row r="74" spans="1:14" hidden="1" x14ac:dyDescent="0.25">
      <c r="A74" s="17" t="s">
        <v>20</v>
      </c>
      <c r="B74" s="17" t="s">
        <v>644</v>
      </c>
      <c r="C74" s="17" t="s">
        <v>1751</v>
      </c>
      <c r="D74" s="17" t="s">
        <v>2418</v>
      </c>
      <c r="E74" s="17" t="s">
        <v>4264</v>
      </c>
      <c r="F74" s="17" t="s">
        <v>3598</v>
      </c>
      <c r="G74" s="17" t="s">
        <v>5602</v>
      </c>
      <c r="H74" t="s">
        <v>7476</v>
      </c>
      <c r="I74" s="1">
        <v>1</v>
      </c>
      <c r="J74" s="1">
        <v>1</v>
      </c>
      <c r="K74" t="s">
        <v>6643</v>
      </c>
      <c r="L74" s="5">
        <f>VLOOKUP(D:D,[1]Munka2!$A:$B,2,FALSE)</f>
        <v>1</v>
      </c>
      <c r="M74" s="5">
        <f>_xlfn.IFNA(Táblázat1[[#This Row],[Kész2020]],0)</f>
        <v>1</v>
      </c>
      <c r="N74" s="5">
        <f>IF(Táblázat1[[#This Row],[Karb./akt.év]]-Táblázat1[[#This Row],[Kész2020_2]]&lt;0,0,Táblázat1[[#This Row],[Karb./akt.év]]-Táblázat1[[#This Row],[Kész2020_2]])</f>
        <v>0</v>
      </c>
    </row>
    <row r="75" spans="1:14" hidden="1" x14ac:dyDescent="0.25">
      <c r="A75" s="17" t="s">
        <v>20</v>
      </c>
      <c r="B75" s="17" t="s">
        <v>761</v>
      </c>
      <c r="C75" s="17" t="s">
        <v>1752</v>
      </c>
      <c r="D75" s="17" t="s">
        <v>2536</v>
      </c>
      <c r="E75" s="17" t="s">
        <v>4332</v>
      </c>
      <c r="F75" s="17" t="s">
        <v>3598</v>
      </c>
      <c r="G75" s="17" t="s">
        <v>5706</v>
      </c>
      <c r="H75" t="s">
        <v>7476</v>
      </c>
      <c r="I75" s="1">
        <v>1</v>
      </c>
      <c r="J75" s="1">
        <v>1</v>
      </c>
      <c r="K75" t="s">
        <v>6643</v>
      </c>
      <c r="L75" s="5" t="e">
        <f>VLOOKUP(D:D,[1]Munka2!$A:$B,2,FALSE)</f>
        <v>#N/A</v>
      </c>
      <c r="M75" s="5">
        <f>_xlfn.IFNA(Táblázat1[[#This Row],[Kész2020]],0)</f>
        <v>0</v>
      </c>
      <c r="N75" s="5">
        <f>IF(Táblázat1[[#This Row],[Karb./akt.év]]-Táblázat1[[#This Row],[Kész2020_2]]&lt;0,0,Táblázat1[[#This Row],[Karb./akt.év]]-Táblázat1[[#This Row],[Kész2020_2]])</f>
        <v>1</v>
      </c>
    </row>
    <row r="76" spans="1:14" hidden="1" x14ac:dyDescent="0.25">
      <c r="A76" s="17" t="s">
        <v>20</v>
      </c>
      <c r="B76" s="17" t="s">
        <v>1550</v>
      </c>
      <c r="C76" s="17" t="s">
        <v>1735</v>
      </c>
      <c r="D76" s="17" t="s">
        <v>3395</v>
      </c>
      <c r="E76" s="17" t="s">
        <v>4286</v>
      </c>
      <c r="F76" s="17" t="s">
        <v>3598</v>
      </c>
      <c r="G76" s="17" t="s">
        <v>6455</v>
      </c>
      <c r="H76" t="s">
        <v>7476</v>
      </c>
      <c r="I76" s="1">
        <v>1</v>
      </c>
      <c r="J76" s="1">
        <v>1</v>
      </c>
      <c r="K76" t="s">
        <v>8101</v>
      </c>
      <c r="L76" s="5">
        <f>VLOOKUP(D:D,[1]Munka2!$A:$B,2,FALSE)</f>
        <v>1</v>
      </c>
      <c r="M76" s="5">
        <f>_xlfn.IFNA(Táblázat1[[#This Row],[Kész2020]],0)</f>
        <v>1</v>
      </c>
      <c r="N76" s="5">
        <f>IF(Táblázat1[[#This Row],[Karb./akt.év]]-Táblázat1[[#This Row],[Kész2020_2]]&lt;0,0,Táblázat1[[#This Row],[Karb./akt.év]]-Táblázat1[[#This Row],[Kész2020_2]])</f>
        <v>0</v>
      </c>
    </row>
    <row r="77" spans="1:14" hidden="1" x14ac:dyDescent="0.25">
      <c r="A77" s="17" t="s">
        <v>20</v>
      </c>
      <c r="B77" s="17" t="s">
        <v>1630</v>
      </c>
      <c r="C77" s="17" t="s">
        <v>1753</v>
      </c>
      <c r="D77" s="17" t="s">
        <v>3482</v>
      </c>
      <c r="E77" s="17" t="s">
        <v>4630</v>
      </c>
      <c r="F77" s="17" t="s">
        <v>3598</v>
      </c>
      <c r="G77" s="17" t="s">
        <v>6526</v>
      </c>
      <c r="H77" t="s">
        <v>7476</v>
      </c>
      <c r="I77" s="1">
        <v>1</v>
      </c>
      <c r="J77" s="1">
        <v>1</v>
      </c>
      <c r="K77" t="s">
        <v>6643</v>
      </c>
      <c r="L77" s="5" t="e">
        <f>VLOOKUP(D:D,[1]Munka2!$A:$B,2,FALSE)</f>
        <v>#N/A</v>
      </c>
      <c r="M77" s="5">
        <f>_xlfn.IFNA(Táblázat1[[#This Row],[Kész2020]],0)</f>
        <v>0</v>
      </c>
      <c r="N77" s="5">
        <f>IF(Táblázat1[[#This Row],[Karb./akt.év]]-Táblázat1[[#This Row],[Kész2020_2]]&lt;0,0,Táblázat1[[#This Row],[Karb./akt.év]]-Táblázat1[[#This Row],[Kész2020_2]])</f>
        <v>1</v>
      </c>
    </row>
    <row r="78" spans="1:14" hidden="1" x14ac:dyDescent="0.25">
      <c r="A78" s="17" t="s">
        <v>20</v>
      </c>
      <c r="B78" s="17" t="s">
        <v>1055</v>
      </c>
      <c r="C78" s="17" t="s">
        <v>1752</v>
      </c>
      <c r="D78" s="17" t="s">
        <v>2843</v>
      </c>
      <c r="E78" s="17" t="s">
        <v>4359</v>
      </c>
      <c r="F78" s="17" t="s">
        <v>3598</v>
      </c>
      <c r="G78" s="17" t="s">
        <v>5986</v>
      </c>
      <c r="H78" t="s">
        <v>7476</v>
      </c>
      <c r="I78" s="1">
        <v>1</v>
      </c>
      <c r="J78" s="1">
        <v>1</v>
      </c>
      <c r="K78" t="s">
        <v>6643</v>
      </c>
      <c r="L78" s="5" t="e">
        <f>VLOOKUP(D:D,[1]Munka2!$A:$B,2,FALSE)</f>
        <v>#N/A</v>
      </c>
      <c r="M78" s="5">
        <f>_xlfn.IFNA(Táblázat1[[#This Row],[Kész2020]],0)</f>
        <v>0</v>
      </c>
      <c r="N78" s="5">
        <f>IF(Táblázat1[[#This Row],[Karb./akt.év]]-Táblázat1[[#This Row],[Kész2020_2]]&lt;0,0,Táblázat1[[#This Row],[Karb./akt.év]]-Táblázat1[[#This Row],[Kész2020_2]])</f>
        <v>1</v>
      </c>
    </row>
    <row r="79" spans="1:14" hidden="1" x14ac:dyDescent="0.25">
      <c r="A79" s="17" t="s">
        <v>20</v>
      </c>
      <c r="B79" s="17" t="s">
        <v>719</v>
      </c>
      <c r="C79" s="17" t="s">
        <v>1752</v>
      </c>
      <c r="D79" s="17" t="s">
        <v>2496</v>
      </c>
      <c r="E79" s="17" t="s">
        <v>4187</v>
      </c>
      <c r="F79" s="17" t="s">
        <v>4188</v>
      </c>
      <c r="G79" s="17" t="s">
        <v>5673</v>
      </c>
      <c r="H79" t="s">
        <v>7476</v>
      </c>
      <c r="I79" s="1">
        <v>1</v>
      </c>
      <c r="J79" s="1">
        <v>1</v>
      </c>
      <c r="K79" t="s">
        <v>6643</v>
      </c>
      <c r="L79" s="5" t="e">
        <f>VLOOKUP(D:D,[1]Munka2!$A:$B,2,FALSE)</f>
        <v>#N/A</v>
      </c>
      <c r="M79" s="5">
        <f>_xlfn.IFNA(Táblázat1[[#This Row],[Kész2020]],0)</f>
        <v>0</v>
      </c>
      <c r="N79" s="5">
        <f>IF(Táblázat1[[#This Row],[Karb./akt.év]]-Táblázat1[[#This Row],[Kész2020_2]]&lt;0,0,Táblázat1[[#This Row],[Karb./akt.év]]-Táblázat1[[#This Row],[Kész2020_2]])</f>
        <v>1</v>
      </c>
    </row>
    <row r="80" spans="1:14" hidden="1" x14ac:dyDescent="0.25">
      <c r="A80" s="17" t="s">
        <v>20</v>
      </c>
      <c r="B80" s="17" t="s">
        <v>1561</v>
      </c>
      <c r="C80" s="17" t="s">
        <v>1753</v>
      </c>
      <c r="D80" s="17" t="s">
        <v>3406</v>
      </c>
      <c r="E80" s="17" t="s">
        <v>3761</v>
      </c>
      <c r="F80" s="17" t="s">
        <v>3762</v>
      </c>
      <c r="G80" s="17" t="s">
        <v>6465</v>
      </c>
      <c r="H80" t="s">
        <v>7476</v>
      </c>
      <c r="I80" s="1">
        <v>1</v>
      </c>
      <c r="J80" s="1">
        <v>1</v>
      </c>
      <c r="K80" t="s">
        <v>7014</v>
      </c>
      <c r="L80" s="5" t="e">
        <f>VLOOKUP(D:D,[1]Munka2!$A:$B,2,FALSE)</f>
        <v>#N/A</v>
      </c>
      <c r="M80" s="5">
        <f>_xlfn.IFNA(Táblázat1[[#This Row],[Kész2020]],0)</f>
        <v>0</v>
      </c>
      <c r="N80" s="5">
        <f>IF(Táblázat1[[#This Row],[Karb./akt.év]]-Táblázat1[[#This Row],[Kész2020_2]]&lt;0,0,Táblázat1[[#This Row],[Karb./akt.év]]-Táblázat1[[#This Row],[Kész2020_2]])</f>
        <v>1</v>
      </c>
    </row>
    <row r="81" spans="1:14" hidden="1" x14ac:dyDescent="0.25">
      <c r="A81" s="17" t="s">
        <v>20</v>
      </c>
      <c r="B81" s="17" t="s">
        <v>980</v>
      </c>
      <c r="C81" s="17" t="s">
        <v>1752</v>
      </c>
      <c r="D81" s="17" t="s">
        <v>2766</v>
      </c>
      <c r="E81" s="17" t="s">
        <v>3918</v>
      </c>
      <c r="F81" s="17" t="s">
        <v>3919</v>
      </c>
      <c r="G81" s="17" t="s">
        <v>5907</v>
      </c>
      <c r="H81" t="s">
        <v>7476</v>
      </c>
      <c r="I81" s="1">
        <v>1</v>
      </c>
      <c r="J81" s="1">
        <v>1</v>
      </c>
      <c r="K81" t="s">
        <v>7014</v>
      </c>
      <c r="L81" s="5" t="e">
        <f>VLOOKUP(D:D,[1]Munka2!$A:$B,2,FALSE)</f>
        <v>#N/A</v>
      </c>
      <c r="M81" s="5">
        <f>_xlfn.IFNA(Táblázat1[[#This Row],[Kész2020]],0)</f>
        <v>0</v>
      </c>
      <c r="N81" s="5">
        <f>IF(Táblázat1[[#This Row],[Karb./akt.év]]-Táblázat1[[#This Row],[Kész2020_2]]&lt;0,0,Táblázat1[[#This Row],[Karb./akt.év]]-Táblázat1[[#This Row],[Kész2020_2]])</f>
        <v>1</v>
      </c>
    </row>
    <row r="82" spans="1:14" hidden="1" x14ac:dyDescent="0.25">
      <c r="A82" s="17" t="s">
        <v>20</v>
      </c>
      <c r="B82" s="17" t="s">
        <v>67</v>
      </c>
      <c r="C82" s="17" t="s">
        <v>1751</v>
      </c>
      <c r="D82" s="17" t="s">
        <v>1805</v>
      </c>
      <c r="E82" s="17" t="s">
        <v>3654</v>
      </c>
      <c r="F82" s="17" t="s">
        <v>3598</v>
      </c>
      <c r="G82" s="17" t="s">
        <v>5042</v>
      </c>
      <c r="H82" t="s">
        <v>7476</v>
      </c>
      <c r="I82" s="1">
        <v>1</v>
      </c>
      <c r="J82" s="1">
        <v>1</v>
      </c>
      <c r="K82" t="s">
        <v>6643</v>
      </c>
      <c r="L82" s="5" t="e">
        <f>VLOOKUP(D:D,[1]Munka2!$A:$B,2,FALSE)</f>
        <v>#N/A</v>
      </c>
      <c r="M82" s="5">
        <f>_xlfn.IFNA(Táblázat1[[#This Row],[Kész2020]],0)</f>
        <v>0</v>
      </c>
      <c r="N82" s="5">
        <f>IF(Táblázat1[[#This Row],[Karb./akt.év]]-Táblázat1[[#This Row],[Kész2020_2]]&lt;0,0,Táblázat1[[#This Row],[Karb./akt.év]]-Táblázat1[[#This Row],[Kész2020_2]])</f>
        <v>1</v>
      </c>
    </row>
    <row r="83" spans="1:14" hidden="1" x14ac:dyDescent="0.25">
      <c r="A83" s="17" t="s">
        <v>20</v>
      </c>
      <c r="B83" s="17" t="s">
        <v>552</v>
      </c>
      <c r="C83" s="17" t="s">
        <v>1752</v>
      </c>
      <c r="D83" s="17" t="s">
        <v>2321</v>
      </c>
      <c r="E83" s="17" t="s">
        <v>3910</v>
      </c>
      <c r="F83" s="17" t="s">
        <v>3598</v>
      </c>
      <c r="G83" s="17" t="s">
        <v>5513</v>
      </c>
      <c r="H83" t="s">
        <v>7476</v>
      </c>
      <c r="I83" s="1">
        <v>1</v>
      </c>
      <c r="J83" s="1">
        <v>1</v>
      </c>
      <c r="K83" t="s">
        <v>6643</v>
      </c>
      <c r="L83" s="5" t="e">
        <f>VLOOKUP(D:D,[1]Munka2!$A:$B,2,FALSE)</f>
        <v>#N/A</v>
      </c>
      <c r="M83" s="5">
        <f>_xlfn.IFNA(Táblázat1[[#This Row],[Kész2020]],0)</f>
        <v>0</v>
      </c>
      <c r="N83" s="5">
        <f>IF(Táblázat1[[#This Row],[Karb./akt.év]]-Táblázat1[[#This Row],[Kész2020_2]]&lt;0,0,Táblázat1[[#This Row],[Karb./akt.év]]-Táblázat1[[#This Row],[Kész2020_2]])</f>
        <v>1</v>
      </c>
    </row>
    <row r="84" spans="1:14" hidden="1" x14ac:dyDescent="0.25">
      <c r="A84" s="17" t="s">
        <v>20</v>
      </c>
      <c r="B84" s="17" t="s">
        <v>327</v>
      </c>
      <c r="C84" s="17" t="s">
        <v>1737</v>
      </c>
      <c r="D84" s="17" t="s">
        <v>2076</v>
      </c>
      <c r="E84" s="17" t="s">
        <v>3741</v>
      </c>
      <c r="F84" s="17" t="s">
        <v>3742</v>
      </c>
      <c r="G84" s="17" t="s">
        <v>5294</v>
      </c>
      <c r="H84" t="s">
        <v>7476</v>
      </c>
      <c r="I84" s="1">
        <v>1</v>
      </c>
      <c r="J84" s="1">
        <v>1</v>
      </c>
      <c r="K84" t="s">
        <v>7354</v>
      </c>
      <c r="L84" s="5">
        <f>VLOOKUP(D:D,[1]Munka2!$A:$B,2,FALSE)</f>
        <v>1</v>
      </c>
      <c r="M84" s="5">
        <f>_xlfn.IFNA(Táblázat1[[#This Row],[Kész2020]],0)</f>
        <v>1</v>
      </c>
      <c r="N84" s="5">
        <f>IF(Táblázat1[[#This Row],[Karb./akt.év]]-Táblázat1[[#This Row],[Kész2020_2]]&lt;0,0,Táblázat1[[#This Row],[Karb./akt.év]]-Táblázat1[[#This Row],[Kész2020_2]])</f>
        <v>0</v>
      </c>
    </row>
    <row r="85" spans="1:14" hidden="1" x14ac:dyDescent="0.25">
      <c r="A85" s="17" t="s">
        <v>20</v>
      </c>
      <c r="B85" s="17" t="s">
        <v>1114</v>
      </c>
      <c r="C85" s="17" t="s">
        <v>1737</v>
      </c>
      <c r="D85" s="17" t="s">
        <v>2908</v>
      </c>
      <c r="E85" s="17" t="s">
        <v>3730</v>
      </c>
      <c r="F85" s="17" t="s">
        <v>3731</v>
      </c>
      <c r="G85" s="17" t="s">
        <v>6043</v>
      </c>
      <c r="H85" t="s">
        <v>7476</v>
      </c>
      <c r="I85" s="1">
        <v>1</v>
      </c>
      <c r="J85" s="1">
        <v>1</v>
      </c>
      <c r="K85" t="s">
        <v>6641</v>
      </c>
      <c r="L85" s="5">
        <f>VLOOKUP(D:D,[1]Munka2!$A:$B,2,FALSE)</f>
        <v>1</v>
      </c>
      <c r="M85" s="5">
        <f>_xlfn.IFNA(Táblázat1[[#This Row],[Kész2020]],0)</f>
        <v>1</v>
      </c>
      <c r="N85" s="5">
        <f>IF(Táblázat1[[#This Row],[Karb./akt.év]]-Táblázat1[[#This Row],[Kész2020_2]]&lt;0,0,Táblázat1[[#This Row],[Karb./akt.év]]-Táblázat1[[#This Row],[Kész2020_2]])</f>
        <v>0</v>
      </c>
    </row>
    <row r="86" spans="1:14" hidden="1" x14ac:dyDescent="0.25">
      <c r="A86" s="17" t="s">
        <v>20</v>
      </c>
      <c r="B86" s="17" t="s">
        <v>1472</v>
      </c>
      <c r="C86" s="17" t="s">
        <v>1737</v>
      </c>
      <c r="D86" s="17" t="s">
        <v>3307</v>
      </c>
      <c r="E86" s="17" t="s">
        <v>3641</v>
      </c>
      <c r="F86" s="17" t="s">
        <v>3642</v>
      </c>
      <c r="G86" s="17" t="s">
        <v>6381</v>
      </c>
      <c r="H86" t="s">
        <v>7476</v>
      </c>
      <c r="I86" s="1">
        <v>1</v>
      </c>
      <c r="J86" s="1">
        <v>1</v>
      </c>
      <c r="K86" t="s">
        <v>7354</v>
      </c>
      <c r="L86" s="5">
        <f>VLOOKUP(D:D,[1]Munka2!$A:$B,2,FALSE)</f>
        <v>1</v>
      </c>
      <c r="M86" s="5">
        <f>_xlfn.IFNA(Táblázat1[[#This Row],[Kész2020]],0)</f>
        <v>1</v>
      </c>
      <c r="N86" s="5">
        <f>IF(Táblázat1[[#This Row],[Karb./akt.év]]-Táblázat1[[#This Row],[Kész2020_2]]&lt;0,0,Táblázat1[[#This Row],[Karb./akt.év]]-Táblázat1[[#This Row],[Kész2020_2]])</f>
        <v>0</v>
      </c>
    </row>
    <row r="87" spans="1:14" hidden="1" x14ac:dyDescent="0.25">
      <c r="A87" s="17" t="s">
        <v>20</v>
      </c>
      <c r="B87" s="17" t="s">
        <v>1278</v>
      </c>
      <c r="C87" s="17" t="s">
        <v>1737</v>
      </c>
      <c r="D87" s="17" t="s">
        <v>3091</v>
      </c>
      <c r="E87" s="17" t="s">
        <v>3763</v>
      </c>
      <c r="F87" s="17" t="s">
        <v>3764</v>
      </c>
      <c r="G87" s="17" t="s">
        <v>6200</v>
      </c>
      <c r="H87" t="s">
        <v>7476</v>
      </c>
      <c r="I87" s="1">
        <v>1</v>
      </c>
      <c r="J87" s="1">
        <v>1</v>
      </c>
      <c r="K87" t="s">
        <v>8103</v>
      </c>
      <c r="L87" s="5" t="e">
        <f>VLOOKUP(D:D,[1]Munka2!$A:$B,2,FALSE)</f>
        <v>#N/A</v>
      </c>
      <c r="M87" s="5">
        <f>_xlfn.IFNA(Táblázat1[[#This Row],[Kész2020]],0)</f>
        <v>0</v>
      </c>
      <c r="N87" s="5">
        <f>IF(Táblázat1[[#This Row],[Karb./akt.év]]-Táblázat1[[#This Row],[Kész2020_2]]&lt;0,0,Táblázat1[[#This Row],[Karb./akt.év]]-Táblázat1[[#This Row],[Kész2020_2]])</f>
        <v>1</v>
      </c>
    </row>
    <row r="88" spans="1:14" hidden="1" x14ac:dyDescent="0.25">
      <c r="A88" s="17" t="s">
        <v>20</v>
      </c>
      <c r="B88" s="17" t="s">
        <v>1441</v>
      </c>
      <c r="C88" s="17" t="s">
        <v>1737</v>
      </c>
      <c r="D88" s="17" t="s">
        <v>3271</v>
      </c>
      <c r="E88" s="17" t="s">
        <v>3811</v>
      </c>
      <c r="F88" s="17" t="s">
        <v>3812</v>
      </c>
      <c r="G88" s="17" t="s">
        <v>6346</v>
      </c>
      <c r="H88" t="s">
        <v>7476</v>
      </c>
      <c r="I88" s="1">
        <v>1</v>
      </c>
      <c r="J88" s="1">
        <v>1</v>
      </c>
      <c r="K88" t="s">
        <v>6637</v>
      </c>
      <c r="L88" s="5" t="e">
        <f>VLOOKUP(D:D,[1]Munka2!$A:$B,2,FALSE)</f>
        <v>#N/A</v>
      </c>
      <c r="M88" s="5">
        <f>_xlfn.IFNA(Táblázat1[[#This Row],[Kész2020]],0)</f>
        <v>0</v>
      </c>
      <c r="N88" s="5">
        <f>IF(Táblázat1[[#This Row],[Karb./akt.év]]-Táblázat1[[#This Row],[Kész2020_2]]&lt;0,0,Táblázat1[[#This Row],[Karb./akt.év]]-Táblázat1[[#This Row],[Kész2020_2]])</f>
        <v>1</v>
      </c>
    </row>
    <row r="89" spans="1:14" hidden="1" x14ac:dyDescent="0.25">
      <c r="A89" s="17" t="s">
        <v>20</v>
      </c>
      <c r="B89" s="17" t="s">
        <v>1583</v>
      </c>
      <c r="C89" s="17" t="s">
        <v>1737</v>
      </c>
      <c r="D89" s="17" t="s">
        <v>3430</v>
      </c>
      <c r="E89" s="17" t="s">
        <v>4026</v>
      </c>
      <c r="F89" s="17" t="s">
        <v>4027</v>
      </c>
      <c r="G89" s="17" t="s">
        <v>6485</v>
      </c>
      <c r="H89" t="s">
        <v>7476</v>
      </c>
      <c r="I89" s="1">
        <v>1</v>
      </c>
      <c r="J89" s="1">
        <v>1</v>
      </c>
      <c r="K89" t="s">
        <v>7014</v>
      </c>
      <c r="L89" s="5" t="e">
        <f>VLOOKUP(D:D,[1]Munka2!$A:$B,2,FALSE)</f>
        <v>#N/A</v>
      </c>
      <c r="M89" s="5">
        <f>_xlfn.IFNA(Táblázat1[[#This Row],[Kész2020]],0)</f>
        <v>0</v>
      </c>
      <c r="N89" s="5">
        <f>IF(Táblázat1[[#This Row],[Karb./akt.év]]-Táblázat1[[#This Row],[Kész2020_2]]&lt;0,0,Táblázat1[[#This Row],[Karb./akt.év]]-Táblázat1[[#This Row],[Kész2020_2]])</f>
        <v>1</v>
      </c>
    </row>
    <row r="90" spans="1:14" hidden="1" x14ac:dyDescent="0.25">
      <c r="A90" s="17" t="s">
        <v>20</v>
      </c>
      <c r="B90" s="17" t="s">
        <v>358</v>
      </c>
      <c r="C90" s="17" t="s">
        <v>1737</v>
      </c>
      <c r="D90" s="17" t="s">
        <v>2113</v>
      </c>
      <c r="E90" s="17" t="s">
        <v>3939</v>
      </c>
      <c r="F90" s="17" t="s">
        <v>3940</v>
      </c>
      <c r="G90" s="17" t="s">
        <v>5325</v>
      </c>
      <c r="H90" t="s">
        <v>7476</v>
      </c>
      <c r="I90" s="1">
        <v>1</v>
      </c>
      <c r="J90" s="1">
        <v>1</v>
      </c>
      <c r="K90" t="s">
        <v>6633</v>
      </c>
      <c r="L90" s="5" t="e">
        <f>VLOOKUP(D:D,[1]Munka2!$A:$B,2,FALSE)</f>
        <v>#N/A</v>
      </c>
      <c r="M90" s="5">
        <f>_xlfn.IFNA(Táblázat1[[#This Row],[Kész2020]],0)</f>
        <v>0</v>
      </c>
      <c r="N90" s="5">
        <f>IF(Táblázat1[[#This Row],[Karb./akt.év]]-Táblázat1[[#This Row],[Kész2020_2]]&lt;0,0,Táblázat1[[#This Row],[Karb./akt.év]]-Táblázat1[[#This Row],[Kész2020_2]])</f>
        <v>1</v>
      </c>
    </row>
    <row r="91" spans="1:14" hidden="1" x14ac:dyDescent="0.25">
      <c r="A91" s="17" t="s">
        <v>20</v>
      </c>
      <c r="B91" s="17" t="s">
        <v>948</v>
      </c>
      <c r="C91" s="17" t="s">
        <v>1737</v>
      </c>
      <c r="D91" s="17" t="s">
        <v>2734</v>
      </c>
      <c r="E91" s="17" t="s">
        <v>4133</v>
      </c>
      <c r="F91" s="17" t="s">
        <v>4134</v>
      </c>
      <c r="G91" s="17" t="s">
        <v>5878</v>
      </c>
      <c r="H91" t="s">
        <v>7476</v>
      </c>
      <c r="I91" s="1">
        <v>1</v>
      </c>
      <c r="J91" s="1">
        <v>0</v>
      </c>
      <c r="K91" t="s">
        <v>8102</v>
      </c>
      <c r="L91" s="5" t="e">
        <f>VLOOKUP(D:D,[1]Munka2!$A:$B,2,FALSE)</f>
        <v>#N/A</v>
      </c>
      <c r="M91" s="5">
        <f>_xlfn.IFNA(Táblázat1[[#This Row],[Kész2020]],0)</f>
        <v>0</v>
      </c>
      <c r="N91" s="5">
        <f>IF(Táblázat1[[#This Row],[Karb./akt.év]]-Táblázat1[[#This Row],[Kész2020_2]]&lt;0,0,Táblázat1[[#This Row],[Karb./akt.év]]-Táblázat1[[#This Row],[Kész2020_2]])</f>
        <v>0</v>
      </c>
    </row>
    <row r="92" spans="1:14" hidden="1" x14ac:dyDescent="0.25">
      <c r="A92" s="17" t="s">
        <v>20</v>
      </c>
      <c r="B92" s="17" t="s">
        <v>268</v>
      </c>
      <c r="C92" s="17" t="s">
        <v>1737</v>
      </c>
      <c r="D92" s="17" t="s">
        <v>2016</v>
      </c>
      <c r="E92" s="17" t="s">
        <v>3667</v>
      </c>
      <c r="F92" s="17" t="s">
        <v>3668</v>
      </c>
      <c r="G92" s="17" t="s">
        <v>5236</v>
      </c>
      <c r="H92" t="s">
        <v>7476</v>
      </c>
      <c r="I92" s="1">
        <v>1</v>
      </c>
      <c r="J92" s="1">
        <v>1</v>
      </c>
      <c r="K92" t="s">
        <v>6637</v>
      </c>
      <c r="L92" s="5" t="e">
        <f>VLOOKUP(D:D,[1]Munka2!$A:$B,2,FALSE)</f>
        <v>#N/A</v>
      </c>
      <c r="M92" s="5">
        <f>_xlfn.IFNA(Táblázat1[[#This Row],[Kész2020]],0)</f>
        <v>0</v>
      </c>
      <c r="N92" s="5">
        <f>IF(Táblázat1[[#This Row],[Karb./akt.év]]-Táblázat1[[#This Row],[Kész2020_2]]&lt;0,0,Táblázat1[[#This Row],[Karb./akt.év]]-Táblázat1[[#This Row],[Kész2020_2]])</f>
        <v>1</v>
      </c>
    </row>
    <row r="93" spans="1:14" hidden="1" x14ac:dyDescent="0.25">
      <c r="A93" s="17" t="s">
        <v>20</v>
      </c>
      <c r="B93" s="17" t="s">
        <v>1033</v>
      </c>
      <c r="C93" s="17" t="s">
        <v>1737</v>
      </c>
      <c r="D93" s="17" t="s">
        <v>2823</v>
      </c>
      <c r="E93" s="17" t="s">
        <v>4584</v>
      </c>
      <c r="F93" s="17" t="s">
        <v>3598</v>
      </c>
      <c r="G93" s="17" t="s">
        <v>5960</v>
      </c>
      <c r="H93" t="s">
        <v>7476</v>
      </c>
      <c r="I93" s="1">
        <v>1</v>
      </c>
      <c r="J93" s="1">
        <v>1</v>
      </c>
      <c r="K93" t="s">
        <v>6641</v>
      </c>
      <c r="L93" s="5">
        <f>VLOOKUP(D:D,[1]Munka2!$A:$B,2,FALSE)</f>
        <v>1</v>
      </c>
      <c r="M93" s="5">
        <f>_xlfn.IFNA(Táblázat1[[#This Row],[Kész2020]],0)</f>
        <v>1</v>
      </c>
      <c r="N93" s="5">
        <f>IF(Táblázat1[[#This Row],[Karb./akt.év]]-Táblázat1[[#This Row],[Kész2020_2]]&lt;0,0,Táblázat1[[#This Row],[Karb./akt.év]]-Táblázat1[[#This Row],[Kész2020_2]])</f>
        <v>0</v>
      </c>
    </row>
    <row r="94" spans="1:14" hidden="1" x14ac:dyDescent="0.25">
      <c r="A94" s="17" t="s">
        <v>20</v>
      </c>
      <c r="B94" s="17" t="s">
        <v>134</v>
      </c>
      <c r="C94" s="17" t="s">
        <v>1737</v>
      </c>
      <c r="D94" s="17" t="s">
        <v>1874</v>
      </c>
      <c r="E94" s="17" t="s">
        <v>3625</v>
      </c>
      <c r="F94" s="17" t="s">
        <v>3626</v>
      </c>
      <c r="G94" s="17" t="s">
        <v>5106</v>
      </c>
      <c r="H94" t="s">
        <v>7476</v>
      </c>
      <c r="I94" s="1">
        <v>1</v>
      </c>
      <c r="J94" s="1">
        <v>1</v>
      </c>
      <c r="K94" t="s">
        <v>6642</v>
      </c>
      <c r="L94" s="5" t="e">
        <f>VLOOKUP(D:D,[1]Munka2!$A:$B,2,FALSE)</f>
        <v>#N/A</v>
      </c>
      <c r="M94" s="5">
        <f>_xlfn.IFNA(Táblázat1[[#This Row],[Kész2020]],0)</f>
        <v>0</v>
      </c>
      <c r="N94" s="5">
        <f>IF(Táblázat1[[#This Row],[Karb./akt.év]]-Táblázat1[[#This Row],[Kész2020_2]]&lt;0,0,Táblázat1[[#This Row],[Karb./akt.év]]-Táblázat1[[#This Row],[Kész2020_2]])</f>
        <v>1</v>
      </c>
    </row>
    <row r="95" spans="1:14" hidden="1" x14ac:dyDescent="0.25">
      <c r="A95" s="17" t="s">
        <v>20</v>
      </c>
      <c r="B95" s="17" t="s">
        <v>109</v>
      </c>
      <c r="C95" s="17" t="s">
        <v>1737</v>
      </c>
      <c r="D95" s="17" t="s">
        <v>1848</v>
      </c>
      <c r="E95" s="17" t="s">
        <v>3697</v>
      </c>
      <c r="F95" s="17" t="s">
        <v>3698</v>
      </c>
      <c r="G95" s="17" t="s">
        <v>5080</v>
      </c>
      <c r="H95" t="s">
        <v>7476</v>
      </c>
      <c r="I95" s="1">
        <v>1</v>
      </c>
      <c r="J95" s="1">
        <v>0</v>
      </c>
      <c r="K95" t="s">
        <v>6639</v>
      </c>
      <c r="L95" s="5" t="e">
        <f>VLOOKUP(D:D,[1]Munka2!$A:$B,2,FALSE)</f>
        <v>#N/A</v>
      </c>
      <c r="M95" s="5">
        <f>_xlfn.IFNA(Táblázat1[[#This Row],[Kész2020]],0)</f>
        <v>0</v>
      </c>
      <c r="N95" s="5">
        <f>IF(Táblázat1[[#This Row],[Karb./akt.év]]-Táblázat1[[#This Row],[Kész2020_2]]&lt;0,0,Táblázat1[[#This Row],[Karb./akt.év]]-Táblázat1[[#This Row],[Kész2020_2]])</f>
        <v>0</v>
      </c>
    </row>
    <row r="96" spans="1:14" hidden="1" x14ac:dyDescent="0.25">
      <c r="A96" s="17" t="s">
        <v>20</v>
      </c>
      <c r="B96" s="17" t="s">
        <v>1022</v>
      </c>
      <c r="C96" s="17" t="s">
        <v>1744</v>
      </c>
      <c r="D96" s="17" t="s">
        <v>2811</v>
      </c>
      <c r="E96" s="17" t="s">
        <v>4577</v>
      </c>
      <c r="F96" s="17" t="s">
        <v>3681</v>
      </c>
      <c r="G96" s="17" t="s">
        <v>5951</v>
      </c>
      <c r="H96" t="s">
        <v>7476</v>
      </c>
      <c r="I96" s="1">
        <v>1</v>
      </c>
      <c r="J96" s="1">
        <v>1</v>
      </c>
      <c r="K96" t="s">
        <v>6637</v>
      </c>
      <c r="L96" s="5" t="e">
        <f>VLOOKUP(D:D,[1]Munka2!$A:$B,2,FALSE)</f>
        <v>#N/A</v>
      </c>
      <c r="M96" s="5">
        <f>_xlfn.IFNA(Táblázat1[[#This Row],[Kész2020]],0)</f>
        <v>0</v>
      </c>
      <c r="N96" s="5">
        <f>IF(Táblázat1[[#This Row],[Karb./akt.év]]-Táblázat1[[#This Row],[Kész2020_2]]&lt;0,0,Táblázat1[[#This Row],[Karb./akt.év]]-Táblázat1[[#This Row],[Kész2020_2]])</f>
        <v>1</v>
      </c>
    </row>
    <row r="97" spans="1:14" hidden="1" x14ac:dyDescent="0.25">
      <c r="A97" s="17" t="s">
        <v>20</v>
      </c>
      <c r="B97" s="17" t="s">
        <v>171</v>
      </c>
      <c r="C97" s="17" t="s">
        <v>1737</v>
      </c>
      <c r="D97" s="17" t="s">
        <v>1911</v>
      </c>
      <c r="E97" s="17" t="s">
        <v>3743</v>
      </c>
      <c r="F97" s="17" t="s">
        <v>3744</v>
      </c>
      <c r="G97" s="17" t="s">
        <v>5141</v>
      </c>
      <c r="H97" t="s">
        <v>7476</v>
      </c>
      <c r="I97" s="1">
        <v>1</v>
      </c>
      <c r="J97" s="1">
        <v>1</v>
      </c>
      <c r="K97" t="s">
        <v>8102</v>
      </c>
      <c r="L97" s="5" t="e">
        <f>VLOOKUP(D:D,[1]Munka2!$A:$B,2,FALSE)</f>
        <v>#N/A</v>
      </c>
      <c r="M97" s="5">
        <f>_xlfn.IFNA(Táblázat1[[#This Row],[Kész2020]],0)</f>
        <v>0</v>
      </c>
      <c r="N97" s="5">
        <f>IF(Táblázat1[[#This Row],[Karb./akt.év]]-Táblázat1[[#This Row],[Kész2020_2]]&lt;0,0,Táblázat1[[#This Row],[Karb./akt.év]]-Táblázat1[[#This Row],[Kész2020_2]])</f>
        <v>1</v>
      </c>
    </row>
    <row r="98" spans="1:14" hidden="1" x14ac:dyDescent="0.25">
      <c r="A98" s="17" t="s">
        <v>20</v>
      </c>
      <c r="B98" s="17" t="s">
        <v>671</v>
      </c>
      <c r="C98" s="17" t="s">
        <v>1737</v>
      </c>
      <c r="D98" s="17" t="s">
        <v>2445</v>
      </c>
      <c r="E98" s="17" t="s">
        <v>3890</v>
      </c>
      <c r="F98" s="17" t="s">
        <v>3891</v>
      </c>
      <c r="G98" s="17" t="s">
        <v>5627</v>
      </c>
      <c r="H98" t="s">
        <v>7476</v>
      </c>
      <c r="I98" s="1">
        <v>1</v>
      </c>
      <c r="J98" s="1">
        <v>1</v>
      </c>
      <c r="K98" t="s">
        <v>8103</v>
      </c>
      <c r="L98" s="5" t="e">
        <f>VLOOKUP(D:D,[1]Munka2!$A:$B,2,FALSE)</f>
        <v>#N/A</v>
      </c>
      <c r="M98" s="5">
        <f>_xlfn.IFNA(Táblázat1[[#This Row],[Kész2020]],0)</f>
        <v>0</v>
      </c>
      <c r="N98" s="5">
        <f>IF(Táblázat1[[#This Row],[Karb./akt.év]]-Táblázat1[[#This Row],[Kész2020_2]]&lt;0,0,Táblázat1[[#This Row],[Karb./akt.év]]-Táblázat1[[#This Row],[Kész2020_2]])</f>
        <v>1</v>
      </c>
    </row>
    <row r="99" spans="1:14" hidden="1" x14ac:dyDescent="0.25">
      <c r="A99" s="17" t="s">
        <v>20</v>
      </c>
      <c r="B99" s="17" t="s">
        <v>990</v>
      </c>
      <c r="C99" s="17" t="s">
        <v>1753</v>
      </c>
      <c r="D99" s="17" t="s">
        <v>2778</v>
      </c>
      <c r="E99" s="17" t="s">
        <v>3788</v>
      </c>
      <c r="F99" s="17" t="s">
        <v>3789</v>
      </c>
      <c r="G99" s="17" t="s">
        <v>5919</v>
      </c>
      <c r="H99" t="s">
        <v>7476</v>
      </c>
      <c r="I99" s="1">
        <v>1</v>
      </c>
      <c r="J99" s="1">
        <v>1</v>
      </c>
      <c r="K99" t="s">
        <v>6634</v>
      </c>
      <c r="L99" s="5">
        <f>VLOOKUP(D:D,[1]Munka2!$A:$B,2,FALSE)</f>
        <v>1</v>
      </c>
      <c r="M99" s="5">
        <f>_xlfn.IFNA(Táblázat1[[#This Row],[Kész2020]],0)</f>
        <v>1</v>
      </c>
      <c r="N99" s="5">
        <f>IF(Táblázat1[[#This Row],[Karb./akt.év]]-Táblázat1[[#This Row],[Kész2020_2]]&lt;0,0,Táblázat1[[#This Row],[Karb./akt.év]]-Táblázat1[[#This Row],[Kész2020_2]])</f>
        <v>0</v>
      </c>
    </row>
    <row r="100" spans="1:14" hidden="1" x14ac:dyDescent="0.25">
      <c r="A100" s="17" t="s">
        <v>20</v>
      </c>
      <c r="B100" s="17" t="s">
        <v>228</v>
      </c>
      <c r="C100" s="17" t="s">
        <v>1753</v>
      </c>
      <c r="D100" s="17" t="s">
        <v>1972</v>
      </c>
      <c r="E100" s="17" t="s">
        <v>3818</v>
      </c>
      <c r="F100" s="17" t="s">
        <v>3819</v>
      </c>
      <c r="G100" s="17" t="s">
        <v>5196</v>
      </c>
      <c r="H100" t="s">
        <v>7476</v>
      </c>
      <c r="I100" s="1">
        <v>1</v>
      </c>
      <c r="J100" s="1">
        <v>0</v>
      </c>
      <c r="K100" t="s">
        <v>6634</v>
      </c>
      <c r="L100" s="5" t="e">
        <f>VLOOKUP(D:D,[1]Munka2!$A:$B,2,FALSE)</f>
        <v>#N/A</v>
      </c>
      <c r="M100" s="5">
        <f>_xlfn.IFNA(Táblázat1[[#This Row],[Kész2020]],0)</f>
        <v>0</v>
      </c>
      <c r="N100" s="5">
        <f>IF(Táblázat1[[#This Row],[Karb./akt.év]]-Táblázat1[[#This Row],[Kész2020_2]]&lt;0,0,Táblázat1[[#This Row],[Karb./akt.év]]-Táblázat1[[#This Row],[Kész2020_2]])</f>
        <v>0</v>
      </c>
    </row>
    <row r="101" spans="1:14" hidden="1" x14ac:dyDescent="0.25">
      <c r="A101" s="17" t="s">
        <v>20</v>
      </c>
      <c r="B101" s="17" t="s">
        <v>1101</v>
      </c>
      <c r="C101" s="17" t="s">
        <v>1744</v>
      </c>
      <c r="D101" s="17" t="s">
        <v>2894</v>
      </c>
      <c r="E101" s="17" t="s">
        <v>3641</v>
      </c>
      <c r="F101" s="17" t="s">
        <v>3642</v>
      </c>
      <c r="G101" s="17" t="s">
        <v>6030</v>
      </c>
      <c r="H101" t="s">
        <v>7476</v>
      </c>
      <c r="I101" s="1">
        <v>1</v>
      </c>
      <c r="J101" s="1">
        <v>1</v>
      </c>
      <c r="K101" t="s">
        <v>7354</v>
      </c>
      <c r="L101" s="5">
        <f>VLOOKUP(D:D,[1]Munka2!$A:$B,2,FALSE)</f>
        <v>1</v>
      </c>
      <c r="M101" s="5">
        <f>_xlfn.IFNA(Táblázat1[[#This Row],[Kész2020]],0)</f>
        <v>1</v>
      </c>
      <c r="N101" s="5">
        <f>IF(Táblázat1[[#This Row],[Karb./akt.év]]-Táblázat1[[#This Row],[Kész2020_2]]&lt;0,0,Táblázat1[[#This Row],[Karb./akt.év]]-Táblázat1[[#This Row],[Kész2020_2]])</f>
        <v>0</v>
      </c>
    </row>
    <row r="102" spans="1:14" hidden="1" x14ac:dyDescent="0.25">
      <c r="A102" s="17" t="s">
        <v>20</v>
      </c>
      <c r="B102" s="17" t="s">
        <v>1162</v>
      </c>
      <c r="C102" s="17" t="s">
        <v>1735</v>
      </c>
      <c r="D102" s="17" t="s">
        <v>2959</v>
      </c>
      <c r="E102" s="17" t="s">
        <v>4190</v>
      </c>
      <c r="F102" s="17" t="s">
        <v>4191</v>
      </c>
      <c r="G102" s="17" t="s">
        <v>6088</v>
      </c>
      <c r="H102" t="s">
        <v>7476</v>
      </c>
      <c r="I102" s="1">
        <v>1</v>
      </c>
      <c r="J102" s="1">
        <v>1</v>
      </c>
      <c r="K102" t="s">
        <v>7354</v>
      </c>
      <c r="L102" s="5" t="e">
        <f>VLOOKUP(D:D,[1]Munka2!$A:$B,2,FALSE)</f>
        <v>#N/A</v>
      </c>
      <c r="M102" s="5">
        <f>_xlfn.IFNA(Táblázat1[[#This Row],[Kész2020]],0)</f>
        <v>0</v>
      </c>
      <c r="N102" s="5">
        <f>IF(Táblázat1[[#This Row],[Karb./akt.év]]-Táblázat1[[#This Row],[Kész2020_2]]&lt;0,0,Táblázat1[[#This Row],[Karb./akt.év]]-Táblázat1[[#This Row],[Kész2020_2]])</f>
        <v>1</v>
      </c>
    </row>
    <row r="103" spans="1:14" hidden="1" x14ac:dyDescent="0.25">
      <c r="A103" s="17" t="s">
        <v>20</v>
      </c>
      <c r="B103" s="17" t="s">
        <v>657</v>
      </c>
      <c r="C103" s="17" t="s">
        <v>1744</v>
      </c>
      <c r="D103" s="17" t="s">
        <v>2432</v>
      </c>
      <c r="E103" s="17" t="s">
        <v>4269</v>
      </c>
      <c r="F103" s="17" t="s">
        <v>4270</v>
      </c>
      <c r="G103" s="17" t="s">
        <v>5615</v>
      </c>
      <c r="H103" t="s">
        <v>7476</v>
      </c>
      <c r="I103" s="1">
        <v>1</v>
      </c>
      <c r="J103" s="1">
        <v>0</v>
      </c>
      <c r="K103" t="s">
        <v>7014</v>
      </c>
      <c r="L103" s="5" t="e">
        <f>VLOOKUP(D:D,[1]Munka2!$A:$B,2,FALSE)</f>
        <v>#N/A</v>
      </c>
      <c r="M103" s="5">
        <f>_xlfn.IFNA(Táblázat1[[#This Row],[Kész2020]],0)</f>
        <v>0</v>
      </c>
      <c r="N103" s="5">
        <f>IF(Táblázat1[[#This Row],[Karb./akt.év]]-Táblázat1[[#This Row],[Kész2020_2]]&lt;0,0,Táblázat1[[#This Row],[Karb./akt.év]]-Táblázat1[[#This Row],[Kész2020_2]])</f>
        <v>0</v>
      </c>
    </row>
    <row r="104" spans="1:14" hidden="1" x14ac:dyDescent="0.25">
      <c r="A104" s="17" t="s">
        <v>20</v>
      </c>
      <c r="B104" s="17" t="s">
        <v>521</v>
      </c>
      <c r="C104" s="17" t="s">
        <v>1753</v>
      </c>
      <c r="D104" s="17" t="s">
        <v>2286</v>
      </c>
      <c r="E104" s="17" t="s">
        <v>4071</v>
      </c>
      <c r="F104" s="17" t="s">
        <v>4072</v>
      </c>
      <c r="G104" s="17" t="s">
        <v>5482</v>
      </c>
      <c r="H104" t="s">
        <v>7476</v>
      </c>
      <c r="I104" s="1">
        <v>1</v>
      </c>
      <c r="J104" s="1">
        <v>0</v>
      </c>
      <c r="K104" t="s">
        <v>6642</v>
      </c>
      <c r="L104" s="5" t="e">
        <f>VLOOKUP(D:D,[1]Munka2!$A:$B,2,FALSE)</f>
        <v>#N/A</v>
      </c>
      <c r="M104" s="5">
        <f>_xlfn.IFNA(Táblázat1[[#This Row],[Kész2020]],0)</f>
        <v>0</v>
      </c>
      <c r="N104" s="5">
        <f>IF(Táblázat1[[#This Row],[Karb./akt.év]]-Táblázat1[[#This Row],[Kész2020_2]]&lt;0,0,Táblázat1[[#This Row],[Karb./akt.év]]-Táblázat1[[#This Row],[Kész2020_2]])</f>
        <v>0</v>
      </c>
    </row>
    <row r="105" spans="1:14" hidden="1" x14ac:dyDescent="0.25">
      <c r="A105" s="17" t="s">
        <v>20</v>
      </c>
      <c r="B105" s="17" t="s">
        <v>1167</v>
      </c>
      <c r="C105" s="17" t="s">
        <v>1735</v>
      </c>
      <c r="D105" s="17" t="s">
        <v>2965</v>
      </c>
      <c r="E105" s="17" t="s">
        <v>3792</v>
      </c>
      <c r="F105" s="17" t="s">
        <v>3793</v>
      </c>
      <c r="G105" s="17" t="s">
        <v>6093</v>
      </c>
      <c r="H105" t="s">
        <v>7476</v>
      </c>
      <c r="I105" s="1">
        <v>1</v>
      </c>
      <c r="J105" s="1">
        <v>1</v>
      </c>
      <c r="K105" t="s">
        <v>6639</v>
      </c>
      <c r="L105" s="5">
        <f>VLOOKUP(D:D,[1]Munka2!$A:$B,2,FALSE)</f>
        <v>1</v>
      </c>
      <c r="M105" s="5">
        <f>_xlfn.IFNA(Táblázat1[[#This Row],[Kész2020]],0)</f>
        <v>1</v>
      </c>
      <c r="N105" s="5">
        <f>IF(Táblázat1[[#This Row],[Karb./akt.év]]-Táblázat1[[#This Row],[Kész2020_2]]&lt;0,0,Táblázat1[[#This Row],[Karb./akt.év]]-Táblázat1[[#This Row],[Kész2020_2]])</f>
        <v>0</v>
      </c>
    </row>
    <row r="106" spans="1:14" hidden="1" x14ac:dyDescent="0.25">
      <c r="A106" s="17" t="s">
        <v>20</v>
      </c>
      <c r="B106" s="17" t="s">
        <v>8172</v>
      </c>
      <c r="C106" s="17" t="s">
        <v>7176</v>
      </c>
      <c r="D106" s="17" t="s">
        <v>7179</v>
      </c>
      <c r="E106" s="17" t="s">
        <v>4278</v>
      </c>
      <c r="F106" s="17" t="s">
        <v>3598</v>
      </c>
      <c r="G106" s="17" t="s">
        <v>5622</v>
      </c>
      <c r="H106" t="s">
        <v>7476</v>
      </c>
      <c r="I106" s="1" t="e">
        <v>#N/A</v>
      </c>
      <c r="J106" s="1" t="e">
        <v>#N/A</v>
      </c>
      <c r="K106" t="e">
        <v>#N/A</v>
      </c>
      <c r="L106" s="5" t="e">
        <f>VLOOKUP(D:D,[1]Munka2!$A:$B,2,FALSE)</f>
        <v>#N/A</v>
      </c>
      <c r="M106" s="5">
        <f>_xlfn.IFNA(Táblázat1[[#This Row],[Kész2020]],0)</f>
        <v>0</v>
      </c>
      <c r="N106" s="5" t="e">
        <f>IF(Táblázat1[[#This Row],[Karb./akt.év]]-Táblázat1[[#This Row],[Kész2020_2]]&lt;0,0,Táblázat1[[#This Row],[Karb./akt.év]]-Táblázat1[[#This Row],[Kész2020_2]])</f>
        <v>#N/A</v>
      </c>
    </row>
    <row r="107" spans="1:14" hidden="1" x14ac:dyDescent="0.25">
      <c r="A107" s="17" t="s">
        <v>20</v>
      </c>
      <c r="B107" s="17" t="s">
        <v>8182</v>
      </c>
      <c r="C107" s="17" t="s">
        <v>7176</v>
      </c>
      <c r="D107" s="17" t="s">
        <v>8190</v>
      </c>
      <c r="E107" s="17" t="s">
        <v>4278</v>
      </c>
      <c r="F107" s="17" t="s">
        <v>3598</v>
      </c>
      <c r="G107" s="17" t="s">
        <v>5622</v>
      </c>
      <c r="H107" t="s">
        <v>7476</v>
      </c>
      <c r="I107" s="1" t="e">
        <v>#N/A</v>
      </c>
      <c r="J107" s="1" t="e">
        <v>#N/A</v>
      </c>
      <c r="K107" t="e">
        <v>#N/A</v>
      </c>
      <c r="L107" s="5" t="e">
        <f>VLOOKUP(D:D,[1]Munka2!$A:$B,2,FALSE)</f>
        <v>#N/A</v>
      </c>
      <c r="M107" s="5">
        <f>_xlfn.IFNA(Táblázat1[[#This Row],[Kész2020]],0)</f>
        <v>0</v>
      </c>
      <c r="N107" s="5" t="e">
        <f>IF(Táblázat1[[#This Row],[Karb./akt.év]]-Táblázat1[[#This Row],[Kész2020_2]]&lt;0,0,Táblázat1[[#This Row],[Karb./akt.év]]-Táblázat1[[#This Row],[Kész2020_2]])</f>
        <v>#N/A</v>
      </c>
    </row>
    <row r="108" spans="1:14" hidden="1" x14ac:dyDescent="0.25">
      <c r="A108" s="17" t="s">
        <v>20</v>
      </c>
      <c r="B108" s="17" t="s">
        <v>579</v>
      </c>
      <c r="C108" s="17" t="s">
        <v>1735</v>
      </c>
      <c r="D108" s="17" t="s">
        <v>2352</v>
      </c>
      <c r="E108" s="17" t="s">
        <v>4205</v>
      </c>
      <c r="F108" s="17" t="s">
        <v>3598</v>
      </c>
      <c r="G108" s="17" t="s">
        <v>5543</v>
      </c>
      <c r="H108" t="s">
        <v>7476</v>
      </c>
      <c r="I108" s="1">
        <v>1</v>
      </c>
      <c r="J108" s="1">
        <v>1</v>
      </c>
      <c r="K108" t="s">
        <v>7017</v>
      </c>
      <c r="L108" s="5">
        <f>VLOOKUP(D:D,[1]Munka2!$A:$B,2,FALSE)</f>
        <v>1</v>
      </c>
      <c r="M108" s="5">
        <f>_xlfn.IFNA(Táblázat1[[#This Row],[Kész2020]],0)</f>
        <v>1</v>
      </c>
      <c r="N108" s="5">
        <f>IF(Táblázat1[[#This Row],[Karb./akt.év]]-Táblázat1[[#This Row],[Kész2020_2]]&lt;0,0,Táblázat1[[#This Row],[Karb./akt.év]]-Táblázat1[[#This Row],[Kész2020_2]])</f>
        <v>0</v>
      </c>
    </row>
    <row r="109" spans="1:14" hidden="1" x14ac:dyDescent="0.25">
      <c r="A109" s="17" t="s">
        <v>20</v>
      </c>
      <c r="B109" s="17" t="s">
        <v>580</v>
      </c>
      <c r="C109" s="17" t="s">
        <v>1752</v>
      </c>
      <c r="D109" s="17" t="s">
        <v>2353</v>
      </c>
      <c r="E109" s="17" t="s">
        <v>4206</v>
      </c>
      <c r="F109" s="17" t="s">
        <v>3598</v>
      </c>
      <c r="G109" s="17" t="s">
        <v>5544</v>
      </c>
      <c r="H109" t="s">
        <v>7476</v>
      </c>
      <c r="I109" s="1">
        <v>1</v>
      </c>
      <c r="J109" s="1">
        <v>1</v>
      </c>
      <c r="K109" t="s">
        <v>6643</v>
      </c>
      <c r="L109" s="5" t="e">
        <f>VLOOKUP(D:D,[1]Munka2!$A:$B,2,FALSE)</f>
        <v>#N/A</v>
      </c>
      <c r="M109" s="5">
        <f>_xlfn.IFNA(Táblázat1[[#This Row],[Kész2020]],0)</f>
        <v>0</v>
      </c>
      <c r="N109" s="5">
        <f>IF(Táblázat1[[#This Row],[Karb./akt.év]]-Táblázat1[[#This Row],[Kész2020_2]]&lt;0,0,Táblázat1[[#This Row],[Karb./akt.év]]-Táblázat1[[#This Row],[Kész2020_2]])</f>
        <v>1</v>
      </c>
    </row>
    <row r="110" spans="1:14" hidden="1" x14ac:dyDescent="0.25">
      <c r="A110" s="17" t="s">
        <v>20</v>
      </c>
      <c r="B110" s="17" t="s">
        <v>252</v>
      </c>
      <c r="C110" s="17" t="s">
        <v>1752</v>
      </c>
      <c r="D110" s="17" t="s">
        <v>1997</v>
      </c>
      <c r="E110" s="17" t="s">
        <v>3871</v>
      </c>
      <c r="F110" s="17" t="s">
        <v>3872</v>
      </c>
      <c r="G110" s="17" t="s">
        <v>5219</v>
      </c>
      <c r="H110" t="s">
        <v>7476</v>
      </c>
      <c r="I110" s="1">
        <v>1</v>
      </c>
      <c r="J110" s="1">
        <v>1</v>
      </c>
      <c r="K110" t="s">
        <v>6643</v>
      </c>
      <c r="L110" s="5">
        <f>VLOOKUP(D:D,[1]Munka2!$A:$B,2,FALSE)</f>
        <v>1</v>
      </c>
      <c r="M110" s="5">
        <f>_xlfn.IFNA(Táblázat1[[#This Row],[Kész2020]],0)</f>
        <v>1</v>
      </c>
      <c r="N110" s="5">
        <f>IF(Táblázat1[[#This Row],[Karb./akt.év]]-Táblázat1[[#This Row],[Kész2020_2]]&lt;0,0,Táblázat1[[#This Row],[Karb./akt.év]]-Táblázat1[[#This Row],[Kész2020_2]])</f>
        <v>0</v>
      </c>
    </row>
    <row r="111" spans="1:14" hidden="1" x14ac:dyDescent="0.25">
      <c r="A111" s="17" t="s">
        <v>20</v>
      </c>
      <c r="B111" s="17" t="s">
        <v>1333</v>
      </c>
      <c r="C111" s="17" t="s">
        <v>1752</v>
      </c>
      <c r="D111" s="17" t="s">
        <v>3148</v>
      </c>
      <c r="E111" s="17" t="s">
        <v>4820</v>
      </c>
      <c r="F111" s="17" t="s">
        <v>3681</v>
      </c>
      <c r="G111" s="17" t="s">
        <v>6253</v>
      </c>
      <c r="H111" t="s">
        <v>7476</v>
      </c>
      <c r="I111" s="1">
        <v>1</v>
      </c>
      <c r="J111" s="1">
        <v>1</v>
      </c>
      <c r="K111" t="s">
        <v>6637</v>
      </c>
      <c r="L111" s="5" t="e">
        <f>VLOOKUP(D:D,[1]Munka2!$A:$B,2,FALSE)</f>
        <v>#N/A</v>
      </c>
      <c r="M111" s="5">
        <f>_xlfn.IFNA(Táblázat1[[#This Row],[Kész2020]],0)</f>
        <v>0</v>
      </c>
      <c r="N111" s="5">
        <f>IF(Táblázat1[[#This Row],[Karb./akt.év]]-Táblázat1[[#This Row],[Kész2020_2]]&lt;0,0,Táblázat1[[#This Row],[Karb./akt.év]]-Táblázat1[[#This Row],[Kész2020_2]])</f>
        <v>1</v>
      </c>
    </row>
    <row r="112" spans="1:14" hidden="1" x14ac:dyDescent="0.25">
      <c r="A112" s="17" t="s">
        <v>20</v>
      </c>
      <c r="B112" s="17" t="s">
        <v>235</v>
      </c>
      <c r="C112" s="17" t="s">
        <v>1736</v>
      </c>
      <c r="D112" s="17" t="s">
        <v>1979</v>
      </c>
      <c r="E112" s="17" t="s">
        <v>3846</v>
      </c>
      <c r="F112" s="17" t="s">
        <v>3598</v>
      </c>
      <c r="G112" s="17" t="s">
        <v>5203</v>
      </c>
      <c r="H112" t="s">
        <v>7476</v>
      </c>
      <c r="I112" s="1">
        <v>1</v>
      </c>
      <c r="J112" s="1">
        <v>1</v>
      </c>
      <c r="K112" t="s">
        <v>7017</v>
      </c>
      <c r="L112" s="5">
        <f>VLOOKUP(D:D,[1]Munka2!$A:$B,2,FALSE)</f>
        <v>1</v>
      </c>
      <c r="M112" s="5">
        <f>_xlfn.IFNA(Táblázat1[[#This Row],[Kész2020]],0)</f>
        <v>1</v>
      </c>
      <c r="N112" s="5">
        <f>IF(Táblázat1[[#This Row],[Karb./akt.év]]-Táblázat1[[#This Row],[Kész2020_2]]&lt;0,0,Táblázat1[[#This Row],[Karb./akt.év]]-Táblázat1[[#This Row],[Kész2020_2]])</f>
        <v>0</v>
      </c>
    </row>
    <row r="113" spans="1:14" hidden="1" x14ac:dyDescent="0.25">
      <c r="A113" s="17" t="s">
        <v>20</v>
      </c>
      <c r="B113" s="17" t="s">
        <v>1466</v>
      </c>
      <c r="C113" s="17" t="s">
        <v>1752</v>
      </c>
      <c r="D113" s="17" t="s">
        <v>3299</v>
      </c>
      <c r="E113" s="17" t="s">
        <v>4294</v>
      </c>
      <c r="F113" s="17" t="s">
        <v>3664</v>
      </c>
      <c r="G113" s="17" t="s">
        <v>6374</v>
      </c>
      <c r="H113" t="s">
        <v>7476</v>
      </c>
      <c r="I113" s="1">
        <v>1</v>
      </c>
      <c r="J113" s="1">
        <v>1</v>
      </c>
      <c r="K113" t="s">
        <v>6638</v>
      </c>
      <c r="L113" s="5" t="e">
        <f>VLOOKUP(D:D,[1]Munka2!$A:$B,2,FALSE)</f>
        <v>#N/A</v>
      </c>
      <c r="M113" s="5">
        <f>_xlfn.IFNA(Táblázat1[[#This Row],[Kész2020]],0)</f>
        <v>0</v>
      </c>
      <c r="N113" s="5">
        <f>IF(Táblázat1[[#This Row],[Karb./akt.év]]-Táblázat1[[#This Row],[Kész2020_2]]&lt;0,0,Táblázat1[[#This Row],[Karb./akt.év]]-Táblázat1[[#This Row],[Kész2020_2]])</f>
        <v>1</v>
      </c>
    </row>
    <row r="114" spans="1:14" hidden="1" x14ac:dyDescent="0.25">
      <c r="A114" s="17" t="s">
        <v>20</v>
      </c>
      <c r="B114" s="17" t="s">
        <v>185</v>
      </c>
      <c r="C114" s="17" t="s">
        <v>1752</v>
      </c>
      <c r="D114" s="17" t="s">
        <v>1926</v>
      </c>
      <c r="E114" s="17" t="s">
        <v>3798</v>
      </c>
      <c r="F114" s="17" t="s">
        <v>3799</v>
      </c>
      <c r="G114" s="17" t="s">
        <v>5155</v>
      </c>
      <c r="H114" t="s">
        <v>7476</v>
      </c>
      <c r="I114" s="1">
        <v>1</v>
      </c>
      <c r="J114" s="1">
        <v>1</v>
      </c>
      <c r="K114" t="s">
        <v>6636</v>
      </c>
      <c r="L114" s="5">
        <f>VLOOKUP(D:D,[1]Munka2!$A:$B,2,FALSE)</f>
        <v>1</v>
      </c>
      <c r="M114" s="5">
        <f>_xlfn.IFNA(Táblázat1[[#This Row],[Kész2020]],0)</f>
        <v>1</v>
      </c>
      <c r="N114" s="5">
        <f>IF(Táblázat1[[#This Row],[Karb./akt.év]]-Táblázat1[[#This Row],[Kész2020_2]]&lt;0,0,Táblázat1[[#This Row],[Karb./akt.év]]-Táblázat1[[#This Row],[Kész2020_2]])</f>
        <v>0</v>
      </c>
    </row>
    <row r="115" spans="1:14" hidden="1" x14ac:dyDescent="0.25">
      <c r="A115" s="17" t="s">
        <v>20</v>
      </c>
      <c r="B115" s="17" t="s">
        <v>1705</v>
      </c>
      <c r="C115" s="17" t="s">
        <v>1752</v>
      </c>
      <c r="D115" s="17" t="s">
        <v>3562</v>
      </c>
      <c r="E115" s="17" t="s">
        <v>4968</v>
      </c>
      <c r="F115" s="17" t="s">
        <v>3598</v>
      </c>
      <c r="G115" s="17" t="s">
        <v>6601</v>
      </c>
      <c r="H115" t="s">
        <v>7476</v>
      </c>
      <c r="I115" s="1">
        <v>1</v>
      </c>
      <c r="J115" s="1">
        <v>1</v>
      </c>
      <c r="K115" t="s">
        <v>6643</v>
      </c>
      <c r="L115" s="5" t="e">
        <f>VLOOKUP(D:D,[1]Munka2!$A:$B,2,FALSE)</f>
        <v>#N/A</v>
      </c>
      <c r="M115" s="5">
        <f>_xlfn.IFNA(Táblázat1[[#This Row],[Kész2020]],0)</f>
        <v>0</v>
      </c>
      <c r="N115" s="5">
        <f>IF(Táblázat1[[#This Row],[Karb./akt.év]]-Táblázat1[[#This Row],[Kész2020_2]]&lt;0,0,Táblázat1[[#This Row],[Karb./akt.év]]-Táblázat1[[#This Row],[Kész2020_2]])</f>
        <v>1</v>
      </c>
    </row>
    <row r="116" spans="1:14" hidden="1" x14ac:dyDescent="0.25">
      <c r="A116" s="17" t="s">
        <v>20</v>
      </c>
      <c r="B116" s="17" t="s">
        <v>1706</v>
      </c>
      <c r="C116" s="17" t="s">
        <v>1752</v>
      </c>
      <c r="D116" s="17" t="s">
        <v>3563</v>
      </c>
      <c r="E116" s="17" t="s">
        <v>4968</v>
      </c>
      <c r="F116" s="17" t="s">
        <v>3598</v>
      </c>
      <c r="G116" s="17" t="s">
        <v>6601</v>
      </c>
      <c r="H116" t="s">
        <v>7476</v>
      </c>
      <c r="I116" s="1">
        <v>1</v>
      </c>
      <c r="J116" s="1">
        <v>1</v>
      </c>
      <c r="K116" t="s">
        <v>6643</v>
      </c>
      <c r="L116" s="5" t="e">
        <f>VLOOKUP(D:D,[1]Munka2!$A:$B,2,FALSE)</f>
        <v>#N/A</v>
      </c>
      <c r="M116" s="5">
        <f>_xlfn.IFNA(Táblázat1[[#This Row],[Kész2020]],0)</f>
        <v>0</v>
      </c>
      <c r="N116" s="5">
        <f>IF(Táblázat1[[#This Row],[Karb./akt.év]]-Táblázat1[[#This Row],[Kész2020_2]]&lt;0,0,Táblázat1[[#This Row],[Karb./akt.év]]-Táblázat1[[#This Row],[Kész2020_2]])</f>
        <v>1</v>
      </c>
    </row>
    <row r="117" spans="1:14" hidden="1" x14ac:dyDescent="0.25">
      <c r="A117" s="17" t="s">
        <v>20</v>
      </c>
      <c r="B117" s="17" t="s">
        <v>1064</v>
      </c>
      <c r="C117" s="17" t="s">
        <v>1752</v>
      </c>
      <c r="D117" s="17" t="s">
        <v>2852</v>
      </c>
      <c r="E117" s="17" t="s">
        <v>3711</v>
      </c>
      <c r="F117" s="17" t="s">
        <v>3712</v>
      </c>
      <c r="G117" s="17" t="s">
        <v>5993</v>
      </c>
      <c r="H117" t="s">
        <v>7476</v>
      </c>
      <c r="I117" s="1">
        <v>1</v>
      </c>
      <c r="J117" s="1">
        <v>1</v>
      </c>
      <c r="K117" t="s">
        <v>6643</v>
      </c>
      <c r="L117" s="5" t="e">
        <f>VLOOKUP(D:D,[1]Munka2!$A:$B,2,FALSE)</f>
        <v>#N/A</v>
      </c>
      <c r="M117" s="5">
        <f>_xlfn.IFNA(Táblázat1[[#This Row],[Kész2020]],0)</f>
        <v>0</v>
      </c>
      <c r="N117" s="5">
        <f>IF(Táblázat1[[#This Row],[Karb./akt.év]]-Táblázat1[[#This Row],[Kész2020_2]]&lt;0,0,Táblázat1[[#This Row],[Karb./akt.év]]-Táblázat1[[#This Row],[Kész2020_2]])</f>
        <v>1</v>
      </c>
    </row>
    <row r="118" spans="1:14" hidden="1" x14ac:dyDescent="0.25">
      <c r="A118" s="17" t="s">
        <v>20</v>
      </c>
      <c r="B118" s="17" t="s">
        <v>1080</v>
      </c>
      <c r="C118" s="17" t="s">
        <v>1752</v>
      </c>
      <c r="D118" s="17" t="s">
        <v>2871</v>
      </c>
      <c r="E118" s="17" t="s">
        <v>3882</v>
      </c>
      <c r="F118" s="17" t="s">
        <v>3598</v>
      </c>
      <c r="G118" s="17" t="s">
        <v>6008</v>
      </c>
      <c r="H118" t="s">
        <v>7476</v>
      </c>
      <c r="I118" s="1">
        <v>1</v>
      </c>
      <c r="J118" s="1">
        <v>1</v>
      </c>
      <c r="K118" t="s">
        <v>6643</v>
      </c>
      <c r="L118" s="5" t="e">
        <f>VLOOKUP(D:D,[1]Munka2!$A:$B,2,FALSE)</f>
        <v>#N/A</v>
      </c>
      <c r="M118" s="5">
        <f>_xlfn.IFNA(Táblázat1[[#This Row],[Kész2020]],0)</f>
        <v>0</v>
      </c>
      <c r="N118" s="5">
        <f>IF(Táblázat1[[#This Row],[Karb./akt.év]]-Táblázat1[[#This Row],[Kész2020_2]]&lt;0,0,Táblázat1[[#This Row],[Karb./akt.év]]-Táblázat1[[#This Row],[Kész2020_2]])</f>
        <v>1</v>
      </c>
    </row>
    <row r="119" spans="1:14" hidden="1" x14ac:dyDescent="0.25">
      <c r="A119" s="17" t="s">
        <v>20</v>
      </c>
      <c r="B119" s="17" t="s">
        <v>443</v>
      </c>
      <c r="C119" s="17" t="s">
        <v>7391</v>
      </c>
      <c r="D119" s="17" t="s">
        <v>7394</v>
      </c>
      <c r="E119" s="17" t="s">
        <v>4052</v>
      </c>
      <c r="F119" s="17" t="s">
        <v>3598</v>
      </c>
      <c r="G119" s="17" t="s">
        <v>5410</v>
      </c>
      <c r="H119" t="s">
        <v>7476</v>
      </c>
      <c r="I119" s="1">
        <v>1</v>
      </c>
      <c r="J119" s="1">
        <v>1</v>
      </c>
      <c r="K119" t="s">
        <v>7017</v>
      </c>
      <c r="L119" s="5" t="e">
        <f>VLOOKUP(D:D,[1]Munka2!$A:$B,2,FALSE)</f>
        <v>#N/A</v>
      </c>
      <c r="M119" s="5">
        <f>_xlfn.IFNA(Táblázat1[[#This Row],[Kész2020]],0)</f>
        <v>0</v>
      </c>
      <c r="N119" s="5">
        <f>IF(Táblázat1[[#This Row],[Karb./akt.év]]-Táblázat1[[#This Row],[Kész2020_2]]&lt;0,0,Táblázat1[[#This Row],[Karb./akt.év]]-Táblázat1[[#This Row],[Kész2020_2]])</f>
        <v>1</v>
      </c>
    </row>
    <row r="120" spans="1:14" hidden="1" x14ac:dyDescent="0.25">
      <c r="A120" s="17" t="s">
        <v>20</v>
      </c>
      <c r="B120" s="17" t="s">
        <v>1039</v>
      </c>
      <c r="C120" s="17" t="s">
        <v>1752</v>
      </c>
      <c r="D120" s="17" t="s">
        <v>8169</v>
      </c>
      <c r="E120" s="17" t="s">
        <v>4211</v>
      </c>
      <c r="F120" s="17" t="s">
        <v>3755</v>
      </c>
      <c r="G120" s="17" t="s">
        <v>5965</v>
      </c>
      <c r="H120" t="s">
        <v>7476</v>
      </c>
      <c r="I120" s="1">
        <v>1</v>
      </c>
      <c r="J120" s="1">
        <v>1</v>
      </c>
      <c r="K120" t="s">
        <v>6640</v>
      </c>
      <c r="L120" s="5" t="e">
        <f>VLOOKUP(D:D,[1]Munka2!$A:$B,2,FALSE)</f>
        <v>#N/A</v>
      </c>
      <c r="M120" s="5">
        <f>_xlfn.IFNA(Táblázat1[[#This Row],[Kész2020]],0)</f>
        <v>0</v>
      </c>
      <c r="N120" s="5">
        <f>IF(Táblázat1[[#This Row],[Karb./akt.év]]-Táblázat1[[#This Row],[Kész2020_2]]&lt;0,0,Táblázat1[[#This Row],[Karb./akt.év]]-Táblázat1[[#This Row],[Kész2020_2]])</f>
        <v>1</v>
      </c>
    </row>
    <row r="121" spans="1:14" hidden="1" x14ac:dyDescent="0.25">
      <c r="A121" s="17" t="s">
        <v>20</v>
      </c>
      <c r="B121" s="17" t="s">
        <v>1192</v>
      </c>
      <c r="C121" s="17" t="s">
        <v>1752</v>
      </c>
      <c r="D121" s="17" t="s">
        <v>2996</v>
      </c>
      <c r="E121" s="17" t="s">
        <v>4211</v>
      </c>
      <c r="F121" s="17" t="s">
        <v>3755</v>
      </c>
      <c r="G121" s="17" t="s">
        <v>6120</v>
      </c>
      <c r="H121" t="s">
        <v>7476</v>
      </c>
      <c r="I121" s="1">
        <v>1</v>
      </c>
      <c r="J121" s="1">
        <v>1</v>
      </c>
      <c r="K121" t="s">
        <v>6640</v>
      </c>
      <c r="L121" s="5" t="e">
        <f>VLOOKUP(D:D,[1]Munka2!$A:$B,2,FALSE)</f>
        <v>#N/A</v>
      </c>
      <c r="M121" s="5">
        <f>_xlfn.IFNA(Táblázat1[[#This Row],[Kész2020]],0)</f>
        <v>0</v>
      </c>
      <c r="N121" s="5">
        <f>IF(Táblázat1[[#This Row],[Karb./akt.év]]-Táblázat1[[#This Row],[Kész2020_2]]&lt;0,0,Táblázat1[[#This Row],[Karb./akt.év]]-Táblázat1[[#This Row],[Kész2020_2]])</f>
        <v>1</v>
      </c>
    </row>
    <row r="122" spans="1:14" hidden="1" x14ac:dyDescent="0.25">
      <c r="A122" s="17" t="s">
        <v>20</v>
      </c>
      <c r="B122" s="17" t="s">
        <v>7169</v>
      </c>
      <c r="C122" s="17" t="s">
        <v>7175</v>
      </c>
      <c r="D122" s="17" t="s">
        <v>7177</v>
      </c>
      <c r="E122" s="17" t="s">
        <v>3670</v>
      </c>
      <c r="F122" s="17" t="s">
        <v>3598</v>
      </c>
      <c r="G122" s="17" t="s">
        <v>7185</v>
      </c>
      <c r="H122" t="s">
        <v>7476</v>
      </c>
      <c r="I122" s="1">
        <v>1</v>
      </c>
      <c r="J122" s="1">
        <v>1</v>
      </c>
      <c r="K122" t="s">
        <v>8101</v>
      </c>
      <c r="L122" s="5" t="e">
        <f>VLOOKUP(D:D,[1]Munka2!$A:$B,2,FALSE)</f>
        <v>#N/A</v>
      </c>
      <c r="M122" s="5">
        <f>_xlfn.IFNA(Táblázat1[[#This Row],[Kész2020]],0)</f>
        <v>0</v>
      </c>
      <c r="N122" s="5">
        <f>IF(Táblázat1[[#This Row],[Karb./akt.év]]-Táblázat1[[#This Row],[Kész2020_2]]&lt;0,0,Táblázat1[[#This Row],[Karb./akt.év]]-Táblázat1[[#This Row],[Kész2020_2]])</f>
        <v>1</v>
      </c>
    </row>
    <row r="123" spans="1:14" hidden="1" x14ac:dyDescent="0.25">
      <c r="A123" s="17" t="s">
        <v>20</v>
      </c>
      <c r="B123" s="17" t="s">
        <v>7170</v>
      </c>
      <c r="C123" s="17" t="s">
        <v>7175</v>
      </c>
      <c r="D123" s="17" t="s">
        <v>7178</v>
      </c>
      <c r="E123" s="17" t="s">
        <v>3670</v>
      </c>
      <c r="F123" s="17" t="s">
        <v>3598</v>
      </c>
      <c r="G123" s="17" t="s">
        <v>7185</v>
      </c>
      <c r="H123" t="s">
        <v>7476</v>
      </c>
      <c r="I123" s="1">
        <v>1</v>
      </c>
      <c r="J123" s="1">
        <v>1</v>
      </c>
      <c r="K123" t="s">
        <v>8101</v>
      </c>
      <c r="L123" s="5" t="e">
        <f>VLOOKUP(D:D,[1]Munka2!$A:$B,2,FALSE)</f>
        <v>#N/A</v>
      </c>
      <c r="M123" s="5">
        <f>_xlfn.IFNA(Táblázat1[[#This Row],[Kész2020]],0)</f>
        <v>0</v>
      </c>
      <c r="N123" s="5">
        <f>IF(Táblázat1[[#This Row],[Karb./akt.év]]-Táblázat1[[#This Row],[Kész2020_2]]&lt;0,0,Táblázat1[[#This Row],[Karb./akt.év]]-Táblázat1[[#This Row],[Kész2020_2]])</f>
        <v>1</v>
      </c>
    </row>
    <row r="124" spans="1:14" hidden="1" x14ac:dyDescent="0.25">
      <c r="A124" s="17" t="s">
        <v>20</v>
      </c>
      <c r="B124" s="17" t="s">
        <v>718</v>
      </c>
      <c r="C124" s="17" t="s">
        <v>1735</v>
      </c>
      <c r="D124" s="17" t="s">
        <v>2495</v>
      </c>
      <c r="E124" s="17" t="s">
        <v>3715</v>
      </c>
      <c r="F124" s="17" t="s">
        <v>3716</v>
      </c>
      <c r="G124" s="17" t="s">
        <v>5672</v>
      </c>
      <c r="H124" t="s">
        <v>7476</v>
      </c>
      <c r="I124" s="1">
        <v>1</v>
      </c>
      <c r="J124" s="1">
        <v>1</v>
      </c>
      <c r="K124" t="s">
        <v>7017</v>
      </c>
      <c r="L124" s="5">
        <f>VLOOKUP(D:D,[1]Munka2!$A:$B,2,FALSE)</f>
        <v>1</v>
      </c>
      <c r="M124" s="5">
        <f>_xlfn.IFNA(Táblázat1[[#This Row],[Kész2020]],0)</f>
        <v>1</v>
      </c>
      <c r="N124" s="5">
        <f>IF(Táblázat1[[#This Row],[Karb./akt.év]]-Táblázat1[[#This Row],[Kész2020_2]]&lt;0,0,Táblázat1[[#This Row],[Karb./akt.év]]-Táblázat1[[#This Row],[Kész2020_2]])</f>
        <v>0</v>
      </c>
    </row>
    <row r="125" spans="1:14" hidden="1" x14ac:dyDescent="0.25">
      <c r="A125" s="17" t="s">
        <v>20</v>
      </c>
      <c r="B125" s="17" t="s">
        <v>1012</v>
      </c>
      <c r="C125" s="17" t="s">
        <v>7395</v>
      </c>
      <c r="D125" s="17" t="s">
        <v>7397</v>
      </c>
      <c r="E125" s="17" t="s">
        <v>4063</v>
      </c>
      <c r="F125" s="17" t="s">
        <v>3598</v>
      </c>
      <c r="G125" s="17" t="s">
        <v>5940</v>
      </c>
      <c r="H125" t="s">
        <v>7476</v>
      </c>
      <c r="I125" s="1">
        <v>1</v>
      </c>
      <c r="J125" s="1">
        <v>1</v>
      </c>
      <c r="K125" t="s">
        <v>7017</v>
      </c>
      <c r="L125" s="5" t="e">
        <f>VLOOKUP(D:D,[1]Munka2!$A:$B,2,FALSE)</f>
        <v>#N/A</v>
      </c>
      <c r="M125" s="5">
        <f>_xlfn.IFNA(Táblázat1[[#This Row],[Kész2020]],0)</f>
        <v>0</v>
      </c>
      <c r="N125" s="5">
        <f>IF(Táblázat1[[#This Row],[Karb./akt.év]]-Táblázat1[[#This Row],[Kész2020_2]]&lt;0,0,Táblázat1[[#This Row],[Karb./akt.év]]-Táblázat1[[#This Row],[Kész2020_2]])</f>
        <v>1</v>
      </c>
    </row>
    <row r="126" spans="1:14" hidden="1" x14ac:dyDescent="0.25">
      <c r="A126" s="17" t="s">
        <v>20</v>
      </c>
      <c r="B126" s="17" t="s">
        <v>6924</v>
      </c>
      <c r="C126" s="17" t="s">
        <v>1735</v>
      </c>
      <c r="D126" s="17" t="s">
        <v>6933</v>
      </c>
      <c r="E126" s="17" t="s">
        <v>3680</v>
      </c>
      <c r="F126" s="17" t="s">
        <v>3681</v>
      </c>
      <c r="G126" s="17" t="s">
        <v>6392</v>
      </c>
      <c r="H126" t="s">
        <v>7476</v>
      </c>
      <c r="I126" s="1">
        <v>1</v>
      </c>
      <c r="J126" s="1">
        <v>1</v>
      </c>
      <c r="K126" t="s">
        <v>6637</v>
      </c>
      <c r="L126" s="5" t="e">
        <f>VLOOKUP(D:D,[1]Munka2!$A:$B,2,FALSE)</f>
        <v>#N/A</v>
      </c>
      <c r="M126" s="5">
        <f>_xlfn.IFNA(Táblázat1[[#This Row],[Kész2020]],0)</f>
        <v>0</v>
      </c>
      <c r="N126" s="5">
        <f>IF(Táblázat1[[#This Row],[Karb./akt.év]]-Táblázat1[[#This Row],[Kész2020_2]]&lt;0,0,Táblázat1[[#This Row],[Karb./akt.év]]-Táblázat1[[#This Row],[Kész2020_2]])</f>
        <v>1</v>
      </c>
    </row>
    <row r="127" spans="1:14" hidden="1" x14ac:dyDescent="0.25">
      <c r="A127" s="17" t="s">
        <v>20</v>
      </c>
      <c r="B127" s="17" t="s">
        <v>1112</v>
      </c>
      <c r="C127" s="17" t="s">
        <v>1743</v>
      </c>
      <c r="D127" s="17" t="s">
        <v>2906</v>
      </c>
      <c r="E127" s="17" t="s">
        <v>3676</v>
      </c>
      <c r="F127" s="17" t="s">
        <v>3598</v>
      </c>
      <c r="G127" s="17" t="s">
        <v>6041</v>
      </c>
      <c r="H127" t="s">
        <v>7476</v>
      </c>
      <c r="I127" s="1">
        <v>1</v>
      </c>
      <c r="J127" s="1">
        <v>1</v>
      </c>
      <c r="K127" t="s">
        <v>8101</v>
      </c>
      <c r="L127" s="5">
        <f>VLOOKUP(D:D,[1]Munka2!$A:$B,2,FALSE)</f>
        <v>1</v>
      </c>
      <c r="M127" s="5">
        <f>_xlfn.IFNA(Táblázat1[[#This Row],[Kész2020]],0)</f>
        <v>1</v>
      </c>
      <c r="N127" s="5">
        <f>IF(Táblázat1[[#This Row],[Karb./akt.év]]-Táblázat1[[#This Row],[Kész2020_2]]&lt;0,0,Táblázat1[[#This Row],[Karb./akt.év]]-Táblázat1[[#This Row],[Kész2020_2]])</f>
        <v>0</v>
      </c>
    </row>
    <row r="128" spans="1:14" hidden="1" x14ac:dyDescent="0.25">
      <c r="A128" s="17" t="s">
        <v>20</v>
      </c>
      <c r="B128" s="17" t="s">
        <v>709</v>
      </c>
      <c r="C128" s="17" t="s">
        <v>1743</v>
      </c>
      <c r="D128" s="17" t="s">
        <v>2485</v>
      </c>
      <c r="E128" s="17" t="s">
        <v>4035</v>
      </c>
      <c r="F128" s="17" t="s">
        <v>3598</v>
      </c>
      <c r="G128" s="17" t="s">
        <v>5663</v>
      </c>
      <c r="H128" t="s">
        <v>7476</v>
      </c>
      <c r="I128" s="1">
        <v>1</v>
      </c>
      <c r="J128" s="1">
        <v>1</v>
      </c>
      <c r="K128" t="s">
        <v>6785</v>
      </c>
      <c r="L128" s="5" t="e">
        <f>VLOOKUP(D:D,[1]Munka2!$A:$B,2,FALSE)</f>
        <v>#N/A</v>
      </c>
      <c r="M128" s="5">
        <f>_xlfn.IFNA(Táblázat1[[#This Row],[Kész2020]],0)</f>
        <v>0</v>
      </c>
      <c r="N128" s="5">
        <f>IF(Táblázat1[[#This Row],[Karb./akt.év]]-Táblázat1[[#This Row],[Kész2020_2]]&lt;0,0,Táblázat1[[#This Row],[Karb./akt.év]]-Táblázat1[[#This Row],[Kész2020_2]])</f>
        <v>1</v>
      </c>
    </row>
    <row r="129" spans="1:14" hidden="1" x14ac:dyDescent="0.25">
      <c r="A129" s="17" t="s">
        <v>20</v>
      </c>
      <c r="B129" s="17" t="s">
        <v>203</v>
      </c>
      <c r="C129" s="17" t="s">
        <v>1743</v>
      </c>
      <c r="D129" s="17" t="s">
        <v>1944</v>
      </c>
      <c r="E129" s="17" t="s">
        <v>3824</v>
      </c>
      <c r="F129" s="17" t="s">
        <v>3598</v>
      </c>
      <c r="G129" s="17" t="s">
        <v>5173</v>
      </c>
      <c r="H129" t="s">
        <v>7476</v>
      </c>
      <c r="I129" s="1">
        <v>1</v>
      </c>
      <c r="J129" s="1">
        <v>1</v>
      </c>
      <c r="K129" t="s">
        <v>6785</v>
      </c>
      <c r="L129" s="5" t="e">
        <f>VLOOKUP(D:D,[1]Munka2!$A:$B,2,FALSE)</f>
        <v>#N/A</v>
      </c>
      <c r="M129" s="5">
        <f>_xlfn.IFNA(Táblázat1[[#This Row],[Kész2020]],0)</f>
        <v>0</v>
      </c>
      <c r="N129" s="5">
        <f>IF(Táblázat1[[#This Row],[Karb./akt.év]]-Táblázat1[[#This Row],[Kész2020_2]]&lt;0,0,Táblázat1[[#This Row],[Karb./akt.év]]-Táblázat1[[#This Row],[Kész2020_2]])</f>
        <v>1</v>
      </c>
    </row>
    <row r="130" spans="1:14" hidden="1" x14ac:dyDescent="0.25">
      <c r="A130" s="17" t="s">
        <v>20</v>
      </c>
      <c r="B130" s="17" t="s">
        <v>125</v>
      </c>
      <c r="C130" s="17" t="s">
        <v>1735</v>
      </c>
      <c r="D130" s="17" t="s">
        <v>1865</v>
      </c>
      <c r="E130" s="17" t="s">
        <v>3619</v>
      </c>
      <c r="F130" s="17" t="s">
        <v>3620</v>
      </c>
      <c r="G130" s="17" t="s">
        <v>5096</v>
      </c>
      <c r="H130" t="s">
        <v>7476</v>
      </c>
      <c r="I130" s="1">
        <v>1</v>
      </c>
      <c r="J130" s="1">
        <v>1</v>
      </c>
      <c r="K130" t="s">
        <v>6642</v>
      </c>
      <c r="L130" s="5" t="e">
        <f>VLOOKUP(D:D,[1]Munka2!$A:$B,2,FALSE)</f>
        <v>#N/A</v>
      </c>
      <c r="M130" s="5">
        <f>_xlfn.IFNA(Táblázat1[[#This Row],[Kész2020]],0)</f>
        <v>0</v>
      </c>
      <c r="N130" s="5">
        <f>IF(Táblázat1[[#This Row],[Karb./akt.év]]-Táblázat1[[#This Row],[Kész2020_2]]&lt;0,0,Táblázat1[[#This Row],[Karb./akt.év]]-Táblázat1[[#This Row],[Kész2020_2]])</f>
        <v>1</v>
      </c>
    </row>
    <row r="131" spans="1:14" hidden="1" x14ac:dyDescent="0.25">
      <c r="A131" s="17" t="s">
        <v>20</v>
      </c>
      <c r="B131" s="17" t="s">
        <v>379</v>
      </c>
      <c r="C131" s="17" t="s">
        <v>1743</v>
      </c>
      <c r="D131" s="17" t="s">
        <v>2135</v>
      </c>
      <c r="E131" s="17" t="s">
        <v>3715</v>
      </c>
      <c r="F131" s="17" t="s">
        <v>3716</v>
      </c>
      <c r="G131" s="17" t="s">
        <v>5347</v>
      </c>
      <c r="H131" t="s">
        <v>7476</v>
      </c>
      <c r="I131" s="1">
        <v>1</v>
      </c>
      <c r="J131" s="1">
        <v>1</v>
      </c>
      <c r="K131" t="s">
        <v>7017</v>
      </c>
      <c r="L131" s="5">
        <f>VLOOKUP(D:D,[1]Munka2!$A:$B,2,FALSE)</f>
        <v>1</v>
      </c>
      <c r="M131" s="5">
        <f>_xlfn.IFNA(Táblázat1[[#This Row],[Kész2020]],0)</f>
        <v>1</v>
      </c>
      <c r="N131" s="5">
        <f>IF(Táblázat1[[#This Row],[Karb./akt.év]]-Táblázat1[[#This Row],[Kész2020_2]]&lt;0,0,Táblázat1[[#This Row],[Karb./akt.év]]-Táblázat1[[#This Row],[Kész2020_2]])</f>
        <v>0</v>
      </c>
    </row>
    <row r="132" spans="1:14" hidden="1" x14ac:dyDescent="0.25">
      <c r="A132" s="17" t="s">
        <v>20</v>
      </c>
      <c r="B132" s="17" t="s">
        <v>442</v>
      </c>
      <c r="C132" s="17" t="s">
        <v>1735</v>
      </c>
      <c r="D132" s="17" t="s">
        <v>2200</v>
      </c>
      <c r="E132" s="17" t="s">
        <v>4052</v>
      </c>
      <c r="F132" s="17" t="s">
        <v>3598</v>
      </c>
      <c r="G132" s="17" t="s">
        <v>5408</v>
      </c>
      <c r="H132" t="s">
        <v>7476</v>
      </c>
      <c r="I132" s="1">
        <v>1</v>
      </c>
      <c r="J132" s="1">
        <v>1</v>
      </c>
      <c r="K132" t="s">
        <v>7017</v>
      </c>
      <c r="L132" s="5">
        <f>VLOOKUP(D:D,[1]Munka2!$A:$B,2,FALSE)</f>
        <v>1</v>
      </c>
      <c r="M132" s="5">
        <f>_xlfn.IFNA(Táblázat1[[#This Row],[Kész2020]],0)</f>
        <v>1</v>
      </c>
      <c r="N132" s="5">
        <f>IF(Táblázat1[[#This Row],[Karb./akt.év]]-Táblázat1[[#This Row],[Kész2020_2]]&lt;0,0,Táblázat1[[#This Row],[Karb./akt.év]]-Táblázat1[[#This Row],[Kész2020_2]])</f>
        <v>0</v>
      </c>
    </row>
    <row r="133" spans="1:14" hidden="1" x14ac:dyDescent="0.25">
      <c r="A133" s="17" t="s">
        <v>23</v>
      </c>
      <c r="B133" s="17" t="s">
        <v>94</v>
      </c>
      <c r="C133" s="17" t="s">
        <v>1742</v>
      </c>
      <c r="D133" s="17" t="s">
        <v>1834</v>
      </c>
      <c r="E133" s="17" t="s">
        <v>3678</v>
      </c>
      <c r="F133" s="17" t="s">
        <v>3679</v>
      </c>
      <c r="G133" s="17" t="s">
        <v>5065</v>
      </c>
      <c r="H133" t="s">
        <v>7476</v>
      </c>
      <c r="I133" s="1">
        <v>1</v>
      </c>
      <c r="J133" s="1">
        <v>1</v>
      </c>
      <c r="K133" t="s">
        <v>6635</v>
      </c>
      <c r="L133" s="5" t="e">
        <f>VLOOKUP(D:D,[1]Munka2!$A:$B,2,FALSE)</f>
        <v>#N/A</v>
      </c>
      <c r="M133" s="5">
        <f>_xlfn.IFNA(Táblázat1[[#This Row],[Kész2020]],0)</f>
        <v>0</v>
      </c>
      <c r="N133" s="5">
        <f>IF(Táblázat1[[#This Row],[Karb./akt.év]]-Táblázat1[[#This Row],[Kész2020_2]]&lt;0,0,Táblázat1[[#This Row],[Karb./akt.év]]-Táblázat1[[#This Row],[Kész2020_2]])</f>
        <v>1</v>
      </c>
    </row>
    <row r="134" spans="1:14" hidden="1" x14ac:dyDescent="0.25">
      <c r="A134" s="17" t="s">
        <v>23</v>
      </c>
      <c r="B134" s="17" t="s">
        <v>1389</v>
      </c>
      <c r="C134" s="17" t="s">
        <v>1735</v>
      </c>
      <c r="D134" s="17" t="s">
        <v>3212</v>
      </c>
      <c r="E134" s="17" t="s">
        <v>4859</v>
      </c>
      <c r="F134" s="17" t="s">
        <v>4860</v>
      </c>
      <c r="G134" s="17" t="s">
        <v>6293</v>
      </c>
      <c r="H134" t="s">
        <v>7476</v>
      </c>
      <c r="I134" s="1">
        <v>1</v>
      </c>
      <c r="J134" s="1">
        <v>1</v>
      </c>
      <c r="K134" t="s">
        <v>6635</v>
      </c>
      <c r="L134" s="5" t="e">
        <f>VLOOKUP(D:D,[1]Munka2!$A:$B,2,FALSE)</f>
        <v>#N/A</v>
      </c>
      <c r="M134" s="5">
        <f>_xlfn.IFNA(Táblázat1[[#This Row],[Kész2020]],0)</f>
        <v>0</v>
      </c>
      <c r="N134" s="5">
        <f>IF(Táblázat1[[#This Row],[Karb./akt.év]]-Táblázat1[[#This Row],[Kész2020_2]]&lt;0,0,Táblázat1[[#This Row],[Karb./akt.év]]-Táblázat1[[#This Row],[Kész2020_2]])</f>
        <v>1</v>
      </c>
    </row>
    <row r="135" spans="1:14" hidden="1" x14ac:dyDescent="0.25">
      <c r="A135" s="17" t="s">
        <v>23</v>
      </c>
      <c r="B135" s="17" t="s">
        <v>1018</v>
      </c>
      <c r="C135" s="17" t="s">
        <v>1742</v>
      </c>
      <c r="D135" s="17" t="s">
        <v>2807</v>
      </c>
      <c r="E135" s="17" t="s">
        <v>3840</v>
      </c>
      <c r="F135" s="17" t="s">
        <v>3841</v>
      </c>
      <c r="G135" s="17" t="s">
        <v>5946</v>
      </c>
      <c r="H135" t="s">
        <v>7476</v>
      </c>
      <c r="I135" s="1">
        <v>1</v>
      </c>
      <c r="J135" s="1">
        <v>1</v>
      </c>
      <c r="K135" t="s">
        <v>6635</v>
      </c>
      <c r="L135" s="5" t="e">
        <f>VLOOKUP(D:D,[1]Munka2!$A:$B,2,FALSE)</f>
        <v>#N/A</v>
      </c>
      <c r="M135" s="5">
        <f>_xlfn.IFNA(Táblázat1[[#This Row],[Kész2020]],0)</f>
        <v>0</v>
      </c>
      <c r="N135" s="5">
        <f>IF(Táblázat1[[#This Row],[Karb./akt.év]]-Táblázat1[[#This Row],[Kész2020_2]]&lt;0,0,Táblázat1[[#This Row],[Karb./akt.év]]-Táblázat1[[#This Row],[Kész2020_2]])</f>
        <v>1</v>
      </c>
    </row>
    <row r="136" spans="1:14" hidden="1" x14ac:dyDescent="0.25">
      <c r="A136" s="17" t="s">
        <v>23</v>
      </c>
      <c r="B136" s="17" t="s">
        <v>803</v>
      </c>
      <c r="C136" s="17" t="s">
        <v>1735</v>
      </c>
      <c r="D136" s="17" t="s">
        <v>2580</v>
      </c>
      <c r="E136" s="17" t="s">
        <v>4374</v>
      </c>
      <c r="F136" s="17" t="s">
        <v>4375</v>
      </c>
      <c r="G136" s="17" t="s">
        <v>5744</v>
      </c>
      <c r="H136" t="s">
        <v>7476</v>
      </c>
      <c r="I136" s="1">
        <v>1</v>
      </c>
      <c r="J136" s="1">
        <v>1</v>
      </c>
      <c r="K136" t="s">
        <v>6635</v>
      </c>
      <c r="L136" s="5">
        <f>VLOOKUP(D:D,[1]Munka2!$A:$B,2,FALSE)</f>
        <v>1</v>
      </c>
      <c r="M136" s="5">
        <f>_xlfn.IFNA(Táblázat1[[#This Row],[Kész2020]],0)</f>
        <v>1</v>
      </c>
      <c r="N136" s="5">
        <f>IF(Táblázat1[[#This Row],[Karb./akt.év]]-Táblázat1[[#This Row],[Kész2020_2]]&lt;0,0,Táblázat1[[#This Row],[Karb./akt.év]]-Táblázat1[[#This Row],[Kész2020_2]])</f>
        <v>0</v>
      </c>
    </row>
    <row r="137" spans="1:14" hidden="1" x14ac:dyDescent="0.25">
      <c r="A137" s="17" t="s">
        <v>23</v>
      </c>
      <c r="B137" s="17" t="s">
        <v>1422</v>
      </c>
      <c r="C137" s="17" t="s">
        <v>1735</v>
      </c>
      <c r="D137" s="17" t="s">
        <v>3252</v>
      </c>
      <c r="E137" s="17" t="s">
        <v>3840</v>
      </c>
      <c r="F137" s="17" t="s">
        <v>3841</v>
      </c>
      <c r="G137" s="17" t="s">
        <v>6326</v>
      </c>
      <c r="H137" t="s">
        <v>7476</v>
      </c>
      <c r="I137" s="1">
        <v>1</v>
      </c>
      <c r="J137" s="1">
        <v>1</v>
      </c>
      <c r="K137" t="s">
        <v>6635</v>
      </c>
      <c r="L137" s="5" t="e">
        <f>VLOOKUP(D:D,[1]Munka2!$A:$B,2,FALSE)</f>
        <v>#N/A</v>
      </c>
      <c r="M137" s="5">
        <f>_xlfn.IFNA(Táblázat1[[#This Row],[Kész2020]],0)</f>
        <v>0</v>
      </c>
      <c r="N137" s="5">
        <f>IF(Táblázat1[[#This Row],[Karb./akt.év]]-Táblázat1[[#This Row],[Kész2020_2]]&lt;0,0,Táblázat1[[#This Row],[Karb./akt.év]]-Táblázat1[[#This Row],[Kész2020_2]])</f>
        <v>1</v>
      </c>
    </row>
    <row r="138" spans="1:14" hidden="1" x14ac:dyDescent="0.25">
      <c r="A138" s="17" t="s">
        <v>23</v>
      </c>
      <c r="B138" s="17" t="s">
        <v>1166</v>
      </c>
      <c r="C138" s="17" t="s">
        <v>1735</v>
      </c>
      <c r="D138" s="17" t="s">
        <v>2962</v>
      </c>
      <c r="E138" s="17" t="s">
        <v>4660</v>
      </c>
      <c r="F138" s="17" t="s">
        <v>4661</v>
      </c>
      <c r="G138" s="17" t="s">
        <v>6090</v>
      </c>
      <c r="H138" t="s">
        <v>7476</v>
      </c>
      <c r="I138" s="1">
        <v>1</v>
      </c>
      <c r="J138" s="1">
        <v>1</v>
      </c>
      <c r="K138" t="s">
        <v>8103</v>
      </c>
      <c r="L138" s="5">
        <f>VLOOKUP(D:D,[1]Munka2!$A:$B,2,FALSE)</f>
        <v>1</v>
      </c>
      <c r="M138" s="5">
        <f>_xlfn.IFNA(Táblázat1[[#This Row],[Kész2020]],0)</f>
        <v>1</v>
      </c>
      <c r="N138" s="5">
        <f>IF(Táblázat1[[#This Row],[Karb./akt.év]]-Táblázat1[[#This Row],[Kész2020_2]]&lt;0,0,Táblázat1[[#This Row],[Karb./akt.év]]-Táblázat1[[#This Row],[Kész2020_2]])</f>
        <v>0</v>
      </c>
    </row>
    <row r="139" spans="1:14" hidden="1" x14ac:dyDescent="0.25">
      <c r="A139" s="17" t="s">
        <v>23</v>
      </c>
      <c r="B139" s="17" t="s">
        <v>1702</v>
      </c>
      <c r="C139" s="17" t="s">
        <v>1735</v>
      </c>
      <c r="D139" s="17" t="s">
        <v>3559</v>
      </c>
      <c r="E139" s="17" t="s">
        <v>3678</v>
      </c>
      <c r="F139" s="17" t="s">
        <v>3679</v>
      </c>
      <c r="G139" s="17" t="s">
        <v>6598</v>
      </c>
      <c r="H139" t="s">
        <v>7476</v>
      </c>
      <c r="I139" s="1">
        <v>1</v>
      </c>
      <c r="J139" s="1">
        <v>1</v>
      </c>
      <c r="K139" t="s">
        <v>6635</v>
      </c>
      <c r="L139" s="5">
        <f>VLOOKUP(D:D,[1]Munka2!$A:$B,2,FALSE)</f>
        <v>1</v>
      </c>
      <c r="M139" s="5">
        <f>_xlfn.IFNA(Táblázat1[[#This Row],[Kész2020]],0)</f>
        <v>1</v>
      </c>
      <c r="N139" s="5">
        <f>IF(Táblázat1[[#This Row],[Karb./akt.év]]-Táblázat1[[#This Row],[Kész2020_2]]&lt;0,0,Táblázat1[[#This Row],[Karb./akt.év]]-Táblázat1[[#This Row],[Kész2020_2]])</f>
        <v>0</v>
      </c>
    </row>
    <row r="140" spans="1:14" hidden="1" x14ac:dyDescent="0.25">
      <c r="A140" s="17" t="s">
        <v>23</v>
      </c>
      <c r="B140" s="17" t="s">
        <v>498</v>
      </c>
      <c r="C140" s="17" t="s">
        <v>1735</v>
      </c>
      <c r="D140" s="17" t="s">
        <v>2260</v>
      </c>
      <c r="E140" s="17" t="s">
        <v>4107</v>
      </c>
      <c r="F140" s="17" t="s">
        <v>4108</v>
      </c>
      <c r="G140" s="17" t="s">
        <v>5460</v>
      </c>
      <c r="H140" t="s">
        <v>7476</v>
      </c>
      <c r="I140" s="1">
        <v>1</v>
      </c>
      <c r="J140" s="1">
        <v>1</v>
      </c>
      <c r="K140" t="s">
        <v>6635</v>
      </c>
      <c r="L140" s="5" t="e">
        <f>VLOOKUP(D:D,[1]Munka2!$A:$B,2,FALSE)</f>
        <v>#N/A</v>
      </c>
      <c r="M140" s="5">
        <f>_xlfn.IFNA(Táblázat1[[#This Row],[Kész2020]],0)</f>
        <v>0</v>
      </c>
      <c r="N140" s="5">
        <f>IF(Táblázat1[[#This Row],[Karb./akt.év]]-Táblázat1[[#This Row],[Kész2020_2]]&lt;0,0,Táblázat1[[#This Row],[Karb./akt.év]]-Táblázat1[[#This Row],[Kész2020_2]])</f>
        <v>1</v>
      </c>
    </row>
    <row r="141" spans="1:14" hidden="1" x14ac:dyDescent="0.25">
      <c r="A141" s="17" t="s">
        <v>23</v>
      </c>
      <c r="B141" s="17" t="s">
        <v>118</v>
      </c>
      <c r="C141" s="17" t="s">
        <v>1742</v>
      </c>
      <c r="D141" s="17" t="s">
        <v>1858</v>
      </c>
      <c r="E141" s="17" t="s">
        <v>3711</v>
      </c>
      <c r="F141" s="17" t="s">
        <v>3712</v>
      </c>
      <c r="G141" s="17" t="s">
        <v>5089</v>
      </c>
      <c r="H141" t="s">
        <v>7476</v>
      </c>
      <c r="I141" s="1">
        <v>1</v>
      </c>
      <c r="J141" s="1">
        <v>1</v>
      </c>
      <c r="K141" t="s">
        <v>6633</v>
      </c>
      <c r="L141" s="5" t="e">
        <f>VLOOKUP(D:D,[1]Munka2!$A:$B,2,FALSE)</f>
        <v>#N/A</v>
      </c>
      <c r="M141" s="5">
        <f>_xlfn.IFNA(Táblázat1[[#This Row],[Kész2020]],0)</f>
        <v>0</v>
      </c>
      <c r="N141" s="5">
        <f>IF(Táblázat1[[#This Row],[Karb./akt.év]]-Táblázat1[[#This Row],[Kész2020_2]]&lt;0,0,Táblázat1[[#This Row],[Karb./akt.év]]-Táblázat1[[#This Row],[Kész2020_2]])</f>
        <v>1</v>
      </c>
    </row>
    <row r="142" spans="1:14" hidden="1" x14ac:dyDescent="0.25">
      <c r="A142" s="17" t="s">
        <v>23</v>
      </c>
      <c r="B142" s="17" t="s">
        <v>1174</v>
      </c>
      <c r="C142" s="17" t="s">
        <v>1735</v>
      </c>
      <c r="D142" s="17" t="s">
        <v>2975</v>
      </c>
      <c r="E142" s="17" t="s">
        <v>4680</v>
      </c>
      <c r="F142" s="17" t="s">
        <v>4681</v>
      </c>
      <c r="G142" s="17" t="s">
        <v>6099</v>
      </c>
      <c r="H142" t="s">
        <v>7476</v>
      </c>
      <c r="I142" s="1">
        <v>1</v>
      </c>
      <c r="J142" s="1">
        <v>1</v>
      </c>
      <c r="K142" t="s">
        <v>6635</v>
      </c>
      <c r="L142" s="5">
        <f>VLOOKUP(D:D,[1]Munka2!$A:$B,2,FALSE)</f>
        <v>1</v>
      </c>
      <c r="M142" s="5">
        <f>_xlfn.IFNA(Táblázat1[[#This Row],[Kész2020]],0)</f>
        <v>1</v>
      </c>
      <c r="N142" s="5">
        <f>IF(Táblázat1[[#This Row],[Karb./akt.év]]-Táblázat1[[#This Row],[Kész2020_2]]&lt;0,0,Táblázat1[[#This Row],[Karb./akt.év]]-Táblázat1[[#This Row],[Kész2020_2]])</f>
        <v>0</v>
      </c>
    </row>
    <row r="143" spans="1:14" hidden="1" x14ac:dyDescent="0.25">
      <c r="A143" s="17" t="s">
        <v>23</v>
      </c>
      <c r="B143" s="17" t="s">
        <v>1577</v>
      </c>
      <c r="C143" s="17" t="s">
        <v>1737</v>
      </c>
      <c r="D143" s="17" t="s">
        <v>7402</v>
      </c>
      <c r="E143" s="17" t="s">
        <v>4366</v>
      </c>
      <c r="F143" s="17" t="s">
        <v>4367</v>
      </c>
      <c r="G143" s="17" t="s">
        <v>6479</v>
      </c>
      <c r="H143" t="s">
        <v>7476</v>
      </c>
      <c r="I143" s="1">
        <v>1</v>
      </c>
      <c r="J143" s="1">
        <v>1</v>
      </c>
      <c r="K143" t="s">
        <v>7017</v>
      </c>
      <c r="L143" s="5" t="e">
        <f>VLOOKUP(D:D,[1]Munka2!$A:$B,2,FALSE)</f>
        <v>#N/A</v>
      </c>
      <c r="M143" s="5">
        <f>_xlfn.IFNA(Táblázat1[[#This Row],[Kész2020]],0)</f>
        <v>0</v>
      </c>
      <c r="N143" s="5">
        <f>IF(Táblázat1[[#This Row],[Karb./akt.év]]-Táblázat1[[#This Row],[Kész2020_2]]&lt;0,0,Táblázat1[[#This Row],[Karb./akt.év]]-Táblázat1[[#This Row],[Kész2020_2]])</f>
        <v>1</v>
      </c>
    </row>
    <row r="144" spans="1:14" hidden="1" x14ac:dyDescent="0.25">
      <c r="A144" s="17" t="s">
        <v>23</v>
      </c>
      <c r="B144" s="17" t="s">
        <v>875</v>
      </c>
      <c r="C144" s="17" t="s">
        <v>1735</v>
      </c>
      <c r="D144" s="17" t="s">
        <v>2657</v>
      </c>
      <c r="E144" s="17" t="s">
        <v>4450</v>
      </c>
      <c r="F144" s="17" t="s">
        <v>4451</v>
      </c>
      <c r="G144" s="17" t="s">
        <v>5812</v>
      </c>
      <c r="H144" t="s">
        <v>7476</v>
      </c>
      <c r="I144" s="1">
        <v>1</v>
      </c>
      <c r="J144" s="1">
        <v>1</v>
      </c>
      <c r="K144" t="s">
        <v>6635</v>
      </c>
      <c r="L144" s="5">
        <f>VLOOKUP(D:D,[1]Munka2!$A:$B,2,FALSE)</f>
        <v>1</v>
      </c>
      <c r="M144" s="5">
        <f>_xlfn.IFNA(Táblázat1[[#This Row],[Kész2020]],0)</f>
        <v>1</v>
      </c>
      <c r="N144" s="5">
        <f>IF(Táblázat1[[#This Row],[Karb./akt.év]]-Táblázat1[[#This Row],[Kész2020_2]]&lt;0,0,Táblázat1[[#This Row],[Karb./akt.év]]-Táblázat1[[#This Row],[Kész2020_2]])</f>
        <v>0</v>
      </c>
    </row>
    <row r="145" spans="1:14" hidden="1" x14ac:dyDescent="0.25">
      <c r="A145" s="17" t="s">
        <v>23</v>
      </c>
      <c r="B145" s="17" t="s">
        <v>1024</v>
      </c>
      <c r="C145" s="17" t="s">
        <v>1735</v>
      </c>
      <c r="D145" s="17" t="s">
        <v>2813</v>
      </c>
      <c r="E145" s="17" t="s">
        <v>4580</v>
      </c>
      <c r="F145" s="17" t="s">
        <v>4581</v>
      </c>
      <c r="G145" s="17" t="s">
        <v>5952</v>
      </c>
      <c r="H145" t="s">
        <v>7476</v>
      </c>
      <c r="I145" s="1">
        <v>1</v>
      </c>
      <c r="J145" s="1">
        <v>1</v>
      </c>
      <c r="K145" t="s">
        <v>7017</v>
      </c>
      <c r="L145" s="5" t="e">
        <f>VLOOKUP(D:D,[1]Munka2!$A:$B,2,FALSE)</f>
        <v>#N/A</v>
      </c>
      <c r="M145" s="5">
        <f>_xlfn.IFNA(Táblázat1[[#This Row],[Kész2020]],0)</f>
        <v>0</v>
      </c>
      <c r="N145" s="5">
        <f>IF(Táblázat1[[#This Row],[Karb./akt.év]]-Táblázat1[[#This Row],[Kész2020_2]]&lt;0,0,Táblázat1[[#This Row],[Karb./akt.év]]-Táblázat1[[#This Row],[Kész2020_2]])</f>
        <v>1</v>
      </c>
    </row>
    <row r="146" spans="1:14" hidden="1" x14ac:dyDescent="0.25">
      <c r="A146" s="17" t="s">
        <v>23</v>
      </c>
      <c r="B146" s="17" t="s">
        <v>239</v>
      </c>
      <c r="C146" s="17" t="s">
        <v>1736</v>
      </c>
      <c r="D146" s="17" t="s">
        <v>1983</v>
      </c>
      <c r="E146" s="17" t="s">
        <v>3842</v>
      </c>
      <c r="F146" s="17" t="s">
        <v>3843</v>
      </c>
      <c r="G146" s="17" t="s">
        <v>5206</v>
      </c>
      <c r="H146" t="s">
        <v>7476</v>
      </c>
      <c r="I146" s="1">
        <v>1</v>
      </c>
      <c r="J146" s="1">
        <v>1</v>
      </c>
      <c r="K146" t="s">
        <v>6633</v>
      </c>
      <c r="L146" s="5">
        <f>VLOOKUP(D:D,[1]Munka2!$A:$B,2,FALSE)</f>
        <v>1</v>
      </c>
      <c r="M146" s="5">
        <f>_xlfn.IFNA(Táblázat1[[#This Row],[Kész2020]],0)</f>
        <v>1</v>
      </c>
      <c r="N146" s="5">
        <f>IF(Táblázat1[[#This Row],[Karb./akt.év]]-Táblázat1[[#This Row],[Kész2020_2]]&lt;0,0,Táblázat1[[#This Row],[Karb./akt.év]]-Táblázat1[[#This Row],[Kész2020_2]])</f>
        <v>0</v>
      </c>
    </row>
    <row r="147" spans="1:14" hidden="1" x14ac:dyDescent="0.25">
      <c r="A147" s="17" t="s">
        <v>23</v>
      </c>
      <c r="B147" s="17" t="s">
        <v>966</v>
      </c>
      <c r="C147" s="17" t="s">
        <v>1735</v>
      </c>
      <c r="D147" s="17" t="s">
        <v>2753</v>
      </c>
      <c r="E147" s="17" t="s">
        <v>4548</v>
      </c>
      <c r="F147" s="17" t="s">
        <v>4549</v>
      </c>
      <c r="G147" s="17" t="s">
        <v>5895</v>
      </c>
      <c r="H147" t="s">
        <v>7476</v>
      </c>
      <c r="I147" s="1">
        <v>1</v>
      </c>
      <c r="J147" s="1">
        <v>1</v>
      </c>
      <c r="K147" t="s">
        <v>7017</v>
      </c>
      <c r="L147" s="5" t="e">
        <f>VLOOKUP(D:D,[1]Munka2!$A:$B,2,FALSE)</f>
        <v>#N/A</v>
      </c>
      <c r="M147" s="5">
        <f>_xlfn.IFNA(Táblázat1[[#This Row],[Kész2020]],0)</f>
        <v>0</v>
      </c>
      <c r="N147" s="5">
        <f>IF(Táblázat1[[#This Row],[Karb./akt.év]]-Táblázat1[[#This Row],[Kész2020_2]]&lt;0,0,Táblázat1[[#This Row],[Karb./akt.év]]-Táblázat1[[#This Row],[Kész2020_2]])</f>
        <v>1</v>
      </c>
    </row>
    <row r="148" spans="1:14" hidden="1" x14ac:dyDescent="0.25">
      <c r="A148" s="17" t="s">
        <v>23</v>
      </c>
      <c r="B148" s="17" t="s">
        <v>526</v>
      </c>
      <c r="C148" s="17" t="s">
        <v>1735</v>
      </c>
      <c r="D148" s="17" t="s">
        <v>2291</v>
      </c>
      <c r="E148" s="17" t="s">
        <v>4144</v>
      </c>
      <c r="F148" s="17" t="s">
        <v>4145</v>
      </c>
      <c r="G148" s="17" t="s">
        <v>5487</v>
      </c>
      <c r="H148" t="s">
        <v>7476</v>
      </c>
      <c r="I148" s="1">
        <v>1</v>
      </c>
      <c r="J148" s="1">
        <v>1</v>
      </c>
      <c r="K148" t="s">
        <v>7017</v>
      </c>
      <c r="L148" s="5" t="e">
        <f>VLOOKUP(D:D,[1]Munka2!$A:$B,2,FALSE)</f>
        <v>#N/A</v>
      </c>
      <c r="M148" s="5">
        <f>_xlfn.IFNA(Táblázat1[[#This Row],[Kész2020]],0)</f>
        <v>0</v>
      </c>
      <c r="N148" s="5">
        <f>IF(Táblázat1[[#This Row],[Karb./akt.év]]-Táblázat1[[#This Row],[Kész2020_2]]&lt;0,0,Táblázat1[[#This Row],[Karb./akt.év]]-Táblázat1[[#This Row],[Kész2020_2]])</f>
        <v>1</v>
      </c>
    </row>
    <row r="149" spans="1:14" hidden="1" x14ac:dyDescent="0.25">
      <c r="A149" s="17" t="s">
        <v>23</v>
      </c>
      <c r="B149" s="17" t="s">
        <v>1589</v>
      </c>
      <c r="C149" s="17" t="s">
        <v>1735</v>
      </c>
      <c r="D149" s="17" t="s">
        <v>3436</v>
      </c>
      <c r="E149" s="17" t="s">
        <v>4956</v>
      </c>
      <c r="F149" s="17" t="s">
        <v>4957</v>
      </c>
      <c r="G149" s="17" t="s">
        <v>6489</v>
      </c>
      <c r="H149" t="s">
        <v>7476</v>
      </c>
      <c r="I149" s="1">
        <v>1</v>
      </c>
      <c r="J149" s="1">
        <v>1</v>
      </c>
      <c r="K149" t="s">
        <v>7017</v>
      </c>
      <c r="L149" s="5">
        <f>VLOOKUP(D:D,[1]Munka2!$A:$B,2,FALSE)</f>
        <v>1</v>
      </c>
      <c r="M149" s="5">
        <f>_xlfn.IFNA(Táblázat1[[#This Row],[Kész2020]],0)</f>
        <v>1</v>
      </c>
      <c r="N149" s="5">
        <f>IF(Táblázat1[[#This Row],[Karb./akt.év]]-Táblázat1[[#This Row],[Kész2020_2]]&lt;0,0,Táblázat1[[#This Row],[Karb./akt.év]]-Táblázat1[[#This Row],[Kész2020_2]])</f>
        <v>0</v>
      </c>
    </row>
    <row r="150" spans="1:14" hidden="1" x14ac:dyDescent="0.25">
      <c r="A150" s="17" t="s">
        <v>23</v>
      </c>
      <c r="B150" s="17" t="s">
        <v>782</v>
      </c>
      <c r="C150" s="17" t="s">
        <v>1735</v>
      </c>
      <c r="D150" s="17" t="s">
        <v>2558</v>
      </c>
      <c r="E150" s="17" t="s">
        <v>4353</v>
      </c>
      <c r="F150" s="17" t="s">
        <v>4354</v>
      </c>
      <c r="G150" s="17" t="s">
        <v>5726</v>
      </c>
      <c r="H150" t="s">
        <v>7476</v>
      </c>
      <c r="I150" s="1">
        <v>1</v>
      </c>
      <c r="J150" s="1">
        <v>1</v>
      </c>
      <c r="K150" t="s">
        <v>7017</v>
      </c>
      <c r="L150" s="5" t="e">
        <f>VLOOKUP(D:D,[1]Munka2!$A:$B,2,FALSE)</f>
        <v>#N/A</v>
      </c>
      <c r="M150" s="5">
        <f>_xlfn.IFNA(Táblázat1[[#This Row],[Kész2020]],0)</f>
        <v>0</v>
      </c>
      <c r="N150" s="5">
        <f>IF(Táblázat1[[#This Row],[Karb./akt.év]]-Táblázat1[[#This Row],[Kész2020_2]]&lt;0,0,Táblázat1[[#This Row],[Karb./akt.év]]-Táblázat1[[#This Row],[Kész2020_2]])</f>
        <v>1</v>
      </c>
    </row>
    <row r="151" spans="1:14" hidden="1" x14ac:dyDescent="0.25">
      <c r="A151" s="17" t="s">
        <v>23</v>
      </c>
      <c r="B151" s="17" t="s">
        <v>547</v>
      </c>
      <c r="C151" s="17" t="s">
        <v>1735</v>
      </c>
      <c r="D151" s="17" t="s">
        <v>2315</v>
      </c>
      <c r="E151" s="17" t="s">
        <v>4169</v>
      </c>
      <c r="F151" s="17" t="s">
        <v>4170</v>
      </c>
      <c r="G151" s="17" t="s">
        <v>5508</v>
      </c>
      <c r="H151" t="s">
        <v>7476</v>
      </c>
      <c r="I151" s="1">
        <v>1</v>
      </c>
      <c r="J151" s="1">
        <v>1</v>
      </c>
      <c r="K151" t="s">
        <v>6635</v>
      </c>
      <c r="L151" s="5" t="e">
        <f>VLOOKUP(D:D,[1]Munka2!$A:$B,2,FALSE)</f>
        <v>#N/A</v>
      </c>
      <c r="M151" s="5">
        <f>_xlfn.IFNA(Táblázat1[[#This Row],[Kész2020]],0)</f>
        <v>0</v>
      </c>
      <c r="N151" s="5">
        <f>IF(Táblázat1[[#This Row],[Karb./akt.év]]-Táblázat1[[#This Row],[Kész2020_2]]&lt;0,0,Táblázat1[[#This Row],[Karb./akt.év]]-Táblázat1[[#This Row],[Kész2020_2]])</f>
        <v>1</v>
      </c>
    </row>
    <row r="152" spans="1:14" hidden="1" x14ac:dyDescent="0.25">
      <c r="A152" s="17" t="s">
        <v>23</v>
      </c>
      <c r="B152" s="17" t="s">
        <v>1290</v>
      </c>
      <c r="C152" s="17" t="s">
        <v>1735</v>
      </c>
      <c r="D152" s="17" t="s">
        <v>3103</v>
      </c>
      <c r="E152" s="17" t="s">
        <v>4789</v>
      </c>
      <c r="F152" s="17" t="s">
        <v>4790</v>
      </c>
      <c r="G152" s="17" t="s">
        <v>6212</v>
      </c>
      <c r="H152" t="s">
        <v>7476</v>
      </c>
      <c r="I152" s="1">
        <v>1</v>
      </c>
      <c r="J152" s="1">
        <v>1</v>
      </c>
      <c r="K152" t="s">
        <v>6635</v>
      </c>
      <c r="L152" s="5" t="e">
        <f>VLOOKUP(D:D,[1]Munka2!$A:$B,2,FALSE)</f>
        <v>#N/A</v>
      </c>
      <c r="M152" s="5">
        <f>_xlfn.IFNA(Táblázat1[[#This Row],[Kész2020]],0)</f>
        <v>0</v>
      </c>
      <c r="N152" s="5">
        <f>IF(Táblázat1[[#This Row],[Karb./akt.év]]-Táblázat1[[#This Row],[Kész2020_2]]&lt;0,0,Táblázat1[[#This Row],[Karb./akt.év]]-Táblázat1[[#This Row],[Kész2020_2]])</f>
        <v>1</v>
      </c>
    </row>
    <row r="153" spans="1:14" hidden="1" x14ac:dyDescent="0.25">
      <c r="A153" s="17" t="s">
        <v>23</v>
      </c>
      <c r="B153" s="17" t="s">
        <v>1190</v>
      </c>
      <c r="C153" s="17" t="s">
        <v>1742</v>
      </c>
      <c r="D153" s="17" t="s">
        <v>2995</v>
      </c>
      <c r="E153" s="17" t="s">
        <v>3625</v>
      </c>
      <c r="F153" s="17" t="s">
        <v>3626</v>
      </c>
      <c r="G153" s="17" t="s">
        <v>6118</v>
      </c>
      <c r="H153" t="s">
        <v>7476</v>
      </c>
      <c r="I153" s="1">
        <v>1</v>
      </c>
      <c r="J153" s="1">
        <v>1</v>
      </c>
      <c r="K153" t="s">
        <v>6642</v>
      </c>
      <c r="L153" s="5" t="e">
        <f>VLOOKUP(D:D,[1]Munka2!$A:$B,2,FALSE)</f>
        <v>#N/A</v>
      </c>
      <c r="M153" s="5">
        <f>_xlfn.IFNA(Táblázat1[[#This Row],[Kész2020]],0)</f>
        <v>0</v>
      </c>
      <c r="N153" s="5">
        <f>IF(Táblázat1[[#This Row],[Karb./akt.év]]-Táblázat1[[#This Row],[Kész2020_2]]&lt;0,0,Táblázat1[[#This Row],[Karb./akt.év]]-Táblázat1[[#This Row],[Kész2020_2]])</f>
        <v>1</v>
      </c>
    </row>
    <row r="154" spans="1:14" hidden="1" x14ac:dyDescent="0.25">
      <c r="A154" s="17" t="s">
        <v>23</v>
      </c>
      <c r="B154" s="17" t="s">
        <v>971</v>
      </c>
      <c r="C154" s="17" t="s">
        <v>1735</v>
      </c>
      <c r="D154" s="17" t="s">
        <v>2758</v>
      </c>
      <c r="E154" s="17" t="s">
        <v>4556</v>
      </c>
      <c r="F154" s="17" t="s">
        <v>4557</v>
      </c>
      <c r="G154" s="17" t="s">
        <v>5899</v>
      </c>
      <c r="H154" t="s">
        <v>7476</v>
      </c>
      <c r="I154" s="1">
        <v>1</v>
      </c>
      <c r="J154" s="1">
        <v>1</v>
      </c>
      <c r="K154" t="s">
        <v>7017</v>
      </c>
      <c r="L154" s="5">
        <f>VLOOKUP(D:D,[1]Munka2!$A:$B,2,FALSE)</f>
        <v>1</v>
      </c>
      <c r="M154" s="5">
        <f>_xlfn.IFNA(Táblázat1[[#This Row],[Kész2020]],0)</f>
        <v>1</v>
      </c>
      <c r="N154" s="5">
        <f>IF(Táblázat1[[#This Row],[Karb./akt.év]]-Táblázat1[[#This Row],[Kész2020_2]]&lt;0,0,Táblázat1[[#This Row],[Karb./akt.év]]-Táblázat1[[#This Row],[Kész2020_2]])</f>
        <v>0</v>
      </c>
    </row>
    <row r="155" spans="1:14" ht="26.25" hidden="1" x14ac:dyDescent="0.25">
      <c r="A155" s="17" t="s">
        <v>23</v>
      </c>
      <c r="B155" s="17" t="s">
        <v>516</v>
      </c>
      <c r="C155" s="17" t="s">
        <v>1735</v>
      </c>
      <c r="D155" s="17" t="s">
        <v>2279</v>
      </c>
      <c r="E155" s="17" t="s">
        <v>4129</v>
      </c>
      <c r="F155" s="17" t="s">
        <v>4130</v>
      </c>
      <c r="G155" s="17" t="s">
        <v>5476</v>
      </c>
      <c r="H155" t="s">
        <v>7476</v>
      </c>
      <c r="I155" s="1">
        <v>1</v>
      </c>
      <c r="J155" s="1">
        <v>1</v>
      </c>
      <c r="K155" t="s">
        <v>6635</v>
      </c>
      <c r="L155" s="5">
        <f>VLOOKUP(D:D,[1]Munka2!$A:$B,2,FALSE)</f>
        <v>1</v>
      </c>
      <c r="M155" s="5">
        <f>_xlfn.IFNA(Táblázat1[[#This Row],[Kész2020]],0)</f>
        <v>1</v>
      </c>
      <c r="N155" s="5">
        <f>IF(Táblázat1[[#This Row],[Karb./akt.év]]-Táblázat1[[#This Row],[Kész2020_2]]&lt;0,0,Táblázat1[[#This Row],[Karb./akt.év]]-Táblázat1[[#This Row],[Kész2020_2]])</f>
        <v>0</v>
      </c>
    </row>
    <row r="156" spans="1:14" ht="26.25" customHeight="1" x14ac:dyDescent="0.25">
      <c r="A156" s="17" t="s">
        <v>23</v>
      </c>
      <c r="B156" s="17" t="s">
        <v>689</v>
      </c>
      <c r="C156" s="17" t="s">
        <v>1735</v>
      </c>
      <c r="D156" s="17" t="s">
        <v>2464</v>
      </c>
      <c r="E156" s="17" t="s">
        <v>4297</v>
      </c>
      <c r="F156" s="17" t="s">
        <v>4298</v>
      </c>
      <c r="G156" s="17" t="s">
        <v>5643</v>
      </c>
      <c r="H156" t="s">
        <v>7476</v>
      </c>
      <c r="I156" s="1">
        <v>1</v>
      </c>
      <c r="J156" s="1">
        <v>1</v>
      </c>
      <c r="K156" t="s">
        <v>7017</v>
      </c>
      <c r="L156" s="5" t="e">
        <f>VLOOKUP(D:D,[1]Munka2!$A:$B,2,FALSE)</f>
        <v>#N/A</v>
      </c>
      <c r="M156" s="5">
        <f>_xlfn.IFNA(Táblázat1[[#This Row],[Kész2020]],0)</f>
        <v>0</v>
      </c>
      <c r="N156" s="5">
        <f>IF(Táblázat1[[#This Row],[Karb./akt.év]]-Táblázat1[[#This Row],[Kész2020_2]]&lt;0,0,Táblázat1[[#This Row],[Karb./akt.év]]-Táblázat1[[#This Row],[Kész2020_2]])</f>
        <v>1</v>
      </c>
    </row>
    <row r="157" spans="1:14" ht="26.25" customHeight="1" x14ac:dyDescent="0.25">
      <c r="A157" s="17" t="s">
        <v>23</v>
      </c>
      <c r="B157" s="17" t="s">
        <v>232</v>
      </c>
      <c r="C157" s="17" t="s">
        <v>1735</v>
      </c>
      <c r="D157" s="17" t="s">
        <v>1976</v>
      </c>
      <c r="E157" s="17" t="s">
        <v>3847</v>
      </c>
      <c r="F157" s="17" t="s">
        <v>3848</v>
      </c>
      <c r="G157" s="17" t="s">
        <v>5200</v>
      </c>
      <c r="H157" t="s">
        <v>7476</v>
      </c>
      <c r="I157" s="1">
        <v>1</v>
      </c>
      <c r="J157" s="1">
        <v>1</v>
      </c>
      <c r="K157" t="s">
        <v>7017</v>
      </c>
      <c r="L157" s="5" t="e">
        <f>VLOOKUP(D:D,[1]Munka2!$A:$B,2,FALSE)</f>
        <v>#N/A</v>
      </c>
      <c r="M157" s="5">
        <f>_xlfn.IFNA(Táblázat1[[#This Row],[Kész2020]],0)</f>
        <v>0</v>
      </c>
      <c r="N157" s="5">
        <f>IF(Táblázat1[[#This Row],[Karb./akt.év]]-Táblázat1[[#This Row],[Kész2020_2]]&lt;0,0,Táblázat1[[#This Row],[Karb./akt.év]]-Táblázat1[[#This Row],[Kész2020_2]])</f>
        <v>1</v>
      </c>
    </row>
    <row r="158" spans="1:14" ht="26.25" customHeight="1" x14ac:dyDescent="0.25">
      <c r="A158" s="17" t="s">
        <v>6</v>
      </c>
      <c r="B158" s="17" t="s">
        <v>976</v>
      </c>
      <c r="C158" s="17" t="s">
        <v>1737</v>
      </c>
      <c r="D158" s="17" t="s">
        <v>2762</v>
      </c>
      <c r="E158" s="17" t="s">
        <v>4562</v>
      </c>
      <c r="F158" s="17" t="s">
        <v>3598</v>
      </c>
      <c r="G158" s="17" t="s">
        <v>5904</v>
      </c>
      <c r="H158" t="s">
        <v>7476</v>
      </c>
      <c r="I158" s="1">
        <v>2</v>
      </c>
      <c r="J158" s="1">
        <v>2</v>
      </c>
      <c r="K158" t="s">
        <v>6633</v>
      </c>
      <c r="L158" s="5">
        <f>VLOOKUP(D:D,[1]Munka2!$A:$B,2,FALSE)</f>
        <v>1</v>
      </c>
      <c r="M158" s="5">
        <f>_xlfn.IFNA(Táblázat1[[#This Row],[Kész2020]],0)</f>
        <v>1</v>
      </c>
      <c r="N158" s="5">
        <f>IF(Táblázat1[[#This Row],[Karb./akt.év]]-Táblázat1[[#This Row],[Kész2020_2]]&lt;0,0,Táblázat1[[#This Row],[Karb./akt.év]]-Táblázat1[[#This Row],[Kész2020_2]])</f>
        <v>1</v>
      </c>
    </row>
    <row r="159" spans="1:14" ht="26.25" customHeight="1" x14ac:dyDescent="0.25">
      <c r="A159" s="17" t="s">
        <v>6</v>
      </c>
      <c r="B159" s="17" t="s">
        <v>274</v>
      </c>
      <c r="C159" s="17" t="s">
        <v>1737</v>
      </c>
      <c r="D159" s="17" t="s">
        <v>2022</v>
      </c>
      <c r="E159" s="17" t="s">
        <v>3896</v>
      </c>
      <c r="F159" s="17" t="s">
        <v>3598</v>
      </c>
      <c r="G159" s="17" t="s">
        <v>5241</v>
      </c>
      <c r="H159" t="s">
        <v>7476</v>
      </c>
      <c r="I159" s="1">
        <v>2</v>
      </c>
      <c r="J159" s="1">
        <v>2</v>
      </c>
      <c r="K159" t="s">
        <v>8101</v>
      </c>
      <c r="L159" s="5" t="e">
        <f>VLOOKUP(D:D,[1]Munka2!$A:$B,2,FALSE)</f>
        <v>#N/A</v>
      </c>
      <c r="M159" s="5">
        <f>_xlfn.IFNA(Táblázat1[[#This Row],[Kész2020]],0)</f>
        <v>0</v>
      </c>
      <c r="N159" s="5">
        <f>IF(Táblázat1[[#This Row],[Karb./akt.év]]-Táblázat1[[#This Row],[Kész2020_2]]&lt;0,0,Táblázat1[[#This Row],[Karb./akt.év]]-Táblázat1[[#This Row],[Kész2020_2]])</f>
        <v>2</v>
      </c>
    </row>
    <row r="160" spans="1:14" ht="26.25" customHeight="1" x14ac:dyDescent="0.25">
      <c r="A160" s="17" t="s">
        <v>6</v>
      </c>
      <c r="B160" s="17" t="s">
        <v>1551</v>
      </c>
      <c r="C160" s="17" t="s">
        <v>1736</v>
      </c>
      <c r="D160" s="17" t="s">
        <v>3396</v>
      </c>
      <c r="E160" s="17" t="s">
        <v>3670</v>
      </c>
      <c r="F160" s="17" t="s">
        <v>3598</v>
      </c>
      <c r="G160" s="17" t="s">
        <v>6456</v>
      </c>
      <c r="H160" t="s">
        <v>7476</v>
      </c>
      <c r="I160" s="1">
        <v>2</v>
      </c>
      <c r="J160" s="1">
        <v>2</v>
      </c>
      <c r="K160" t="s">
        <v>8101</v>
      </c>
      <c r="L160" s="5" t="e">
        <f>VLOOKUP(D:D,[1]Munka2!$A:$B,2,FALSE)</f>
        <v>#N/A</v>
      </c>
      <c r="M160" s="5">
        <f>_xlfn.IFNA(Táblázat1[[#This Row],[Kész2020]],0)</f>
        <v>0</v>
      </c>
      <c r="N160" s="5">
        <f>IF(Táblázat1[[#This Row],[Karb./akt.év]]-Táblázat1[[#This Row],[Kész2020_2]]&lt;0,0,Táblázat1[[#This Row],[Karb./akt.év]]-Táblázat1[[#This Row],[Kész2020_2]])</f>
        <v>2</v>
      </c>
    </row>
    <row r="161" spans="1:14" ht="26.25" customHeight="1" x14ac:dyDescent="0.25">
      <c r="A161" s="17" t="s">
        <v>6</v>
      </c>
      <c r="B161" s="17" t="s">
        <v>419</v>
      </c>
      <c r="C161" s="17" t="s">
        <v>1735</v>
      </c>
      <c r="D161" s="17" t="s">
        <v>2174</v>
      </c>
      <c r="E161" s="17" t="s">
        <v>3831</v>
      </c>
      <c r="F161" s="17" t="s">
        <v>3598</v>
      </c>
      <c r="G161" s="17" t="s">
        <v>5384</v>
      </c>
      <c r="H161" t="s">
        <v>7476</v>
      </c>
      <c r="I161" s="1">
        <v>2</v>
      </c>
      <c r="J161" s="1">
        <v>2</v>
      </c>
      <c r="K161" t="s">
        <v>6785</v>
      </c>
      <c r="L161" s="5" t="e">
        <f>VLOOKUP(D:D,[1]Munka2!$A:$B,2,FALSE)</f>
        <v>#N/A</v>
      </c>
      <c r="M161" s="5">
        <f>_xlfn.IFNA(Táblázat1[[#This Row],[Kész2020]],0)</f>
        <v>0</v>
      </c>
      <c r="N161" s="5">
        <f>IF(Táblázat1[[#This Row],[Karb./akt.év]]-Táblázat1[[#This Row],[Kész2020_2]]&lt;0,0,Táblázat1[[#This Row],[Karb./akt.év]]-Táblázat1[[#This Row],[Kész2020_2]])</f>
        <v>2</v>
      </c>
    </row>
    <row r="162" spans="1:14" ht="26.25" customHeight="1" x14ac:dyDescent="0.25">
      <c r="A162" s="17" t="s">
        <v>6</v>
      </c>
      <c r="B162" s="17" t="s">
        <v>783</v>
      </c>
      <c r="C162" s="17" t="s">
        <v>1737</v>
      </c>
      <c r="D162" s="17" t="s">
        <v>2559</v>
      </c>
      <c r="E162" s="17" t="s">
        <v>4050</v>
      </c>
      <c r="F162" s="17" t="s">
        <v>3598</v>
      </c>
      <c r="G162" s="17" t="s">
        <v>5727</v>
      </c>
      <c r="H162" t="s">
        <v>7476</v>
      </c>
      <c r="I162" s="1">
        <v>2</v>
      </c>
      <c r="J162" s="1">
        <v>2</v>
      </c>
      <c r="K162" t="s">
        <v>8101</v>
      </c>
      <c r="L162" s="5" t="e">
        <f>VLOOKUP(D:D,[1]Munka2!$A:$B,2,FALSE)</f>
        <v>#N/A</v>
      </c>
      <c r="M162" s="5">
        <f>_xlfn.IFNA(Táblázat1[[#This Row],[Kész2020]],0)</f>
        <v>0</v>
      </c>
      <c r="N162" s="5">
        <f>IF(Táblázat1[[#This Row],[Karb./akt.év]]-Táblázat1[[#This Row],[Kész2020_2]]&lt;0,0,Táblázat1[[#This Row],[Karb./akt.év]]-Táblázat1[[#This Row],[Kész2020_2]])</f>
        <v>2</v>
      </c>
    </row>
    <row r="163" spans="1:14" hidden="1" x14ac:dyDescent="0.25">
      <c r="A163" s="17" t="s">
        <v>6</v>
      </c>
      <c r="B163" s="17" t="s">
        <v>6799</v>
      </c>
      <c r="C163" s="17" t="s">
        <v>1737</v>
      </c>
      <c r="D163" s="17" t="s">
        <v>2201</v>
      </c>
      <c r="E163" s="17" t="s">
        <v>4052</v>
      </c>
      <c r="F163" s="17" t="s">
        <v>3598</v>
      </c>
      <c r="G163" s="17" t="s">
        <v>5409</v>
      </c>
      <c r="H163" t="s">
        <v>7476</v>
      </c>
      <c r="I163" s="1">
        <v>2</v>
      </c>
      <c r="J163" s="1">
        <v>2</v>
      </c>
      <c r="K163" t="s">
        <v>7017</v>
      </c>
      <c r="L163" s="5">
        <f>VLOOKUP(D:D,[1]Munka2!$A:$B,2,FALSE)</f>
        <v>1</v>
      </c>
      <c r="M163" s="5">
        <f>_xlfn.IFNA(Táblázat1[[#This Row],[Kész2020]],0)</f>
        <v>1</v>
      </c>
      <c r="N163" s="5">
        <f>IF(Táblázat1[[#This Row],[Karb./akt.év]]-Táblázat1[[#This Row],[Kész2020_2]]&lt;0,0,Táblázat1[[#This Row],[Karb./akt.év]]-Táblázat1[[#This Row],[Kész2020_2]])</f>
        <v>1</v>
      </c>
    </row>
    <row r="164" spans="1:14" hidden="1" x14ac:dyDescent="0.25">
      <c r="A164" s="17" t="s">
        <v>6</v>
      </c>
      <c r="B164" s="17" t="s">
        <v>438</v>
      </c>
      <c r="C164" s="17" t="s">
        <v>1743</v>
      </c>
      <c r="D164" s="17" t="s">
        <v>7404</v>
      </c>
      <c r="E164" s="17" t="s">
        <v>3745</v>
      </c>
      <c r="F164" s="17" t="s">
        <v>3598</v>
      </c>
      <c r="G164" s="17" t="s">
        <v>5404</v>
      </c>
      <c r="H164" t="s">
        <v>7476</v>
      </c>
      <c r="I164" s="1">
        <v>2</v>
      </c>
      <c r="J164" s="1">
        <v>2</v>
      </c>
      <c r="K164" t="s">
        <v>8101</v>
      </c>
      <c r="L164" s="5">
        <f>VLOOKUP(D:D,[1]Munka2!$A:$B,2,FALSE)</f>
        <v>1</v>
      </c>
      <c r="M164" s="5">
        <f>_xlfn.IFNA(Táblázat1[[#This Row],[Kész2020]],0)</f>
        <v>1</v>
      </c>
      <c r="N164" s="5">
        <f>IF(Táblázat1[[#This Row],[Karb./akt.év]]-Táblázat1[[#This Row],[Kész2020_2]]&lt;0,0,Táblázat1[[#This Row],[Karb./akt.év]]-Táblázat1[[#This Row],[Kész2020_2]])</f>
        <v>1</v>
      </c>
    </row>
    <row r="165" spans="1:14" ht="26.25" customHeight="1" x14ac:dyDescent="0.25">
      <c r="A165" s="17" t="s">
        <v>6</v>
      </c>
      <c r="B165" s="17" t="s">
        <v>1074</v>
      </c>
      <c r="C165" s="17" t="s">
        <v>1737</v>
      </c>
      <c r="D165" s="17" t="s">
        <v>2865</v>
      </c>
      <c r="E165" s="17" t="s">
        <v>4050</v>
      </c>
      <c r="F165" s="17" t="s">
        <v>3598</v>
      </c>
      <c r="G165" s="17" t="s">
        <v>6004</v>
      </c>
      <c r="H165" t="s">
        <v>7476</v>
      </c>
      <c r="I165" s="1">
        <v>2</v>
      </c>
      <c r="J165" s="1">
        <v>2</v>
      </c>
      <c r="K165" t="s">
        <v>8101</v>
      </c>
      <c r="L165" s="5" t="e">
        <f>VLOOKUP(D:D,[1]Munka2!$A:$B,2,FALSE)</f>
        <v>#N/A</v>
      </c>
      <c r="M165" s="5">
        <f>_xlfn.IFNA(Táblázat1[[#This Row],[Kész2020]],0)</f>
        <v>0</v>
      </c>
      <c r="N165" s="5">
        <f>IF(Táblázat1[[#This Row],[Karb./akt.év]]-Táblázat1[[#This Row],[Kész2020_2]]&lt;0,0,Táblázat1[[#This Row],[Karb./akt.év]]-Táblázat1[[#This Row],[Kész2020_2]])</f>
        <v>2</v>
      </c>
    </row>
    <row r="166" spans="1:14" ht="26.25" customHeight="1" x14ac:dyDescent="0.25">
      <c r="A166" s="17" t="s">
        <v>6</v>
      </c>
      <c r="B166" s="17" t="s">
        <v>1424</v>
      </c>
      <c r="C166" s="17" t="s">
        <v>1737</v>
      </c>
      <c r="D166" s="17" t="s">
        <v>3254</v>
      </c>
      <c r="E166" s="17" t="s">
        <v>4280</v>
      </c>
      <c r="F166" s="17" t="s">
        <v>3598</v>
      </c>
      <c r="G166" s="17" t="s">
        <v>6328</v>
      </c>
      <c r="H166" t="s">
        <v>7476</v>
      </c>
      <c r="I166" s="1">
        <v>2</v>
      </c>
      <c r="J166" s="1">
        <v>2</v>
      </c>
      <c r="K166" t="s">
        <v>6633</v>
      </c>
      <c r="L166" s="5" t="e">
        <f>VLOOKUP(D:D,[1]Munka2!$A:$B,2,FALSE)</f>
        <v>#N/A</v>
      </c>
      <c r="M166" s="5">
        <f>_xlfn.IFNA(Táblázat1[[#This Row],[Kész2020]],0)</f>
        <v>0</v>
      </c>
      <c r="N166" s="5">
        <f>IF(Táblázat1[[#This Row],[Karb./akt.év]]-Táblázat1[[#This Row],[Kész2020_2]]&lt;0,0,Táblázat1[[#This Row],[Karb./akt.év]]-Táblázat1[[#This Row],[Kész2020_2]])</f>
        <v>2</v>
      </c>
    </row>
    <row r="167" spans="1:14" hidden="1" x14ac:dyDescent="0.25">
      <c r="A167" s="17" t="s">
        <v>6</v>
      </c>
      <c r="B167" s="17" t="s">
        <v>357</v>
      </c>
      <c r="C167" s="17" t="s">
        <v>1737</v>
      </c>
      <c r="D167" s="17" t="s">
        <v>2112</v>
      </c>
      <c r="E167" s="17" t="s">
        <v>3689</v>
      </c>
      <c r="F167" s="17" t="s">
        <v>3690</v>
      </c>
      <c r="G167" s="17" t="s">
        <v>5324</v>
      </c>
      <c r="H167" t="s">
        <v>7476</v>
      </c>
      <c r="I167" s="1">
        <v>2</v>
      </c>
      <c r="J167" s="1">
        <v>2</v>
      </c>
      <c r="K167" t="s">
        <v>6784</v>
      </c>
      <c r="L167" s="5">
        <f>VLOOKUP(D:D,[1]Munka2!$A:$B,2,FALSE)</f>
        <v>2</v>
      </c>
      <c r="M167" s="5">
        <f>_xlfn.IFNA(Táblázat1[[#This Row],[Kész2020]],0)</f>
        <v>2</v>
      </c>
      <c r="N167" s="5">
        <f>IF(Táblázat1[[#This Row],[Karb./akt.év]]-Táblázat1[[#This Row],[Kész2020_2]]&lt;0,0,Táblázat1[[#This Row],[Karb./akt.év]]-Táblázat1[[#This Row],[Kész2020_2]])</f>
        <v>0</v>
      </c>
    </row>
    <row r="168" spans="1:14" hidden="1" x14ac:dyDescent="0.25">
      <c r="A168" s="17" t="s">
        <v>6</v>
      </c>
      <c r="B168" s="17" t="s">
        <v>1553</v>
      </c>
      <c r="C168" s="17" t="s">
        <v>1737</v>
      </c>
      <c r="D168" s="17" t="s">
        <v>3398</v>
      </c>
      <c r="E168" s="17" t="s">
        <v>4060</v>
      </c>
      <c r="F168" s="17" t="s">
        <v>3598</v>
      </c>
      <c r="G168" s="17" t="s">
        <v>6458</v>
      </c>
      <c r="H168" t="s">
        <v>7476</v>
      </c>
      <c r="I168" s="1">
        <v>2</v>
      </c>
      <c r="J168" s="1">
        <v>2</v>
      </c>
      <c r="K168" t="s">
        <v>6633</v>
      </c>
      <c r="L168" s="5">
        <f>VLOOKUP(D:D,[1]Munka2!$A:$B,2,FALSE)</f>
        <v>1</v>
      </c>
      <c r="M168" s="5">
        <f>_xlfn.IFNA(Táblázat1[[#This Row],[Kész2020]],0)</f>
        <v>1</v>
      </c>
      <c r="N168" s="5">
        <f>IF(Táblázat1[[#This Row],[Karb./akt.év]]-Táblázat1[[#This Row],[Kész2020_2]]&lt;0,0,Táblázat1[[#This Row],[Karb./akt.év]]-Táblázat1[[#This Row],[Kész2020_2]])</f>
        <v>1</v>
      </c>
    </row>
    <row r="169" spans="1:14" hidden="1" x14ac:dyDescent="0.25">
      <c r="A169" s="17" t="s">
        <v>6</v>
      </c>
      <c r="B169" s="17" t="s">
        <v>538</v>
      </c>
      <c r="C169" s="17" t="s">
        <v>1737</v>
      </c>
      <c r="D169" s="17" t="s">
        <v>2304</v>
      </c>
      <c r="E169" s="17" t="s">
        <v>4103</v>
      </c>
      <c r="F169" s="17" t="s">
        <v>4104</v>
      </c>
      <c r="G169" s="17" t="s">
        <v>5497</v>
      </c>
      <c r="H169" t="s">
        <v>7476</v>
      </c>
      <c r="I169" s="1">
        <v>2</v>
      </c>
      <c r="J169" s="1">
        <v>2</v>
      </c>
      <c r="K169" t="s">
        <v>7014</v>
      </c>
      <c r="L169" s="5">
        <f>VLOOKUP(D:D,[1]Munka2!$A:$B,2,FALSE)</f>
        <v>1</v>
      </c>
      <c r="M169" s="5">
        <f>_xlfn.IFNA(Táblázat1[[#This Row],[Kész2020]],0)</f>
        <v>1</v>
      </c>
      <c r="N169" s="5">
        <f>IF(Táblázat1[[#This Row],[Karb./akt.év]]-Táblázat1[[#This Row],[Kész2020_2]]&lt;0,0,Táblázat1[[#This Row],[Karb./akt.év]]-Táblázat1[[#This Row],[Kész2020_2]])</f>
        <v>1</v>
      </c>
    </row>
    <row r="170" spans="1:14" hidden="1" x14ac:dyDescent="0.25">
      <c r="A170" s="17" t="s">
        <v>6</v>
      </c>
      <c r="B170" s="17" t="s">
        <v>853</v>
      </c>
      <c r="C170" s="17" t="s">
        <v>1737</v>
      </c>
      <c r="D170" s="17" t="s">
        <v>2634</v>
      </c>
      <c r="E170" s="17" t="s">
        <v>4421</v>
      </c>
      <c r="F170" s="17" t="s">
        <v>3598</v>
      </c>
      <c r="G170" s="17" t="s">
        <v>5792</v>
      </c>
      <c r="H170" t="s">
        <v>7476</v>
      </c>
      <c r="I170" s="1">
        <v>2</v>
      </c>
      <c r="J170" s="1">
        <v>2</v>
      </c>
      <c r="K170" t="s">
        <v>6636</v>
      </c>
      <c r="L170" s="5">
        <f>VLOOKUP(D:D,[1]Munka2!$A:$B,2,FALSE)</f>
        <v>1</v>
      </c>
      <c r="M170" s="5">
        <f>_xlfn.IFNA(Táblázat1[[#This Row],[Kész2020]],0)</f>
        <v>1</v>
      </c>
      <c r="N170" s="5">
        <f>IF(Táblázat1[[#This Row],[Karb./akt.év]]-Táblázat1[[#This Row],[Kész2020_2]]&lt;0,0,Táblázat1[[#This Row],[Karb./akt.év]]-Táblázat1[[#This Row],[Kész2020_2]])</f>
        <v>1</v>
      </c>
    </row>
    <row r="171" spans="1:14" hidden="1" x14ac:dyDescent="0.25">
      <c r="A171" s="17" t="s">
        <v>6</v>
      </c>
      <c r="B171" s="17" t="s">
        <v>1633</v>
      </c>
      <c r="C171" s="17" t="s">
        <v>1742</v>
      </c>
      <c r="D171" s="17" t="s">
        <v>3486</v>
      </c>
      <c r="E171" s="17" t="s">
        <v>4809</v>
      </c>
      <c r="F171" s="17" t="s">
        <v>3598</v>
      </c>
      <c r="G171" s="17" t="s">
        <v>6529</v>
      </c>
      <c r="H171" t="s">
        <v>7476</v>
      </c>
      <c r="I171" s="1">
        <v>2</v>
      </c>
      <c r="J171" s="1">
        <v>2</v>
      </c>
      <c r="K171" t="s">
        <v>6633</v>
      </c>
      <c r="L171" s="5">
        <f>VLOOKUP(D:D,[1]Munka2!$A:$B,2,FALSE)</f>
        <v>1</v>
      </c>
      <c r="M171" s="5">
        <f>_xlfn.IFNA(Táblázat1[[#This Row],[Kész2020]],0)</f>
        <v>1</v>
      </c>
      <c r="N171" s="5">
        <f>IF(Táblázat1[[#This Row],[Karb./akt.év]]-Táblázat1[[#This Row],[Kész2020_2]]&lt;0,0,Táblázat1[[#This Row],[Karb./akt.év]]-Táblázat1[[#This Row],[Kész2020_2]])</f>
        <v>1</v>
      </c>
    </row>
    <row r="172" spans="1:14" ht="26.25" customHeight="1" x14ac:dyDescent="0.25">
      <c r="A172" s="17" t="s">
        <v>6</v>
      </c>
      <c r="B172" s="17" t="s">
        <v>557</v>
      </c>
      <c r="C172" s="17" t="s">
        <v>1737</v>
      </c>
      <c r="D172" s="17" t="s">
        <v>2327</v>
      </c>
      <c r="E172" s="17" t="s">
        <v>4186</v>
      </c>
      <c r="F172" s="17" t="s">
        <v>3598</v>
      </c>
      <c r="G172" s="17" t="s">
        <v>5519</v>
      </c>
      <c r="H172" t="s">
        <v>7476</v>
      </c>
      <c r="I172" s="1">
        <v>2</v>
      </c>
      <c r="J172" s="1">
        <v>2</v>
      </c>
      <c r="K172" t="s">
        <v>6785</v>
      </c>
      <c r="L172" s="5" t="e">
        <f>VLOOKUP(D:D,[1]Munka2!$A:$B,2,FALSE)</f>
        <v>#N/A</v>
      </c>
      <c r="M172" s="5">
        <f>_xlfn.IFNA(Táblázat1[[#This Row],[Kész2020]],0)</f>
        <v>0</v>
      </c>
      <c r="N172" s="5">
        <f>IF(Táblázat1[[#This Row],[Karb./akt.év]]-Táblázat1[[#This Row],[Kész2020_2]]&lt;0,0,Táblázat1[[#This Row],[Karb./akt.év]]-Táblázat1[[#This Row],[Kész2020_2]])</f>
        <v>2</v>
      </c>
    </row>
    <row r="173" spans="1:14" hidden="1" x14ac:dyDescent="0.25">
      <c r="A173" s="17" t="s">
        <v>6</v>
      </c>
      <c r="B173" s="17" t="s">
        <v>1722</v>
      </c>
      <c r="C173" s="17" t="s">
        <v>1737</v>
      </c>
      <c r="D173" s="17" t="s">
        <v>3581</v>
      </c>
      <c r="E173" s="17" t="s">
        <v>4025</v>
      </c>
      <c r="F173" s="17" t="s">
        <v>3598</v>
      </c>
      <c r="G173" s="17" t="s">
        <v>6617</v>
      </c>
      <c r="H173" t="s">
        <v>7476</v>
      </c>
      <c r="I173" s="1">
        <v>2</v>
      </c>
      <c r="J173" s="1">
        <v>2</v>
      </c>
      <c r="K173" t="s">
        <v>6785</v>
      </c>
      <c r="L173" s="5">
        <f>VLOOKUP(D:D,[1]Munka2!$A:$B,2,FALSE)</f>
        <v>1</v>
      </c>
      <c r="M173" s="5">
        <f>_xlfn.IFNA(Táblázat1[[#This Row],[Kész2020]],0)</f>
        <v>1</v>
      </c>
      <c r="N173" s="5">
        <f>IF(Táblázat1[[#This Row],[Karb./akt.év]]-Táblázat1[[#This Row],[Kész2020_2]]&lt;0,0,Táblázat1[[#This Row],[Karb./akt.év]]-Táblázat1[[#This Row],[Kész2020_2]])</f>
        <v>1</v>
      </c>
    </row>
    <row r="174" spans="1:14" hidden="1" x14ac:dyDescent="0.25">
      <c r="A174" s="17" t="s">
        <v>6</v>
      </c>
      <c r="B174" s="17" t="s">
        <v>626</v>
      </c>
      <c r="C174" s="17" t="s">
        <v>1754</v>
      </c>
      <c r="D174" s="17" t="s">
        <v>2400</v>
      </c>
      <c r="E174" s="17" t="s">
        <v>4242</v>
      </c>
      <c r="F174" s="17" t="s">
        <v>4243</v>
      </c>
      <c r="G174" s="17" t="s">
        <v>5586</v>
      </c>
      <c r="H174" t="s">
        <v>7476</v>
      </c>
      <c r="I174" s="1">
        <v>2</v>
      </c>
      <c r="J174" s="1">
        <v>2</v>
      </c>
      <c r="K174" t="s">
        <v>6633</v>
      </c>
      <c r="L174" s="5">
        <f>VLOOKUP(D:D,[1]Munka2!$A:$B,2,FALSE)</f>
        <v>1</v>
      </c>
      <c r="M174" s="5">
        <f>_xlfn.IFNA(Táblázat1[[#This Row],[Kész2020]],0)</f>
        <v>1</v>
      </c>
      <c r="N174" s="5">
        <f>IF(Táblázat1[[#This Row],[Karb./akt.év]]-Táblázat1[[#This Row],[Kész2020_2]]&lt;0,0,Táblázat1[[#This Row],[Karb./akt.év]]-Táblázat1[[#This Row],[Kész2020_2]])</f>
        <v>1</v>
      </c>
    </row>
    <row r="175" spans="1:14" ht="26.25" customHeight="1" x14ac:dyDescent="0.25">
      <c r="A175" s="17" t="s">
        <v>6</v>
      </c>
      <c r="B175" s="17" t="s">
        <v>1719</v>
      </c>
      <c r="C175" s="17" t="s">
        <v>1735</v>
      </c>
      <c r="D175" s="17" t="s">
        <v>3576</v>
      </c>
      <c r="E175" s="17" t="s">
        <v>4987</v>
      </c>
      <c r="F175" s="17" t="s">
        <v>3598</v>
      </c>
      <c r="G175" s="17" t="s">
        <v>6612</v>
      </c>
      <c r="H175" t="s">
        <v>7476</v>
      </c>
      <c r="I175" s="1">
        <v>2</v>
      </c>
      <c r="J175" s="1">
        <v>2</v>
      </c>
      <c r="K175" t="s">
        <v>7017</v>
      </c>
      <c r="L175" s="5" t="e">
        <f>VLOOKUP(D:D,[1]Munka2!$A:$B,2,FALSE)</f>
        <v>#N/A</v>
      </c>
      <c r="M175" s="5">
        <f>_xlfn.IFNA(Táblázat1[[#This Row],[Kész2020]],0)</f>
        <v>0</v>
      </c>
      <c r="N175" s="5">
        <f>IF(Táblázat1[[#This Row],[Karb./akt.év]]-Táblázat1[[#This Row],[Kész2020_2]]&lt;0,0,Táblázat1[[#This Row],[Karb./akt.év]]-Táblázat1[[#This Row],[Kész2020_2]])</f>
        <v>2</v>
      </c>
    </row>
    <row r="176" spans="1:14" ht="26.25" customHeight="1" x14ac:dyDescent="0.25">
      <c r="A176" s="17" t="s">
        <v>6</v>
      </c>
      <c r="B176" s="17" t="s">
        <v>1081</v>
      </c>
      <c r="C176" s="17" t="s">
        <v>1737</v>
      </c>
      <c r="D176" s="17" t="s">
        <v>2872</v>
      </c>
      <c r="E176" s="17" t="s">
        <v>3817</v>
      </c>
      <c r="F176" s="17" t="s">
        <v>3598</v>
      </c>
      <c r="G176" s="17" t="s">
        <v>6009</v>
      </c>
      <c r="H176" t="s">
        <v>7476</v>
      </c>
      <c r="I176" s="1">
        <v>2</v>
      </c>
      <c r="J176" s="1">
        <v>2</v>
      </c>
      <c r="K176" t="s">
        <v>7014</v>
      </c>
      <c r="L176" s="5" t="e">
        <f>VLOOKUP(D:D,[1]Munka2!$A:$B,2,FALSE)</f>
        <v>#N/A</v>
      </c>
      <c r="M176" s="5">
        <f>_xlfn.IFNA(Táblázat1[[#This Row],[Kész2020]],0)</f>
        <v>0</v>
      </c>
      <c r="N176" s="5">
        <f>IF(Táblázat1[[#This Row],[Karb./akt.év]]-Táblázat1[[#This Row],[Kész2020_2]]&lt;0,0,Táblázat1[[#This Row],[Karb./akt.év]]-Táblázat1[[#This Row],[Kész2020_2]])</f>
        <v>2</v>
      </c>
    </row>
    <row r="177" spans="1:14" hidden="1" x14ac:dyDescent="0.25">
      <c r="A177" s="17" t="s">
        <v>6</v>
      </c>
      <c r="B177" s="17" t="s">
        <v>1619</v>
      </c>
      <c r="C177" s="17" t="s">
        <v>1737</v>
      </c>
      <c r="D177" s="17" t="s">
        <v>3470</v>
      </c>
      <c r="E177" s="17" t="s">
        <v>3670</v>
      </c>
      <c r="F177" s="17" t="s">
        <v>3598</v>
      </c>
      <c r="G177" s="17" t="s">
        <v>6521</v>
      </c>
      <c r="H177" t="s">
        <v>7476</v>
      </c>
      <c r="I177" s="1">
        <v>2</v>
      </c>
      <c r="J177" s="1">
        <v>2</v>
      </c>
      <c r="K177" t="s">
        <v>8101</v>
      </c>
      <c r="L177" s="5">
        <f>VLOOKUP(D:D,[1]Munka2!$A:$B,2,FALSE)</f>
        <v>1</v>
      </c>
      <c r="M177" s="5">
        <f>_xlfn.IFNA(Táblázat1[[#This Row],[Kész2020]],0)</f>
        <v>1</v>
      </c>
      <c r="N177" s="5">
        <f>IF(Táblázat1[[#This Row],[Karb./akt.év]]-Táblázat1[[#This Row],[Kész2020_2]]&lt;0,0,Táblázat1[[#This Row],[Karb./akt.év]]-Táblázat1[[#This Row],[Kész2020_2]])</f>
        <v>1</v>
      </c>
    </row>
    <row r="178" spans="1:14" hidden="1" x14ac:dyDescent="0.25">
      <c r="A178" s="17" t="s">
        <v>6</v>
      </c>
      <c r="B178" s="17" t="s">
        <v>693</v>
      </c>
      <c r="C178" s="17" t="s">
        <v>1736</v>
      </c>
      <c r="D178" s="17" t="s">
        <v>2468</v>
      </c>
      <c r="E178" s="17" t="s">
        <v>4299</v>
      </c>
      <c r="F178" s="17" t="s">
        <v>3598</v>
      </c>
      <c r="G178" s="17" t="s">
        <v>5647</v>
      </c>
      <c r="H178" t="s">
        <v>7476</v>
      </c>
      <c r="I178" s="1">
        <v>2</v>
      </c>
      <c r="J178" s="1">
        <v>2</v>
      </c>
      <c r="K178" t="s">
        <v>8101</v>
      </c>
      <c r="L178" s="5">
        <f>VLOOKUP(D:D,[1]Munka2!$A:$B,2,FALSE)</f>
        <v>1</v>
      </c>
      <c r="M178" s="5">
        <f>_xlfn.IFNA(Táblázat1[[#This Row],[Kész2020]],0)</f>
        <v>1</v>
      </c>
      <c r="N178" s="5">
        <f>IF(Táblázat1[[#This Row],[Karb./akt.év]]-Táblázat1[[#This Row],[Kész2020_2]]&lt;0,0,Táblázat1[[#This Row],[Karb./akt.év]]-Táblázat1[[#This Row],[Kész2020_2]])</f>
        <v>1</v>
      </c>
    </row>
    <row r="179" spans="1:14" hidden="1" x14ac:dyDescent="0.25">
      <c r="A179" s="17" t="s">
        <v>6</v>
      </c>
      <c r="B179" s="17" t="s">
        <v>211</v>
      </c>
      <c r="C179" s="17" t="s">
        <v>1737</v>
      </c>
      <c r="D179" s="17" t="s">
        <v>1952</v>
      </c>
      <c r="E179" s="17" t="s">
        <v>3693</v>
      </c>
      <c r="F179" s="17" t="s">
        <v>3694</v>
      </c>
      <c r="G179" s="17" t="s">
        <v>5180</v>
      </c>
      <c r="H179" t="s">
        <v>7476</v>
      </c>
      <c r="I179" s="1">
        <v>2</v>
      </c>
      <c r="J179" s="1">
        <v>2</v>
      </c>
      <c r="K179" t="s">
        <v>6641</v>
      </c>
      <c r="L179" s="5">
        <f>VLOOKUP(D:D,[1]Munka2!$A:$B,2,FALSE)</f>
        <v>1</v>
      </c>
      <c r="M179" s="5">
        <f>_xlfn.IFNA(Táblázat1[[#This Row],[Kész2020]],0)</f>
        <v>1</v>
      </c>
      <c r="N179" s="5">
        <f>IF(Táblázat1[[#This Row],[Karb./akt.év]]-Táblázat1[[#This Row],[Kész2020_2]]&lt;0,0,Táblázat1[[#This Row],[Karb./akt.év]]-Táblázat1[[#This Row],[Kész2020_2]])</f>
        <v>1</v>
      </c>
    </row>
    <row r="180" spans="1:14" hidden="1" x14ac:dyDescent="0.25">
      <c r="A180" s="17" t="s">
        <v>6</v>
      </c>
      <c r="B180" s="17" t="s">
        <v>7478</v>
      </c>
      <c r="C180" s="17" t="s">
        <v>1736</v>
      </c>
      <c r="D180" s="17" t="s">
        <v>7405</v>
      </c>
      <c r="E180" s="17" t="s">
        <v>4217</v>
      </c>
      <c r="F180" s="17" t="s">
        <v>3598</v>
      </c>
      <c r="G180" s="17" t="s">
        <v>5592</v>
      </c>
      <c r="H180" t="s">
        <v>7476</v>
      </c>
      <c r="I180" s="1">
        <v>2</v>
      </c>
      <c r="J180" s="1">
        <v>2</v>
      </c>
      <c r="K180" t="s">
        <v>7017</v>
      </c>
      <c r="L180" s="5">
        <f>VLOOKUP(D:D,[1]Munka2!$A:$B,2,FALSE)</f>
        <v>1</v>
      </c>
      <c r="M180" s="5">
        <f>_xlfn.IFNA(Táblázat1[[#This Row],[Kész2020]],0)</f>
        <v>1</v>
      </c>
      <c r="N180" s="5">
        <f>IF(Táblázat1[[#This Row],[Karb./akt.év]]-Táblázat1[[#This Row],[Kész2020_2]]&lt;0,0,Táblázat1[[#This Row],[Karb./akt.év]]-Táblázat1[[#This Row],[Kész2020_2]])</f>
        <v>1</v>
      </c>
    </row>
    <row r="181" spans="1:14" hidden="1" x14ac:dyDescent="0.25">
      <c r="A181" s="17" t="s">
        <v>6</v>
      </c>
      <c r="B181" s="17" t="s">
        <v>1144</v>
      </c>
      <c r="C181" s="17" t="s">
        <v>1736</v>
      </c>
      <c r="D181" s="17" t="s">
        <v>2942</v>
      </c>
      <c r="E181" s="17" t="s">
        <v>4051</v>
      </c>
      <c r="F181" s="17" t="s">
        <v>3598</v>
      </c>
      <c r="G181" s="17" t="s">
        <v>6075</v>
      </c>
      <c r="H181" t="s">
        <v>7476</v>
      </c>
      <c r="I181" s="1">
        <v>2</v>
      </c>
      <c r="J181" s="1">
        <v>2</v>
      </c>
      <c r="K181" t="s">
        <v>6636</v>
      </c>
      <c r="L181" s="5">
        <f>VLOOKUP(D:D,[1]Munka2!$A:$B,2,FALSE)</f>
        <v>1</v>
      </c>
      <c r="M181" s="5">
        <f>_xlfn.IFNA(Táblázat1[[#This Row],[Kész2020]],0)</f>
        <v>1</v>
      </c>
      <c r="N181" s="5">
        <f>IF(Táblázat1[[#This Row],[Karb./akt.év]]-Táblázat1[[#This Row],[Kész2020_2]]&lt;0,0,Táblázat1[[#This Row],[Karb./akt.év]]-Táblázat1[[#This Row],[Kész2020_2]])</f>
        <v>1</v>
      </c>
    </row>
    <row r="182" spans="1:14" hidden="1" x14ac:dyDescent="0.25">
      <c r="A182" s="17" t="s">
        <v>6</v>
      </c>
      <c r="B182" s="17" t="s">
        <v>7020</v>
      </c>
      <c r="C182" s="17" t="s">
        <v>1736</v>
      </c>
      <c r="D182" s="17" t="s">
        <v>7059</v>
      </c>
      <c r="E182" s="17" t="s">
        <v>4286</v>
      </c>
      <c r="F182" s="17" t="s">
        <v>3598</v>
      </c>
      <c r="G182" s="17" t="s">
        <v>7099</v>
      </c>
      <c r="H182" t="s">
        <v>7476</v>
      </c>
      <c r="I182" s="1">
        <v>2</v>
      </c>
      <c r="J182" s="1">
        <v>2</v>
      </c>
      <c r="K182" t="s">
        <v>8101</v>
      </c>
      <c r="L182" s="5">
        <f>VLOOKUP(D:D,[1]Munka2!$A:$B,2,FALSE)</f>
        <v>1</v>
      </c>
      <c r="M182" s="5">
        <f>_xlfn.IFNA(Táblázat1[[#This Row],[Kész2020]],0)</f>
        <v>1</v>
      </c>
      <c r="N182" s="5">
        <f>IF(Táblázat1[[#This Row],[Karb./akt.év]]-Táblázat1[[#This Row],[Kész2020_2]]&lt;0,0,Táblázat1[[#This Row],[Karb./akt.év]]-Táblázat1[[#This Row],[Kész2020_2]])</f>
        <v>1</v>
      </c>
    </row>
    <row r="183" spans="1:14" hidden="1" x14ac:dyDescent="0.25">
      <c r="A183" s="17" t="s">
        <v>6</v>
      </c>
      <c r="B183" s="17" t="s">
        <v>1713</v>
      </c>
      <c r="C183" s="17" t="s">
        <v>1737</v>
      </c>
      <c r="D183" s="17" t="s">
        <v>3571</v>
      </c>
      <c r="E183" s="17" t="s">
        <v>4035</v>
      </c>
      <c r="F183" s="17" t="s">
        <v>3598</v>
      </c>
      <c r="G183" s="17" t="s">
        <v>6607</v>
      </c>
      <c r="H183" t="s">
        <v>7476</v>
      </c>
      <c r="I183" s="1">
        <v>2</v>
      </c>
      <c r="J183" s="1">
        <v>2</v>
      </c>
      <c r="K183" t="s">
        <v>6785</v>
      </c>
      <c r="L183" s="5">
        <f>VLOOKUP(D:D,[1]Munka2!$A:$B,2,FALSE)</f>
        <v>2</v>
      </c>
      <c r="M183" s="5">
        <f>_xlfn.IFNA(Táblázat1[[#This Row],[Kész2020]],0)</f>
        <v>2</v>
      </c>
      <c r="N183" s="5">
        <f>IF(Táblázat1[[#This Row],[Karb./akt.év]]-Táblázat1[[#This Row],[Kész2020_2]]&lt;0,0,Táblázat1[[#This Row],[Karb./akt.év]]-Táblázat1[[#This Row],[Kész2020_2]])</f>
        <v>0</v>
      </c>
    </row>
    <row r="184" spans="1:14" hidden="1" x14ac:dyDescent="0.25">
      <c r="A184" s="17" t="s">
        <v>6</v>
      </c>
      <c r="B184" s="17" t="s">
        <v>1610</v>
      </c>
      <c r="C184" s="17" t="s">
        <v>1737</v>
      </c>
      <c r="D184" s="17" t="s">
        <v>3461</v>
      </c>
      <c r="E184" s="17" t="s">
        <v>3761</v>
      </c>
      <c r="F184" s="17" t="s">
        <v>3762</v>
      </c>
      <c r="G184" s="17" t="s">
        <v>6512</v>
      </c>
      <c r="H184" t="s">
        <v>7476</v>
      </c>
      <c r="I184" s="1">
        <v>2</v>
      </c>
      <c r="J184" s="1">
        <v>2</v>
      </c>
      <c r="K184" t="s">
        <v>6633</v>
      </c>
      <c r="L184" s="5">
        <f>VLOOKUP(D:D,[1]Munka2!$A:$B,2,FALSE)</f>
        <v>1</v>
      </c>
      <c r="M184" s="5">
        <f>_xlfn.IFNA(Táblázat1[[#This Row],[Kész2020]],0)</f>
        <v>1</v>
      </c>
      <c r="N184" s="5">
        <f>IF(Táblázat1[[#This Row],[Karb./akt.év]]-Táblázat1[[#This Row],[Kész2020_2]]&lt;0,0,Táblázat1[[#This Row],[Karb./akt.év]]-Táblázat1[[#This Row],[Kész2020_2]])</f>
        <v>1</v>
      </c>
    </row>
    <row r="185" spans="1:14" hidden="1" x14ac:dyDescent="0.25">
      <c r="A185" s="17" t="s">
        <v>6</v>
      </c>
      <c r="B185" s="17" t="s">
        <v>6846</v>
      </c>
      <c r="C185" s="17" t="s">
        <v>1736</v>
      </c>
      <c r="D185" s="17" t="s">
        <v>6876</v>
      </c>
      <c r="E185" s="17" t="s">
        <v>3918</v>
      </c>
      <c r="F185" s="17" t="s">
        <v>3919</v>
      </c>
      <c r="G185" s="17" t="s">
        <v>6917</v>
      </c>
      <c r="H185" t="s">
        <v>7476</v>
      </c>
      <c r="I185" s="1">
        <v>2</v>
      </c>
      <c r="J185" s="1">
        <v>2</v>
      </c>
      <c r="K185" t="s">
        <v>7014</v>
      </c>
      <c r="L185" s="5">
        <f>VLOOKUP(D:D,[1]Munka2!$A:$B,2,FALSE)</f>
        <v>2</v>
      </c>
      <c r="M185" s="5">
        <f>_xlfn.IFNA(Táblázat1[[#This Row],[Kész2020]],0)</f>
        <v>2</v>
      </c>
      <c r="N185" s="5">
        <f>IF(Táblázat1[[#This Row],[Karb./akt.év]]-Táblázat1[[#This Row],[Kész2020_2]]&lt;0,0,Táblázat1[[#This Row],[Karb./akt.év]]-Táblázat1[[#This Row],[Kész2020_2]])</f>
        <v>0</v>
      </c>
    </row>
    <row r="186" spans="1:14" hidden="1" x14ac:dyDescent="0.25">
      <c r="A186" s="17" t="s">
        <v>6</v>
      </c>
      <c r="B186" s="17" t="s">
        <v>815</v>
      </c>
      <c r="C186" s="17" t="s">
        <v>1737</v>
      </c>
      <c r="D186" s="17" t="s">
        <v>2591</v>
      </c>
      <c r="E186" s="17" t="s">
        <v>4388</v>
      </c>
      <c r="F186" s="17" t="s">
        <v>4389</v>
      </c>
      <c r="G186" s="17" t="s">
        <v>5754</v>
      </c>
      <c r="H186" t="s">
        <v>7476</v>
      </c>
      <c r="I186" s="1">
        <v>2</v>
      </c>
      <c r="J186" s="1">
        <v>2</v>
      </c>
      <c r="K186" t="s">
        <v>7354</v>
      </c>
      <c r="L186" s="5">
        <f>VLOOKUP(D:D,[1]Munka2!$A:$B,2,FALSE)</f>
        <v>1</v>
      </c>
      <c r="M186" s="5">
        <f>_xlfn.IFNA(Táblázat1[[#This Row],[Kész2020]],0)</f>
        <v>1</v>
      </c>
      <c r="N186" s="5">
        <f>IF(Táblázat1[[#This Row],[Karb./akt.év]]-Táblázat1[[#This Row],[Kész2020_2]]&lt;0,0,Táblázat1[[#This Row],[Karb./akt.év]]-Táblázat1[[#This Row],[Kész2020_2]])</f>
        <v>1</v>
      </c>
    </row>
    <row r="187" spans="1:14" ht="26.25" customHeight="1" x14ac:dyDescent="0.25">
      <c r="A187" s="17" t="s">
        <v>6</v>
      </c>
      <c r="B187" s="17" t="s">
        <v>231</v>
      </c>
      <c r="C187" s="17" t="s">
        <v>1737</v>
      </c>
      <c r="D187" s="17" t="s">
        <v>1975</v>
      </c>
      <c r="E187" s="17" t="s">
        <v>3846</v>
      </c>
      <c r="F187" s="17" t="s">
        <v>3598</v>
      </c>
      <c r="G187" s="17" t="s">
        <v>5199</v>
      </c>
      <c r="H187" t="s">
        <v>7476</v>
      </c>
      <c r="I187" s="1">
        <v>2</v>
      </c>
      <c r="J187" s="1">
        <v>2</v>
      </c>
      <c r="K187" t="s">
        <v>7017</v>
      </c>
      <c r="L187" s="5" t="e">
        <f>VLOOKUP(D:D,[1]Munka2!$A:$B,2,FALSE)</f>
        <v>#N/A</v>
      </c>
      <c r="M187" s="5">
        <f>_xlfn.IFNA(Táblázat1[[#This Row],[Kész2020]],0)</f>
        <v>0</v>
      </c>
      <c r="N187" s="5">
        <f>IF(Táblázat1[[#This Row],[Karb./akt.év]]-Táblázat1[[#This Row],[Kész2020_2]]&lt;0,0,Táblázat1[[#This Row],[Karb./akt.év]]-Táblázat1[[#This Row],[Kész2020_2]])</f>
        <v>2</v>
      </c>
    </row>
    <row r="188" spans="1:14" ht="26.25" customHeight="1" x14ac:dyDescent="0.25">
      <c r="A188" s="17" t="s">
        <v>6</v>
      </c>
      <c r="B188" s="17" t="s">
        <v>813</v>
      </c>
      <c r="C188" s="17" t="s">
        <v>1735</v>
      </c>
      <c r="D188" s="17" t="s">
        <v>7406</v>
      </c>
      <c r="E188" s="17" t="s">
        <v>3729</v>
      </c>
      <c r="F188" s="17" t="s">
        <v>3598</v>
      </c>
      <c r="G188" s="17" t="s">
        <v>5752</v>
      </c>
      <c r="H188" t="s">
        <v>7476</v>
      </c>
      <c r="I188" s="1">
        <v>2</v>
      </c>
      <c r="J188" s="1">
        <v>2</v>
      </c>
      <c r="K188" t="s">
        <v>8101</v>
      </c>
      <c r="L188" s="5" t="e">
        <f>VLOOKUP(D:D,[1]Munka2!$A:$B,2,FALSE)</f>
        <v>#N/A</v>
      </c>
      <c r="M188" s="5">
        <f>_xlfn.IFNA(Táblázat1[[#This Row],[Kész2020]],0)</f>
        <v>0</v>
      </c>
      <c r="N188" s="5">
        <f>IF(Táblázat1[[#This Row],[Karb./akt.év]]-Táblázat1[[#This Row],[Kész2020_2]]&lt;0,0,Táblázat1[[#This Row],[Karb./akt.év]]-Táblázat1[[#This Row],[Kész2020_2]])</f>
        <v>2</v>
      </c>
    </row>
    <row r="189" spans="1:14" ht="26.25" customHeight="1" x14ac:dyDescent="0.25">
      <c r="A189" s="17" t="s">
        <v>6</v>
      </c>
      <c r="B189" s="17" t="s">
        <v>559</v>
      </c>
      <c r="C189" s="17" t="s">
        <v>1736</v>
      </c>
      <c r="D189" s="17" t="s">
        <v>2330</v>
      </c>
      <c r="E189" s="17" t="s">
        <v>4187</v>
      </c>
      <c r="F189" s="17" t="s">
        <v>4188</v>
      </c>
      <c r="G189" s="17" t="s">
        <v>5521</v>
      </c>
      <c r="H189" t="s">
        <v>7476</v>
      </c>
      <c r="I189" s="1">
        <v>2</v>
      </c>
      <c r="J189" s="1">
        <v>2</v>
      </c>
      <c r="K189" t="s">
        <v>6785</v>
      </c>
      <c r="L189" s="5" t="e">
        <f>VLOOKUP(D:D,[1]Munka2!$A:$B,2,FALSE)</f>
        <v>#N/A</v>
      </c>
      <c r="M189" s="5">
        <f>_xlfn.IFNA(Táblázat1[[#This Row],[Kész2020]],0)</f>
        <v>0</v>
      </c>
      <c r="N189" s="5">
        <f>IF(Táblázat1[[#This Row],[Karb./akt.év]]-Táblázat1[[#This Row],[Kész2020_2]]&lt;0,0,Táblázat1[[#This Row],[Karb./akt.év]]-Táblázat1[[#This Row],[Kész2020_2]])</f>
        <v>2</v>
      </c>
    </row>
    <row r="190" spans="1:14" hidden="1" x14ac:dyDescent="0.25">
      <c r="A190" s="17" t="s">
        <v>6</v>
      </c>
      <c r="B190" s="17" t="s">
        <v>421</v>
      </c>
      <c r="C190" s="17" t="s">
        <v>1737</v>
      </c>
      <c r="D190" s="17" t="s">
        <v>2176</v>
      </c>
      <c r="E190" s="17" t="s">
        <v>4039</v>
      </c>
      <c r="F190" s="17" t="s">
        <v>3598</v>
      </c>
      <c r="G190" s="17" t="s">
        <v>5386</v>
      </c>
      <c r="H190" t="s">
        <v>7476</v>
      </c>
      <c r="I190" s="1">
        <v>2</v>
      </c>
      <c r="J190" s="1">
        <v>2</v>
      </c>
      <c r="K190" t="s">
        <v>6785</v>
      </c>
      <c r="L190" s="5">
        <f>VLOOKUP(D:D,[1]Munka2!$A:$B,2,FALSE)</f>
        <v>1</v>
      </c>
      <c r="M190" s="5">
        <f>_xlfn.IFNA(Táblázat1[[#This Row],[Kész2020]],0)</f>
        <v>1</v>
      </c>
      <c r="N190" s="5">
        <f>IF(Táblázat1[[#This Row],[Karb./akt.év]]-Táblázat1[[#This Row],[Kész2020_2]]&lt;0,0,Táblázat1[[#This Row],[Karb./akt.év]]-Táblázat1[[#This Row],[Kész2020_2]])</f>
        <v>1</v>
      </c>
    </row>
    <row r="191" spans="1:14" ht="26.25" customHeight="1" x14ac:dyDescent="0.25">
      <c r="A191" s="17" t="s">
        <v>6</v>
      </c>
      <c r="B191" s="17" t="s">
        <v>1723</v>
      </c>
      <c r="C191" s="17" t="s">
        <v>1735</v>
      </c>
      <c r="D191" s="17" t="s">
        <v>3582</v>
      </c>
      <c r="E191" s="17" t="s">
        <v>4536</v>
      </c>
      <c r="F191" s="17" t="s">
        <v>3598</v>
      </c>
      <c r="G191" s="17" t="s">
        <v>6618</v>
      </c>
      <c r="H191" t="s">
        <v>7476</v>
      </c>
      <c r="I191" s="1">
        <v>2</v>
      </c>
      <c r="J191" s="1">
        <v>2</v>
      </c>
      <c r="K191" t="s">
        <v>6785</v>
      </c>
      <c r="L191" s="5" t="e">
        <f>VLOOKUP(D:D,[1]Munka2!$A:$B,2,FALSE)</f>
        <v>#N/A</v>
      </c>
      <c r="M191" s="5">
        <f>_xlfn.IFNA(Táblázat1[[#This Row],[Kész2020]],0)</f>
        <v>0</v>
      </c>
      <c r="N191" s="5">
        <f>IF(Táblázat1[[#This Row],[Karb./akt.év]]-Táblázat1[[#This Row],[Kész2020_2]]&lt;0,0,Táblázat1[[#This Row],[Karb./akt.év]]-Táblázat1[[#This Row],[Kész2020_2]])</f>
        <v>2</v>
      </c>
    </row>
    <row r="192" spans="1:14" hidden="1" x14ac:dyDescent="0.25">
      <c r="A192" s="17" t="s">
        <v>6</v>
      </c>
      <c r="B192" s="17" t="s">
        <v>6710</v>
      </c>
      <c r="C192" s="17" t="s">
        <v>1737</v>
      </c>
      <c r="D192" s="17" t="s">
        <v>2911</v>
      </c>
      <c r="E192" s="17" t="s">
        <v>3597</v>
      </c>
      <c r="F192" s="17" t="s">
        <v>3598</v>
      </c>
      <c r="G192" s="17" t="s">
        <v>6046</v>
      </c>
      <c r="H192" t="s">
        <v>7476</v>
      </c>
      <c r="I192" s="1">
        <v>2</v>
      </c>
      <c r="J192" s="1">
        <v>2</v>
      </c>
      <c r="K192" t="s">
        <v>6633</v>
      </c>
      <c r="L192" s="5">
        <f>VLOOKUP(D:D,[1]Munka2!$A:$B,2,FALSE)</f>
        <v>1</v>
      </c>
      <c r="M192" s="5">
        <f>_xlfn.IFNA(Táblázat1[[#This Row],[Kész2020]],0)</f>
        <v>1</v>
      </c>
      <c r="N192" s="5">
        <f>IF(Táblázat1[[#This Row],[Karb./akt.év]]-Táblázat1[[#This Row],[Kész2020_2]]&lt;0,0,Táblázat1[[#This Row],[Karb./akt.év]]-Táblázat1[[#This Row],[Kész2020_2]])</f>
        <v>1</v>
      </c>
    </row>
    <row r="193" spans="1:14" hidden="1" x14ac:dyDescent="0.25">
      <c r="A193" s="17" t="s">
        <v>6</v>
      </c>
      <c r="B193" s="17" t="s">
        <v>645</v>
      </c>
      <c r="C193" s="17" t="s">
        <v>1743</v>
      </c>
      <c r="D193" s="17" t="s">
        <v>2419</v>
      </c>
      <c r="E193" s="17" t="s">
        <v>4209</v>
      </c>
      <c r="F193" s="17" t="s">
        <v>3598</v>
      </c>
      <c r="G193" s="17" t="s">
        <v>5603</v>
      </c>
      <c r="H193" t="s">
        <v>7476</v>
      </c>
      <c r="I193" s="1">
        <v>2</v>
      </c>
      <c r="J193" s="1">
        <v>2</v>
      </c>
      <c r="K193" t="s">
        <v>6641</v>
      </c>
      <c r="L193" s="5">
        <f>VLOOKUP(D:D,[1]Munka2!$A:$B,2,FALSE)</f>
        <v>1</v>
      </c>
      <c r="M193" s="5">
        <f>_xlfn.IFNA(Táblázat1[[#This Row],[Kész2020]],0)</f>
        <v>1</v>
      </c>
      <c r="N193" s="5">
        <f>IF(Táblázat1[[#This Row],[Karb./akt.év]]-Táblázat1[[#This Row],[Kész2020_2]]&lt;0,0,Táblázat1[[#This Row],[Karb./akt.év]]-Táblázat1[[#This Row],[Kész2020_2]])</f>
        <v>1</v>
      </c>
    </row>
    <row r="194" spans="1:14" hidden="1" x14ac:dyDescent="0.25">
      <c r="A194" s="17" t="s">
        <v>6</v>
      </c>
      <c r="B194" s="17" t="s">
        <v>6808</v>
      </c>
      <c r="C194" s="17" t="s">
        <v>1736</v>
      </c>
      <c r="D194" s="17" t="s">
        <v>6818</v>
      </c>
      <c r="E194" s="17" t="s">
        <v>3913</v>
      </c>
      <c r="F194" s="17" t="s">
        <v>3914</v>
      </c>
      <c r="G194" s="17" t="s">
        <v>6340</v>
      </c>
      <c r="H194" t="s">
        <v>7476</v>
      </c>
      <c r="I194" s="1">
        <v>2</v>
      </c>
      <c r="J194" s="1">
        <v>2</v>
      </c>
      <c r="K194" t="s">
        <v>6784</v>
      </c>
      <c r="L194" s="5">
        <f>VLOOKUP(D:D,[1]Munka2!$A:$B,2,FALSE)</f>
        <v>1</v>
      </c>
      <c r="M194" s="5">
        <f>_xlfn.IFNA(Táblázat1[[#This Row],[Kész2020]],0)</f>
        <v>1</v>
      </c>
      <c r="N194" s="5">
        <f>IF(Táblázat1[[#This Row],[Karb./akt.év]]-Táblázat1[[#This Row],[Kész2020_2]]&lt;0,0,Táblázat1[[#This Row],[Karb./akt.év]]-Táblázat1[[#This Row],[Kész2020_2]])</f>
        <v>1</v>
      </c>
    </row>
    <row r="195" spans="1:14" hidden="1" x14ac:dyDescent="0.25">
      <c r="A195" s="17" t="s">
        <v>6</v>
      </c>
      <c r="B195" s="17" t="s">
        <v>433</v>
      </c>
      <c r="C195" s="17" t="s">
        <v>1735</v>
      </c>
      <c r="D195" s="17" t="s">
        <v>2190</v>
      </c>
      <c r="E195" s="17" t="s">
        <v>4048</v>
      </c>
      <c r="F195" s="17" t="s">
        <v>3598</v>
      </c>
      <c r="G195" s="17" t="s">
        <v>5399</v>
      </c>
      <c r="H195" t="s">
        <v>7476</v>
      </c>
      <c r="I195" s="1">
        <v>2</v>
      </c>
      <c r="J195" s="1">
        <v>2</v>
      </c>
      <c r="K195" t="s">
        <v>6785</v>
      </c>
      <c r="L195" s="5">
        <f>VLOOKUP(D:D,[1]Munka2!$A:$B,2,FALSE)</f>
        <v>1</v>
      </c>
      <c r="M195" s="5">
        <f>_xlfn.IFNA(Táblázat1[[#This Row],[Kész2020]],0)</f>
        <v>1</v>
      </c>
      <c r="N195" s="5">
        <f>IF(Táblázat1[[#This Row],[Karb./akt.év]]-Táblázat1[[#This Row],[Kész2020_2]]&lt;0,0,Táblázat1[[#This Row],[Karb./akt.év]]-Táblázat1[[#This Row],[Kész2020_2]])</f>
        <v>1</v>
      </c>
    </row>
    <row r="196" spans="1:14" hidden="1" x14ac:dyDescent="0.25">
      <c r="A196" s="17" t="s">
        <v>6</v>
      </c>
      <c r="B196" s="17" t="s">
        <v>1378</v>
      </c>
      <c r="C196" s="17" t="s">
        <v>1736</v>
      </c>
      <c r="D196" s="17" t="s">
        <v>3198</v>
      </c>
      <c r="E196" s="17" t="s">
        <v>4187</v>
      </c>
      <c r="F196" s="17" t="s">
        <v>4188</v>
      </c>
      <c r="G196" s="17" t="s">
        <v>6281</v>
      </c>
      <c r="H196" t="s">
        <v>7476</v>
      </c>
      <c r="I196" s="1">
        <v>2</v>
      </c>
      <c r="J196" s="1">
        <v>2</v>
      </c>
      <c r="K196" t="s">
        <v>6785</v>
      </c>
      <c r="L196" s="5">
        <f>VLOOKUP(D:D,[1]Munka2!$A:$B,2,FALSE)</f>
        <v>1</v>
      </c>
      <c r="M196" s="5">
        <f>_xlfn.IFNA(Táblázat1[[#This Row],[Kész2020]],0)</f>
        <v>1</v>
      </c>
      <c r="N196" s="5">
        <f>IF(Táblázat1[[#This Row],[Karb./akt.év]]-Táblázat1[[#This Row],[Kész2020_2]]&lt;0,0,Táblázat1[[#This Row],[Karb./akt.év]]-Táblázat1[[#This Row],[Kész2020_2]])</f>
        <v>1</v>
      </c>
    </row>
    <row r="197" spans="1:14" hidden="1" x14ac:dyDescent="0.25">
      <c r="A197" s="17" t="s">
        <v>6</v>
      </c>
      <c r="B197" s="17" t="s">
        <v>759</v>
      </c>
      <c r="C197" s="17" t="s">
        <v>1736</v>
      </c>
      <c r="D197" s="17" t="s">
        <v>2534</v>
      </c>
      <c r="E197" s="17" t="s">
        <v>4332</v>
      </c>
      <c r="F197" s="17" t="s">
        <v>3598</v>
      </c>
      <c r="G197" s="17" t="s">
        <v>5705</v>
      </c>
      <c r="H197" t="s">
        <v>7476</v>
      </c>
      <c r="I197" s="1">
        <v>2</v>
      </c>
      <c r="J197" s="1">
        <v>2</v>
      </c>
      <c r="K197" t="s">
        <v>6785</v>
      </c>
      <c r="L197" s="5">
        <f>VLOOKUP(D:D,[1]Munka2!$A:$B,2,FALSE)</f>
        <v>1</v>
      </c>
      <c r="M197" s="5">
        <f>_xlfn.IFNA(Táblázat1[[#This Row],[Kész2020]],0)</f>
        <v>1</v>
      </c>
      <c r="N197" s="5">
        <f>IF(Táblázat1[[#This Row],[Karb./akt.év]]-Táblázat1[[#This Row],[Kész2020_2]]&lt;0,0,Táblázat1[[#This Row],[Karb./akt.év]]-Táblázat1[[#This Row],[Kész2020_2]])</f>
        <v>1</v>
      </c>
    </row>
    <row r="198" spans="1:14" hidden="1" x14ac:dyDescent="0.25">
      <c r="A198" s="17" t="s">
        <v>6</v>
      </c>
      <c r="B198" s="17" t="s">
        <v>532</v>
      </c>
      <c r="C198" s="17" t="s">
        <v>1736</v>
      </c>
      <c r="D198" s="17" t="s">
        <v>2298</v>
      </c>
      <c r="E198" s="17" t="s">
        <v>3761</v>
      </c>
      <c r="F198" s="17" t="s">
        <v>3762</v>
      </c>
      <c r="G198" s="17" t="s">
        <v>5492</v>
      </c>
      <c r="H198" t="s">
        <v>7476</v>
      </c>
      <c r="I198" s="1">
        <v>2</v>
      </c>
      <c r="J198" s="1">
        <v>2</v>
      </c>
      <c r="K198" t="s">
        <v>6633</v>
      </c>
      <c r="L198" s="5">
        <f>VLOOKUP(D:D,[1]Munka2!$A:$B,2,FALSE)</f>
        <v>1</v>
      </c>
      <c r="M198" s="5">
        <f>_xlfn.IFNA(Táblázat1[[#This Row],[Kész2020]],0)</f>
        <v>1</v>
      </c>
      <c r="N198" s="5">
        <f>IF(Táblázat1[[#This Row],[Karb./akt.év]]-Táblázat1[[#This Row],[Kész2020_2]]&lt;0,0,Táblázat1[[#This Row],[Karb./akt.év]]-Táblázat1[[#This Row],[Kész2020_2]])</f>
        <v>1</v>
      </c>
    </row>
    <row r="199" spans="1:14" hidden="1" x14ac:dyDescent="0.25">
      <c r="A199" s="17" t="s">
        <v>6</v>
      </c>
      <c r="B199" s="17" t="s">
        <v>1701</v>
      </c>
      <c r="C199" s="17" t="s">
        <v>1737</v>
      </c>
      <c r="D199" s="17" t="s">
        <v>3558</v>
      </c>
      <c r="E199" s="17" t="s">
        <v>4279</v>
      </c>
      <c r="F199" s="17" t="s">
        <v>3598</v>
      </c>
      <c r="G199" s="17" t="s">
        <v>6597</v>
      </c>
      <c r="H199" t="s">
        <v>7476</v>
      </c>
      <c r="I199" s="1">
        <v>2</v>
      </c>
      <c r="J199" s="1">
        <v>2</v>
      </c>
      <c r="K199" t="s">
        <v>7017</v>
      </c>
      <c r="L199" s="5">
        <f>VLOOKUP(D:D,[1]Munka2!$A:$B,2,FALSE)</f>
        <v>1</v>
      </c>
      <c r="M199" s="5">
        <f>_xlfn.IFNA(Táblázat1[[#This Row],[Kész2020]],0)</f>
        <v>1</v>
      </c>
      <c r="N199" s="5">
        <f>IF(Táblázat1[[#This Row],[Karb./akt.év]]-Táblázat1[[#This Row],[Kész2020_2]]&lt;0,0,Táblázat1[[#This Row],[Karb./akt.év]]-Táblázat1[[#This Row],[Kész2020_2]])</f>
        <v>1</v>
      </c>
    </row>
    <row r="200" spans="1:14" hidden="1" x14ac:dyDescent="0.25">
      <c r="A200" s="17" t="s">
        <v>6</v>
      </c>
      <c r="B200" s="17" t="s">
        <v>710</v>
      </c>
      <c r="C200" s="17" t="s">
        <v>1742</v>
      </c>
      <c r="D200" s="17" t="s">
        <v>2487</v>
      </c>
      <c r="E200" s="17" t="s">
        <v>3745</v>
      </c>
      <c r="F200" s="17" t="s">
        <v>3598</v>
      </c>
      <c r="G200" s="17" t="s">
        <v>5665</v>
      </c>
      <c r="H200" t="s">
        <v>7476</v>
      </c>
      <c r="I200" s="1">
        <v>2</v>
      </c>
      <c r="J200" s="1">
        <v>2</v>
      </c>
      <c r="K200" t="s">
        <v>8101</v>
      </c>
      <c r="L200" s="5">
        <f>VLOOKUP(D:D,[1]Munka2!$A:$B,2,FALSE)</f>
        <v>1</v>
      </c>
      <c r="M200" s="5">
        <f>_xlfn.IFNA(Táblázat1[[#This Row],[Kész2020]],0)</f>
        <v>1</v>
      </c>
      <c r="N200" s="5">
        <f>IF(Táblázat1[[#This Row],[Karb./akt.év]]-Táblázat1[[#This Row],[Kész2020_2]]&lt;0,0,Táblázat1[[#This Row],[Karb./akt.év]]-Táblázat1[[#This Row],[Kész2020_2]])</f>
        <v>1</v>
      </c>
    </row>
    <row r="201" spans="1:14" hidden="1" x14ac:dyDescent="0.25">
      <c r="A201" s="17" t="s">
        <v>6</v>
      </c>
      <c r="B201" s="17" t="s">
        <v>182</v>
      </c>
      <c r="C201" s="17" t="s">
        <v>1743</v>
      </c>
      <c r="D201" s="17" t="s">
        <v>1923</v>
      </c>
      <c r="E201" s="17" t="s">
        <v>3797</v>
      </c>
      <c r="F201" s="17" t="s">
        <v>3598</v>
      </c>
      <c r="G201" s="17" t="s">
        <v>5154</v>
      </c>
      <c r="H201" t="s">
        <v>7476</v>
      </c>
      <c r="I201" s="1">
        <v>2</v>
      </c>
      <c r="J201" s="1">
        <v>2</v>
      </c>
      <c r="K201" t="s">
        <v>6641</v>
      </c>
      <c r="L201" s="5">
        <f>VLOOKUP(D:D,[1]Munka2!$A:$B,2,FALSE)</f>
        <v>1</v>
      </c>
      <c r="M201" s="5">
        <f>_xlfn.IFNA(Táblázat1[[#This Row],[Kész2020]],0)</f>
        <v>1</v>
      </c>
      <c r="N201" s="5">
        <f>IF(Táblázat1[[#This Row],[Karb./akt.év]]-Táblázat1[[#This Row],[Kész2020_2]]&lt;0,0,Táblázat1[[#This Row],[Karb./akt.év]]-Táblázat1[[#This Row],[Kész2020_2]])</f>
        <v>1</v>
      </c>
    </row>
    <row r="202" spans="1:14" hidden="1" x14ac:dyDescent="0.25">
      <c r="A202" s="17" t="s">
        <v>6</v>
      </c>
      <c r="B202" s="17" t="s">
        <v>596</v>
      </c>
      <c r="C202" s="17" t="s">
        <v>1736</v>
      </c>
      <c r="D202" s="17" t="s">
        <v>2369</v>
      </c>
      <c r="E202" s="17" t="s">
        <v>4214</v>
      </c>
      <c r="F202" s="17" t="s">
        <v>3598</v>
      </c>
      <c r="G202" s="17" t="s">
        <v>5559</v>
      </c>
      <c r="H202" t="s">
        <v>7476</v>
      </c>
      <c r="I202" s="1">
        <v>2</v>
      </c>
      <c r="J202" s="1">
        <v>2</v>
      </c>
      <c r="K202" t="s">
        <v>7017</v>
      </c>
      <c r="L202" s="5">
        <f>VLOOKUP(D:D,[1]Munka2!$A:$B,2,FALSE)</f>
        <v>1</v>
      </c>
      <c r="M202" s="5">
        <f>_xlfn.IFNA(Táblázat1[[#This Row],[Kész2020]],0)</f>
        <v>1</v>
      </c>
      <c r="N202" s="5">
        <f>IF(Táblázat1[[#This Row],[Karb./akt.év]]-Táblázat1[[#This Row],[Kész2020_2]]&lt;0,0,Táblázat1[[#This Row],[Karb./akt.év]]-Táblázat1[[#This Row],[Kész2020_2]])</f>
        <v>1</v>
      </c>
    </row>
    <row r="203" spans="1:14" hidden="1" x14ac:dyDescent="0.25">
      <c r="A203" s="17" t="s">
        <v>6</v>
      </c>
      <c r="B203" s="17" t="s">
        <v>1629</v>
      </c>
      <c r="C203" s="17" t="s">
        <v>1737</v>
      </c>
      <c r="D203" s="17" t="s">
        <v>3481</v>
      </c>
      <c r="E203" s="17" t="s">
        <v>4809</v>
      </c>
      <c r="F203" s="17" t="s">
        <v>3598</v>
      </c>
      <c r="G203" s="17" t="s">
        <v>6525</v>
      </c>
      <c r="H203" t="s">
        <v>7476</v>
      </c>
      <c r="I203" s="1">
        <v>2</v>
      </c>
      <c r="J203" s="1">
        <v>2</v>
      </c>
      <c r="K203" t="s">
        <v>6633</v>
      </c>
      <c r="L203" s="5">
        <f>VLOOKUP(D:D,[1]Munka2!$A:$B,2,FALSE)</f>
        <v>2</v>
      </c>
      <c r="M203" s="5">
        <f>_xlfn.IFNA(Táblázat1[[#This Row],[Kész2020]],0)</f>
        <v>2</v>
      </c>
      <c r="N203" s="5">
        <f>IF(Táblázat1[[#This Row],[Karb./akt.év]]-Táblázat1[[#This Row],[Kész2020_2]]&lt;0,0,Táblázat1[[#This Row],[Karb./akt.év]]-Táblázat1[[#This Row],[Kész2020_2]])</f>
        <v>0</v>
      </c>
    </row>
    <row r="204" spans="1:14" hidden="1" x14ac:dyDescent="0.25">
      <c r="A204" s="17" t="s">
        <v>6</v>
      </c>
      <c r="B204" s="17" t="s">
        <v>1336</v>
      </c>
      <c r="C204" s="17" t="s">
        <v>1737</v>
      </c>
      <c r="D204" s="17" t="s">
        <v>3150</v>
      </c>
      <c r="E204" s="17" t="s">
        <v>4821</v>
      </c>
      <c r="F204" s="17" t="s">
        <v>4033</v>
      </c>
      <c r="G204" s="17" t="s">
        <v>6255</v>
      </c>
      <c r="H204" t="s">
        <v>7476</v>
      </c>
      <c r="I204" s="1">
        <v>2</v>
      </c>
      <c r="J204" s="1">
        <v>2</v>
      </c>
      <c r="K204" t="s">
        <v>6641</v>
      </c>
      <c r="L204" s="5">
        <f>VLOOKUP(D:D,[1]Munka2!$A:$B,2,FALSE)</f>
        <v>1</v>
      </c>
      <c r="M204" s="5">
        <f>_xlfn.IFNA(Táblázat1[[#This Row],[Kész2020]],0)</f>
        <v>1</v>
      </c>
      <c r="N204" s="5">
        <f>IF(Táblázat1[[#This Row],[Karb./akt.év]]-Táblázat1[[#This Row],[Kész2020_2]]&lt;0,0,Táblázat1[[#This Row],[Karb./akt.év]]-Táblázat1[[#This Row],[Kész2020_2]])</f>
        <v>1</v>
      </c>
    </row>
    <row r="205" spans="1:14" hidden="1" x14ac:dyDescent="0.25">
      <c r="A205" s="17" t="s">
        <v>6</v>
      </c>
      <c r="B205" s="17" t="s">
        <v>361</v>
      </c>
      <c r="C205" s="17" t="s">
        <v>1736</v>
      </c>
      <c r="D205" s="17" t="s">
        <v>2116</v>
      </c>
      <c r="E205" s="17" t="s">
        <v>3730</v>
      </c>
      <c r="F205" s="17" t="s">
        <v>3731</v>
      </c>
      <c r="G205" s="17" t="s">
        <v>5328</v>
      </c>
      <c r="H205" t="s">
        <v>7476</v>
      </c>
      <c r="I205" s="1">
        <v>2</v>
      </c>
      <c r="J205" s="1">
        <v>2</v>
      </c>
      <c r="K205" t="s">
        <v>6641</v>
      </c>
      <c r="L205" s="5">
        <f>VLOOKUP(D:D,[1]Munka2!$A:$B,2,FALSE)</f>
        <v>1</v>
      </c>
      <c r="M205" s="5">
        <f>_xlfn.IFNA(Táblázat1[[#This Row],[Kész2020]],0)</f>
        <v>1</v>
      </c>
      <c r="N205" s="5">
        <f>IF(Táblázat1[[#This Row],[Karb./akt.év]]-Táblázat1[[#This Row],[Kész2020_2]]&lt;0,0,Táblázat1[[#This Row],[Karb./akt.év]]-Táblázat1[[#This Row],[Kész2020_2]])</f>
        <v>1</v>
      </c>
    </row>
    <row r="206" spans="1:14" hidden="1" x14ac:dyDescent="0.25">
      <c r="A206" s="17" t="s">
        <v>6</v>
      </c>
      <c r="B206" s="17" t="s">
        <v>1109</v>
      </c>
      <c r="C206" s="17" t="s">
        <v>1736</v>
      </c>
      <c r="D206" s="17" t="s">
        <v>2903</v>
      </c>
      <c r="E206" s="17" t="s">
        <v>3761</v>
      </c>
      <c r="F206" s="17" t="s">
        <v>3762</v>
      </c>
      <c r="G206" s="17" t="s">
        <v>6039</v>
      </c>
      <c r="H206" t="s">
        <v>7476</v>
      </c>
      <c r="I206" s="1">
        <v>2</v>
      </c>
      <c r="J206" s="1">
        <v>2</v>
      </c>
      <c r="K206" t="s">
        <v>6633</v>
      </c>
      <c r="L206" s="5">
        <f>VLOOKUP(D:D,[1]Munka2!$A:$B,2,FALSE)</f>
        <v>1</v>
      </c>
      <c r="M206" s="5">
        <f>_xlfn.IFNA(Táblázat1[[#This Row],[Kész2020]],0)</f>
        <v>1</v>
      </c>
      <c r="N206" s="5">
        <f>IF(Táblázat1[[#This Row],[Karb./akt.év]]-Táblázat1[[#This Row],[Kész2020_2]]&lt;0,0,Táblázat1[[#This Row],[Karb./akt.év]]-Táblázat1[[#This Row],[Kész2020_2]])</f>
        <v>1</v>
      </c>
    </row>
    <row r="207" spans="1:14" ht="26.25" customHeight="1" x14ac:dyDescent="0.25">
      <c r="A207" s="17" t="s">
        <v>6</v>
      </c>
      <c r="B207" s="17" t="s">
        <v>401</v>
      </c>
      <c r="C207" s="17" t="s">
        <v>1743</v>
      </c>
      <c r="D207" s="17" t="s">
        <v>7403</v>
      </c>
      <c r="E207" s="17" t="s">
        <v>4022</v>
      </c>
      <c r="F207" s="17" t="s">
        <v>4023</v>
      </c>
      <c r="G207" s="17" t="s">
        <v>5368</v>
      </c>
      <c r="H207" t="s">
        <v>7476</v>
      </c>
      <c r="I207" s="1">
        <v>2</v>
      </c>
      <c r="J207" s="1">
        <v>2</v>
      </c>
      <c r="K207" t="s">
        <v>6636</v>
      </c>
      <c r="L207" s="5" t="e">
        <f>VLOOKUP(D:D,[1]Munka2!$A:$B,2,FALSE)</f>
        <v>#N/A</v>
      </c>
      <c r="M207" s="5">
        <f>_xlfn.IFNA(Táblázat1[[#This Row],[Kész2020]],0)</f>
        <v>0</v>
      </c>
      <c r="N207" s="5">
        <f>IF(Táblázat1[[#This Row],[Karb./akt.év]]-Táblázat1[[#This Row],[Kész2020_2]]&lt;0,0,Táblázat1[[#This Row],[Karb./akt.év]]-Táblázat1[[#This Row],[Kész2020_2]])</f>
        <v>2</v>
      </c>
    </row>
    <row r="208" spans="1:14" hidden="1" x14ac:dyDescent="0.25">
      <c r="A208" s="17" t="s">
        <v>6</v>
      </c>
      <c r="B208" s="17" t="s">
        <v>857</v>
      </c>
      <c r="C208" s="17" t="s">
        <v>1737</v>
      </c>
      <c r="D208" s="17" t="s">
        <v>2638</v>
      </c>
      <c r="E208" s="17" t="s">
        <v>4026</v>
      </c>
      <c r="F208" s="17" t="s">
        <v>4027</v>
      </c>
      <c r="G208" s="17" t="s">
        <v>5796</v>
      </c>
      <c r="H208" t="s">
        <v>7476</v>
      </c>
      <c r="I208" s="1">
        <v>2</v>
      </c>
      <c r="J208" s="1">
        <v>2</v>
      </c>
      <c r="K208" t="s">
        <v>7014</v>
      </c>
      <c r="L208" s="5">
        <f>VLOOKUP(D:D,[1]Munka2!$A:$B,2,FALSE)</f>
        <v>1</v>
      </c>
      <c r="M208" s="5">
        <f>_xlfn.IFNA(Táblázat1[[#This Row],[Kész2020]],0)</f>
        <v>1</v>
      </c>
      <c r="N208" s="5">
        <f>IF(Táblázat1[[#This Row],[Karb./akt.év]]-Táblázat1[[#This Row],[Kész2020_2]]&lt;0,0,Táblázat1[[#This Row],[Karb./akt.év]]-Táblázat1[[#This Row],[Kész2020_2]])</f>
        <v>1</v>
      </c>
    </row>
    <row r="209" spans="1:14" hidden="1" x14ac:dyDescent="0.25">
      <c r="A209" s="17" t="s">
        <v>6</v>
      </c>
      <c r="B209" s="17" t="s">
        <v>1117</v>
      </c>
      <c r="C209" s="17" t="s">
        <v>1742</v>
      </c>
      <c r="D209" s="17" t="s">
        <v>7411</v>
      </c>
      <c r="E209" s="17" t="s">
        <v>3597</v>
      </c>
      <c r="F209" s="17" t="s">
        <v>3598</v>
      </c>
      <c r="G209" s="17" t="s">
        <v>6046</v>
      </c>
      <c r="H209" t="s">
        <v>7476</v>
      </c>
      <c r="I209" s="1">
        <v>2</v>
      </c>
      <c r="J209" s="1">
        <v>2</v>
      </c>
      <c r="K209" t="s">
        <v>6633</v>
      </c>
      <c r="L209" s="5">
        <f>VLOOKUP(D:D,[1]Munka2!$A:$B,2,FALSE)</f>
        <v>1</v>
      </c>
      <c r="M209" s="5">
        <f>_xlfn.IFNA(Táblázat1[[#This Row],[Kész2020]],0)</f>
        <v>1</v>
      </c>
      <c r="N209" s="5">
        <f>IF(Táblázat1[[#This Row],[Karb./akt.év]]-Táblázat1[[#This Row],[Kész2020_2]]&lt;0,0,Táblázat1[[#This Row],[Karb./akt.év]]-Táblázat1[[#This Row],[Kész2020_2]])</f>
        <v>1</v>
      </c>
    </row>
    <row r="210" spans="1:14" hidden="1" x14ac:dyDescent="0.25">
      <c r="A210" s="17" t="s">
        <v>6</v>
      </c>
      <c r="B210" s="17" t="s">
        <v>1119</v>
      </c>
      <c r="C210" s="17" t="s">
        <v>1737</v>
      </c>
      <c r="D210" s="17" t="s">
        <v>2914</v>
      </c>
      <c r="E210" s="17" t="s">
        <v>4631</v>
      </c>
      <c r="F210" s="17" t="s">
        <v>3598</v>
      </c>
      <c r="G210" s="17" t="s">
        <v>6048</v>
      </c>
      <c r="H210" t="s">
        <v>7476</v>
      </c>
      <c r="I210" s="1">
        <v>2</v>
      </c>
      <c r="J210" s="1">
        <v>2</v>
      </c>
      <c r="K210" t="s">
        <v>7017</v>
      </c>
      <c r="L210" s="5">
        <f>VLOOKUP(D:D,[1]Munka2!$A:$B,2,FALSE)</f>
        <v>1</v>
      </c>
      <c r="M210" s="5">
        <f>_xlfn.IFNA(Táblázat1[[#This Row],[Kész2020]],0)</f>
        <v>1</v>
      </c>
      <c r="N210" s="5">
        <f>IF(Táblázat1[[#This Row],[Karb./akt.év]]-Táblázat1[[#This Row],[Kész2020_2]]&lt;0,0,Táblázat1[[#This Row],[Karb./akt.év]]-Táblázat1[[#This Row],[Kész2020_2]])</f>
        <v>1</v>
      </c>
    </row>
    <row r="211" spans="1:14" hidden="1" x14ac:dyDescent="0.25">
      <c r="A211" s="17" t="s">
        <v>6</v>
      </c>
      <c r="B211" s="17" t="s">
        <v>935</v>
      </c>
      <c r="C211" s="17" t="s">
        <v>1743</v>
      </c>
      <c r="D211" s="17" t="s">
        <v>7408</v>
      </c>
      <c r="E211" s="17" t="s">
        <v>3849</v>
      </c>
      <c r="F211" s="17" t="s">
        <v>3598</v>
      </c>
      <c r="G211" s="17" t="s">
        <v>5862</v>
      </c>
      <c r="H211" t="s">
        <v>7476</v>
      </c>
      <c r="I211" s="1">
        <v>2</v>
      </c>
      <c r="J211" s="1">
        <v>2</v>
      </c>
      <c r="K211" t="s">
        <v>7017</v>
      </c>
      <c r="L211" s="5">
        <f>VLOOKUP(D:D,[1]Munka2!$A:$B,2,FALSE)</f>
        <v>1</v>
      </c>
      <c r="M211" s="5">
        <f>_xlfn.IFNA(Táblázat1[[#This Row],[Kész2020]],0)</f>
        <v>1</v>
      </c>
      <c r="N211" s="5">
        <f>IF(Táblázat1[[#This Row],[Karb./akt.év]]-Táblázat1[[#This Row],[Kész2020_2]]&lt;0,0,Táblázat1[[#This Row],[Karb./akt.év]]-Táblázat1[[#This Row],[Kész2020_2]])</f>
        <v>1</v>
      </c>
    </row>
    <row r="212" spans="1:14" hidden="1" x14ac:dyDescent="0.25">
      <c r="A212" s="17" t="s">
        <v>6</v>
      </c>
      <c r="B212" s="17" t="s">
        <v>1026</v>
      </c>
      <c r="C212" s="17" t="s">
        <v>1736</v>
      </c>
      <c r="D212" s="17" t="s">
        <v>2815</v>
      </c>
      <c r="E212" s="17" t="s">
        <v>4026</v>
      </c>
      <c r="F212" s="17" t="s">
        <v>4027</v>
      </c>
      <c r="G212" s="17" t="s">
        <v>5954</v>
      </c>
      <c r="H212" t="s">
        <v>7476</v>
      </c>
      <c r="I212" s="1">
        <v>2</v>
      </c>
      <c r="J212" s="1">
        <v>2</v>
      </c>
      <c r="K212" t="s">
        <v>7014</v>
      </c>
      <c r="L212" s="5">
        <f>VLOOKUP(D:D,[1]Munka2!$A:$B,2,FALSE)</f>
        <v>1</v>
      </c>
      <c r="M212" s="5">
        <f>_xlfn.IFNA(Táblázat1[[#This Row],[Kész2020]],0)</f>
        <v>1</v>
      </c>
      <c r="N212" s="5">
        <f>IF(Táblázat1[[#This Row],[Karb./akt.év]]-Táblázat1[[#This Row],[Kész2020_2]]&lt;0,0,Táblázat1[[#This Row],[Karb./akt.év]]-Táblázat1[[#This Row],[Kész2020_2]])</f>
        <v>1</v>
      </c>
    </row>
    <row r="213" spans="1:14" hidden="1" x14ac:dyDescent="0.25">
      <c r="A213" s="17" t="s">
        <v>6</v>
      </c>
      <c r="B213" s="17" t="s">
        <v>1122</v>
      </c>
      <c r="C213" s="17" t="s">
        <v>1736</v>
      </c>
      <c r="D213" s="17" t="s">
        <v>2917</v>
      </c>
      <c r="E213" s="17" t="s">
        <v>3824</v>
      </c>
      <c r="F213" s="17" t="s">
        <v>3598</v>
      </c>
      <c r="G213" s="17" t="s">
        <v>6051</v>
      </c>
      <c r="H213" t="s">
        <v>7476</v>
      </c>
      <c r="I213" s="1">
        <v>2</v>
      </c>
      <c r="J213" s="1">
        <v>2</v>
      </c>
      <c r="K213" t="s">
        <v>6785</v>
      </c>
      <c r="L213" s="5">
        <f>VLOOKUP(D:D,[1]Munka2!$A:$B,2,FALSE)</f>
        <v>1</v>
      </c>
      <c r="M213" s="5">
        <f>_xlfn.IFNA(Táblázat1[[#This Row],[Kész2020]],0)</f>
        <v>1</v>
      </c>
      <c r="N213" s="5">
        <f>IF(Táblázat1[[#This Row],[Karb./akt.év]]-Táblázat1[[#This Row],[Kész2020_2]]&lt;0,0,Táblázat1[[#This Row],[Karb./akt.év]]-Táblázat1[[#This Row],[Kész2020_2]])</f>
        <v>1</v>
      </c>
    </row>
    <row r="214" spans="1:14" hidden="1" x14ac:dyDescent="0.25">
      <c r="A214" s="17" t="s">
        <v>6</v>
      </c>
      <c r="B214" s="17" t="s">
        <v>758</v>
      </c>
      <c r="C214" s="17" t="s">
        <v>1737</v>
      </c>
      <c r="D214" s="17" t="s">
        <v>2533</v>
      </c>
      <c r="E214" s="17" t="s">
        <v>3816</v>
      </c>
      <c r="F214" s="17" t="s">
        <v>3598</v>
      </c>
      <c r="G214" s="17" t="s">
        <v>5704</v>
      </c>
      <c r="H214" t="s">
        <v>7476</v>
      </c>
      <c r="I214" s="1">
        <v>2</v>
      </c>
      <c r="J214" s="1">
        <v>2</v>
      </c>
      <c r="K214" t="s">
        <v>6785</v>
      </c>
      <c r="L214" s="5">
        <f>VLOOKUP(D:D,[1]Munka2!$A:$B,2,FALSE)</f>
        <v>1</v>
      </c>
      <c r="M214" s="5">
        <f>_xlfn.IFNA(Táblázat1[[#This Row],[Kész2020]],0)</f>
        <v>1</v>
      </c>
      <c r="N214" s="5">
        <f>IF(Táblázat1[[#This Row],[Karb./akt.év]]-Táblázat1[[#This Row],[Kész2020_2]]&lt;0,0,Táblázat1[[#This Row],[Karb./akt.év]]-Táblázat1[[#This Row],[Kész2020_2]])</f>
        <v>1</v>
      </c>
    </row>
    <row r="215" spans="1:14" hidden="1" x14ac:dyDescent="0.25">
      <c r="A215" s="17" t="s">
        <v>6</v>
      </c>
      <c r="B215" s="17" t="s">
        <v>1335</v>
      </c>
      <c r="C215" s="17" t="s">
        <v>1743</v>
      </c>
      <c r="D215" s="17" t="s">
        <v>7412</v>
      </c>
      <c r="E215" s="17" t="s">
        <v>3643</v>
      </c>
      <c r="F215" s="17" t="s">
        <v>3598</v>
      </c>
      <c r="G215" s="17" t="s">
        <v>6254</v>
      </c>
      <c r="H215" t="s">
        <v>7476</v>
      </c>
      <c r="I215" s="1">
        <v>2</v>
      </c>
      <c r="J215" s="1">
        <v>2</v>
      </c>
      <c r="K215" t="s">
        <v>8101</v>
      </c>
      <c r="L215" s="5">
        <f>VLOOKUP(D:D,[1]Munka2!$A:$B,2,FALSE)</f>
        <v>1</v>
      </c>
      <c r="M215" s="5">
        <f>_xlfn.IFNA(Táblázat1[[#This Row],[Kész2020]],0)</f>
        <v>1</v>
      </c>
      <c r="N215" s="5">
        <f>IF(Táblázat1[[#This Row],[Karb./akt.év]]-Táblázat1[[#This Row],[Kész2020_2]]&lt;0,0,Táblázat1[[#This Row],[Karb./akt.év]]-Táblázat1[[#This Row],[Kész2020_2]])</f>
        <v>1</v>
      </c>
    </row>
    <row r="216" spans="1:14" ht="26.25" customHeight="1" x14ac:dyDescent="0.25">
      <c r="A216" s="17" t="s">
        <v>6</v>
      </c>
      <c r="B216" s="17" t="s">
        <v>534</v>
      </c>
      <c r="C216" s="17" t="s">
        <v>1736</v>
      </c>
      <c r="D216" s="17" t="s">
        <v>2300</v>
      </c>
      <c r="E216" s="17" t="s">
        <v>4097</v>
      </c>
      <c r="F216" s="17" t="s">
        <v>4098</v>
      </c>
      <c r="G216" s="17" t="s">
        <v>5493</v>
      </c>
      <c r="H216" t="s">
        <v>7476</v>
      </c>
      <c r="I216" s="1">
        <v>2</v>
      </c>
      <c r="J216" s="1">
        <v>2</v>
      </c>
      <c r="K216" t="s">
        <v>6641</v>
      </c>
      <c r="L216" s="5" t="e">
        <f>VLOOKUP(D:D,[1]Munka2!$A:$B,2,FALSE)</f>
        <v>#N/A</v>
      </c>
      <c r="M216" s="5">
        <f>_xlfn.IFNA(Táblázat1[[#This Row],[Kész2020]],0)</f>
        <v>0</v>
      </c>
      <c r="N216" s="5">
        <f>IF(Táblázat1[[#This Row],[Karb./akt.év]]-Táblázat1[[#This Row],[Kész2020_2]]&lt;0,0,Táblázat1[[#This Row],[Karb./akt.év]]-Táblázat1[[#This Row],[Kész2020_2]])</f>
        <v>2</v>
      </c>
    </row>
    <row r="217" spans="1:14" hidden="1" x14ac:dyDescent="0.25">
      <c r="A217" s="17" t="s">
        <v>6</v>
      </c>
      <c r="B217" s="17" t="s">
        <v>57</v>
      </c>
      <c r="C217" s="17" t="s">
        <v>1742</v>
      </c>
      <c r="D217" s="17" t="s">
        <v>1795</v>
      </c>
      <c r="E217" s="17" t="s">
        <v>3639</v>
      </c>
      <c r="F217" s="17" t="s">
        <v>3598</v>
      </c>
      <c r="G217" s="17" t="s">
        <v>5033</v>
      </c>
      <c r="H217" t="s">
        <v>7476</v>
      </c>
      <c r="I217" s="1">
        <v>2</v>
      </c>
      <c r="J217" s="1">
        <v>2</v>
      </c>
      <c r="K217" t="s">
        <v>6636</v>
      </c>
      <c r="L217" s="5">
        <f>VLOOKUP(D:D,[1]Munka2!$A:$B,2,FALSE)</f>
        <v>1</v>
      </c>
      <c r="M217" s="5">
        <f>_xlfn.IFNA(Táblázat1[[#This Row],[Kész2020]],0)</f>
        <v>1</v>
      </c>
      <c r="N217" s="5">
        <f>IF(Táblázat1[[#This Row],[Karb./akt.év]]-Táblázat1[[#This Row],[Kész2020_2]]&lt;0,0,Táblázat1[[#This Row],[Karb./akt.év]]-Táblázat1[[#This Row],[Kész2020_2]])</f>
        <v>1</v>
      </c>
    </row>
    <row r="218" spans="1:14" hidden="1" x14ac:dyDescent="0.25">
      <c r="A218" s="17" t="s">
        <v>6</v>
      </c>
      <c r="B218" s="17" t="s">
        <v>1223</v>
      </c>
      <c r="C218" s="17" t="s">
        <v>1742</v>
      </c>
      <c r="D218" s="17" t="s">
        <v>3030</v>
      </c>
      <c r="E218" s="17" t="s">
        <v>4287</v>
      </c>
      <c r="F218" s="17" t="s">
        <v>3598</v>
      </c>
      <c r="G218" s="17" t="s">
        <v>6152</v>
      </c>
      <c r="H218" t="s">
        <v>7476</v>
      </c>
      <c r="I218" s="1">
        <v>2</v>
      </c>
      <c r="J218" s="1">
        <v>2</v>
      </c>
      <c r="K218" t="s">
        <v>7014</v>
      </c>
      <c r="L218" s="5">
        <f>VLOOKUP(D:D,[1]Munka2!$A:$B,2,FALSE)</f>
        <v>1</v>
      </c>
      <c r="M218" s="5">
        <f>_xlfn.IFNA(Táblázat1[[#This Row],[Kész2020]],0)</f>
        <v>1</v>
      </c>
      <c r="N218" s="5">
        <f>IF(Táblázat1[[#This Row],[Karb./akt.év]]-Táblázat1[[#This Row],[Kész2020_2]]&lt;0,0,Táblázat1[[#This Row],[Karb./akt.év]]-Táblázat1[[#This Row],[Kész2020_2]])</f>
        <v>1</v>
      </c>
    </row>
    <row r="219" spans="1:14" hidden="1" x14ac:dyDescent="0.25">
      <c r="A219" s="17" t="s">
        <v>6</v>
      </c>
      <c r="B219" s="17" t="s">
        <v>1133</v>
      </c>
      <c r="C219" s="17" t="s">
        <v>1742</v>
      </c>
      <c r="D219" s="17" t="s">
        <v>2930</v>
      </c>
      <c r="E219" s="17" t="s">
        <v>4214</v>
      </c>
      <c r="F219" s="17" t="s">
        <v>3598</v>
      </c>
      <c r="G219" s="17" t="s">
        <v>6063</v>
      </c>
      <c r="H219" t="s">
        <v>7476</v>
      </c>
      <c r="I219" s="1">
        <v>2</v>
      </c>
      <c r="J219" s="1">
        <v>2</v>
      </c>
      <c r="K219" t="s">
        <v>7017</v>
      </c>
      <c r="L219" s="5">
        <f>VLOOKUP(D:D,[1]Munka2!$A:$B,2,FALSE)</f>
        <v>1</v>
      </c>
      <c r="M219" s="5">
        <f>_xlfn.IFNA(Táblázat1[[#This Row],[Kész2020]],0)</f>
        <v>1</v>
      </c>
      <c r="N219" s="5">
        <f>IF(Táblázat1[[#This Row],[Karb./akt.év]]-Táblázat1[[#This Row],[Kész2020_2]]&lt;0,0,Táblázat1[[#This Row],[Karb./akt.év]]-Táblázat1[[#This Row],[Kész2020_2]])</f>
        <v>1</v>
      </c>
    </row>
    <row r="220" spans="1:14" hidden="1" x14ac:dyDescent="0.25">
      <c r="A220" s="17" t="s">
        <v>6</v>
      </c>
      <c r="B220" s="17" t="s">
        <v>1285</v>
      </c>
      <c r="C220" s="17" t="s">
        <v>1742</v>
      </c>
      <c r="D220" s="17" t="s">
        <v>3098</v>
      </c>
      <c r="E220" s="17" t="s">
        <v>3645</v>
      </c>
      <c r="F220" s="17" t="s">
        <v>3598</v>
      </c>
      <c r="G220" s="17" t="s">
        <v>6207</v>
      </c>
      <c r="H220" t="s">
        <v>7476</v>
      </c>
      <c r="I220" s="1">
        <v>2</v>
      </c>
      <c r="J220" s="1">
        <v>2</v>
      </c>
      <c r="K220" t="s">
        <v>8101</v>
      </c>
      <c r="L220" s="5">
        <f>VLOOKUP(D:D,[1]Munka2!$A:$B,2,FALSE)</f>
        <v>1</v>
      </c>
      <c r="M220" s="5">
        <f>_xlfn.IFNA(Táblázat1[[#This Row],[Kész2020]],0)</f>
        <v>1</v>
      </c>
      <c r="N220" s="5">
        <f>IF(Táblázat1[[#This Row],[Karb./akt.év]]-Táblázat1[[#This Row],[Kész2020_2]]&lt;0,0,Táblázat1[[#This Row],[Karb./akt.év]]-Táblázat1[[#This Row],[Kész2020_2]])</f>
        <v>1</v>
      </c>
    </row>
    <row r="221" spans="1:14" hidden="1" x14ac:dyDescent="0.25">
      <c r="A221" s="17" t="s">
        <v>6</v>
      </c>
      <c r="B221" s="17" t="s">
        <v>1056</v>
      </c>
      <c r="C221" s="17" t="s">
        <v>1736</v>
      </c>
      <c r="D221" s="17" t="s">
        <v>2844</v>
      </c>
      <c r="E221" s="17" t="s">
        <v>4359</v>
      </c>
      <c r="F221" s="17" t="s">
        <v>3598</v>
      </c>
      <c r="G221" s="17" t="s">
        <v>5986</v>
      </c>
      <c r="H221" t="s">
        <v>7476</v>
      </c>
      <c r="I221" s="1">
        <v>2</v>
      </c>
      <c r="J221" s="1">
        <v>2</v>
      </c>
      <c r="K221" t="s">
        <v>6641</v>
      </c>
      <c r="L221" s="5">
        <f>VLOOKUP(D:D,[1]Munka2!$A:$B,2,FALSE)</f>
        <v>1</v>
      </c>
      <c r="M221" s="5">
        <f>_xlfn.IFNA(Táblázat1[[#This Row],[Kész2020]],0)</f>
        <v>1</v>
      </c>
      <c r="N221" s="5">
        <f>IF(Táblázat1[[#This Row],[Karb./akt.év]]-Táblázat1[[#This Row],[Kész2020_2]]&lt;0,0,Táblázat1[[#This Row],[Karb./akt.év]]-Táblázat1[[#This Row],[Kész2020_2]])</f>
        <v>1</v>
      </c>
    </row>
    <row r="222" spans="1:14" hidden="1" x14ac:dyDescent="0.25">
      <c r="A222" s="17" t="s">
        <v>6</v>
      </c>
      <c r="B222" s="17" t="s">
        <v>582</v>
      </c>
      <c r="C222" s="17" t="s">
        <v>1743</v>
      </c>
      <c r="D222" s="17" t="s">
        <v>2355</v>
      </c>
      <c r="E222" s="17" t="s">
        <v>3597</v>
      </c>
      <c r="F222" s="17" t="s">
        <v>3598</v>
      </c>
      <c r="G222" s="17" t="s">
        <v>5546</v>
      </c>
      <c r="H222" t="s">
        <v>7476</v>
      </c>
      <c r="I222" s="1">
        <v>2</v>
      </c>
      <c r="J222" s="1">
        <v>2</v>
      </c>
      <c r="K222" t="s">
        <v>6633</v>
      </c>
      <c r="L222" s="5">
        <f>VLOOKUP(D:D,[1]Munka2!$A:$B,2,FALSE)</f>
        <v>2</v>
      </c>
      <c r="M222" s="5">
        <f>_xlfn.IFNA(Táblázat1[[#This Row],[Kész2020]],0)</f>
        <v>2</v>
      </c>
      <c r="N222" s="5">
        <f>IF(Táblázat1[[#This Row],[Karb./akt.év]]-Táblázat1[[#This Row],[Kész2020_2]]&lt;0,0,Táblázat1[[#This Row],[Karb./akt.év]]-Táblázat1[[#This Row],[Kész2020_2]])</f>
        <v>0</v>
      </c>
    </row>
    <row r="223" spans="1:14" hidden="1" x14ac:dyDescent="0.25">
      <c r="A223" s="17" t="s">
        <v>6</v>
      </c>
      <c r="B223" s="17" t="s">
        <v>1226</v>
      </c>
      <c r="C223" s="17" t="s">
        <v>1736</v>
      </c>
      <c r="D223" s="17" t="s">
        <v>3033</v>
      </c>
      <c r="E223" s="17" t="s">
        <v>4264</v>
      </c>
      <c r="F223" s="17" t="s">
        <v>3598</v>
      </c>
      <c r="G223" s="17" t="s">
        <v>6155</v>
      </c>
      <c r="H223" t="s">
        <v>7476</v>
      </c>
      <c r="I223" s="1">
        <v>2</v>
      </c>
      <c r="J223" s="1">
        <v>2</v>
      </c>
      <c r="K223" t="s">
        <v>6641</v>
      </c>
      <c r="L223" s="5">
        <f>VLOOKUP(D:D,[1]Munka2!$A:$B,2,FALSE)</f>
        <v>1</v>
      </c>
      <c r="M223" s="5">
        <f>_xlfn.IFNA(Táblázat1[[#This Row],[Kész2020]],0)</f>
        <v>1</v>
      </c>
      <c r="N223" s="5">
        <f>IF(Táblázat1[[#This Row],[Karb./akt.év]]-Táblázat1[[#This Row],[Kész2020_2]]&lt;0,0,Táblázat1[[#This Row],[Karb./akt.év]]-Táblázat1[[#This Row],[Kész2020_2]])</f>
        <v>1</v>
      </c>
    </row>
    <row r="224" spans="1:14" hidden="1" x14ac:dyDescent="0.25">
      <c r="A224" s="17" t="s">
        <v>6</v>
      </c>
      <c r="B224" s="17" t="s">
        <v>6780</v>
      </c>
      <c r="C224" s="17" t="s">
        <v>1736</v>
      </c>
      <c r="D224" s="17" t="s">
        <v>2486</v>
      </c>
      <c r="E224" s="17" t="s">
        <v>3745</v>
      </c>
      <c r="F224" s="17" t="s">
        <v>3598</v>
      </c>
      <c r="G224" s="17" t="s">
        <v>5664</v>
      </c>
      <c r="H224" t="s">
        <v>7476</v>
      </c>
      <c r="I224" s="1">
        <v>2</v>
      </c>
      <c r="J224" s="1">
        <v>2</v>
      </c>
      <c r="K224" t="s">
        <v>8101</v>
      </c>
      <c r="L224" s="5">
        <f>VLOOKUP(D:D,[1]Munka2!$A:$B,2,FALSE)</f>
        <v>1</v>
      </c>
      <c r="M224" s="5">
        <f>_xlfn.IFNA(Táblázat1[[#This Row],[Kész2020]],0)</f>
        <v>1</v>
      </c>
      <c r="N224" s="5">
        <f>IF(Táblázat1[[#This Row],[Karb./akt.év]]-Táblázat1[[#This Row],[Kész2020_2]]&lt;0,0,Táblázat1[[#This Row],[Karb./akt.év]]-Táblázat1[[#This Row],[Kész2020_2]])</f>
        <v>1</v>
      </c>
    </row>
    <row r="225" spans="1:14" hidden="1" x14ac:dyDescent="0.25">
      <c r="A225" s="17" t="s">
        <v>6</v>
      </c>
      <c r="B225" s="17" t="s">
        <v>447</v>
      </c>
      <c r="C225" s="17" t="s">
        <v>1742</v>
      </c>
      <c r="D225" s="17" t="s">
        <v>2205</v>
      </c>
      <c r="E225" s="17" t="s">
        <v>4059</v>
      </c>
      <c r="F225" s="17" t="s">
        <v>3598</v>
      </c>
      <c r="G225" s="17" t="s">
        <v>5412</v>
      </c>
      <c r="H225" t="s">
        <v>7476</v>
      </c>
      <c r="I225" s="1">
        <v>2</v>
      </c>
      <c r="J225" s="1">
        <v>2</v>
      </c>
      <c r="K225" t="s">
        <v>8101</v>
      </c>
      <c r="L225" s="5">
        <f>VLOOKUP(D:D,[1]Munka2!$A:$B,2,FALSE)</f>
        <v>1</v>
      </c>
      <c r="M225" s="5">
        <f>_xlfn.IFNA(Táblázat1[[#This Row],[Kész2020]],0)</f>
        <v>1</v>
      </c>
      <c r="N225" s="5">
        <f>IF(Táblázat1[[#This Row],[Karb./akt.év]]-Táblázat1[[#This Row],[Kész2020_2]]&lt;0,0,Táblázat1[[#This Row],[Karb./akt.év]]-Táblázat1[[#This Row],[Kész2020_2]])</f>
        <v>1</v>
      </c>
    </row>
    <row r="226" spans="1:14" ht="26.25" customHeight="1" x14ac:dyDescent="0.25">
      <c r="A226" s="17" t="s">
        <v>6</v>
      </c>
      <c r="B226" s="17" t="s">
        <v>556</v>
      </c>
      <c r="C226" s="17" t="s">
        <v>1743</v>
      </c>
      <c r="D226" s="17" t="s">
        <v>2600</v>
      </c>
      <c r="E226" s="17" t="s">
        <v>4185</v>
      </c>
      <c r="F226" s="17" t="s">
        <v>3598</v>
      </c>
      <c r="G226" s="17" t="s">
        <v>5518</v>
      </c>
      <c r="H226" t="s">
        <v>7476</v>
      </c>
      <c r="I226" s="1">
        <v>2</v>
      </c>
      <c r="J226" s="1">
        <v>2</v>
      </c>
      <c r="K226" t="s">
        <v>8101</v>
      </c>
      <c r="L226" s="5" t="e">
        <f>VLOOKUP(D:D,[1]Munka2!$A:$B,2,FALSE)</f>
        <v>#N/A</v>
      </c>
      <c r="M226" s="5">
        <f>_xlfn.IFNA(Táblázat1[[#This Row],[Kész2020]],0)</f>
        <v>0</v>
      </c>
      <c r="N226" s="5">
        <f>IF(Táblázat1[[#This Row],[Karb./akt.év]]-Táblázat1[[#This Row],[Kész2020_2]]&lt;0,0,Táblázat1[[#This Row],[Karb./akt.év]]-Táblázat1[[#This Row],[Kész2020_2]])</f>
        <v>2</v>
      </c>
    </row>
    <row r="227" spans="1:14" hidden="1" x14ac:dyDescent="0.25">
      <c r="A227" s="17" t="s">
        <v>6</v>
      </c>
      <c r="B227" s="17" t="s">
        <v>1546</v>
      </c>
      <c r="C227" s="17" t="s">
        <v>1742</v>
      </c>
      <c r="D227" s="17" t="s">
        <v>3390</v>
      </c>
      <c r="E227" s="17" t="s">
        <v>3670</v>
      </c>
      <c r="F227" s="17" t="s">
        <v>3598</v>
      </c>
      <c r="G227" s="17" t="s">
        <v>6452</v>
      </c>
      <c r="H227" t="s">
        <v>7476</v>
      </c>
      <c r="I227" s="1">
        <v>2</v>
      </c>
      <c r="J227" s="1">
        <v>2</v>
      </c>
      <c r="K227" t="s">
        <v>8101</v>
      </c>
      <c r="L227" s="5">
        <f>VLOOKUP(D:D,[1]Munka2!$A:$B,2,FALSE)</f>
        <v>1</v>
      </c>
      <c r="M227" s="5">
        <f>_xlfn.IFNA(Táblázat1[[#This Row],[Kész2020]],0)</f>
        <v>1</v>
      </c>
      <c r="N227" s="5">
        <f>IF(Táblázat1[[#This Row],[Karb./akt.év]]-Táblázat1[[#This Row],[Kész2020_2]]&lt;0,0,Táblázat1[[#This Row],[Karb./akt.év]]-Táblázat1[[#This Row],[Kész2020_2]])</f>
        <v>1</v>
      </c>
    </row>
    <row r="228" spans="1:14" hidden="1" x14ac:dyDescent="0.25">
      <c r="A228" s="17" t="s">
        <v>6</v>
      </c>
      <c r="B228" s="17" t="s">
        <v>389</v>
      </c>
      <c r="C228" s="17" t="s">
        <v>1742</v>
      </c>
      <c r="D228" s="17" t="s">
        <v>2145</v>
      </c>
      <c r="E228" s="17" t="s">
        <v>4019</v>
      </c>
      <c r="F228" s="17" t="s">
        <v>3598</v>
      </c>
      <c r="G228" s="17" t="s">
        <v>5357</v>
      </c>
      <c r="H228" t="s">
        <v>7476</v>
      </c>
      <c r="I228" s="1">
        <v>2</v>
      </c>
      <c r="J228" s="1">
        <v>2</v>
      </c>
      <c r="K228" t="s">
        <v>6633</v>
      </c>
      <c r="L228" s="5">
        <f>VLOOKUP(D:D,[1]Munka2!$A:$B,2,FALSE)</f>
        <v>1</v>
      </c>
      <c r="M228" s="5">
        <f>_xlfn.IFNA(Táblázat1[[#This Row],[Kész2020]],0)</f>
        <v>1</v>
      </c>
      <c r="N228" s="5">
        <f>IF(Táblázat1[[#This Row],[Karb./akt.év]]-Táblázat1[[#This Row],[Kész2020_2]]&lt;0,0,Táblázat1[[#This Row],[Karb./akt.év]]-Táblázat1[[#This Row],[Kész2020_2]])</f>
        <v>1</v>
      </c>
    </row>
    <row r="229" spans="1:14" hidden="1" x14ac:dyDescent="0.25">
      <c r="A229" s="17" t="s">
        <v>6</v>
      </c>
      <c r="B229" s="17" t="s">
        <v>263</v>
      </c>
      <c r="C229" s="17" t="s">
        <v>1742</v>
      </c>
      <c r="D229" s="17" t="s">
        <v>2010</v>
      </c>
      <c r="E229" s="17" t="s">
        <v>3888</v>
      </c>
      <c r="F229" s="17" t="s">
        <v>3889</v>
      </c>
      <c r="G229" s="17" t="s">
        <v>5230</v>
      </c>
      <c r="H229" t="s">
        <v>7476</v>
      </c>
      <c r="I229" s="1">
        <v>2</v>
      </c>
      <c r="J229" s="1">
        <v>2</v>
      </c>
      <c r="K229" t="s">
        <v>7354</v>
      </c>
      <c r="L229" s="5">
        <f>VLOOKUP(D:D,[1]Munka2!$A:$B,2,FALSE)</f>
        <v>1</v>
      </c>
      <c r="M229" s="5">
        <f>_xlfn.IFNA(Táblázat1[[#This Row],[Kész2020]],0)</f>
        <v>1</v>
      </c>
      <c r="N229" s="5">
        <f>IF(Táblázat1[[#This Row],[Karb./akt.év]]-Táblázat1[[#This Row],[Kész2020_2]]&lt;0,0,Táblázat1[[#This Row],[Karb./akt.év]]-Táblázat1[[#This Row],[Kész2020_2]])</f>
        <v>1</v>
      </c>
    </row>
    <row r="230" spans="1:14" hidden="1" x14ac:dyDescent="0.25">
      <c r="A230" s="17" t="s">
        <v>6</v>
      </c>
      <c r="B230" s="17" t="s">
        <v>1214</v>
      </c>
      <c r="C230" s="17" t="s">
        <v>1742</v>
      </c>
      <c r="D230" s="17" t="s">
        <v>3020</v>
      </c>
      <c r="E230" s="17" t="s">
        <v>4622</v>
      </c>
      <c r="F230" s="17" t="s">
        <v>3598</v>
      </c>
      <c r="G230" s="17" t="s">
        <v>6142</v>
      </c>
      <c r="H230" t="s">
        <v>7476</v>
      </c>
      <c r="I230" s="1">
        <v>2</v>
      </c>
      <c r="J230" s="1">
        <v>2</v>
      </c>
      <c r="K230" t="s">
        <v>6633</v>
      </c>
      <c r="L230" s="5">
        <f>VLOOKUP(D:D,[1]Munka2!$A:$B,2,FALSE)</f>
        <v>1</v>
      </c>
      <c r="M230" s="5">
        <f>_xlfn.IFNA(Táblázat1[[#This Row],[Kész2020]],0)</f>
        <v>1</v>
      </c>
      <c r="N230" s="5">
        <f>IF(Táblázat1[[#This Row],[Karb./akt.év]]-Táblázat1[[#This Row],[Kész2020_2]]&lt;0,0,Táblázat1[[#This Row],[Karb./akt.év]]-Táblázat1[[#This Row],[Kész2020_2]])</f>
        <v>1</v>
      </c>
    </row>
    <row r="231" spans="1:14" hidden="1" x14ac:dyDescent="0.25">
      <c r="A231" s="17" t="s">
        <v>6</v>
      </c>
      <c r="B231" s="17" t="s">
        <v>298</v>
      </c>
      <c r="C231" s="17" t="s">
        <v>1742</v>
      </c>
      <c r="D231" s="17" t="s">
        <v>2047</v>
      </c>
      <c r="E231" s="17" t="s">
        <v>3918</v>
      </c>
      <c r="F231" s="17" t="s">
        <v>3919</v>
      </c>
      <c r="G231" s="17" t="s">
        <v>5265</v>
      </c>
      <c r="H231" t="s">
        <v>7476</v>
      </c>
      <c r="I231" s="1">
        <v>2</v>
      </c>
      <c r="J231" s="1">
        <v>2</v>
      </c>
      <c r="K231" t="s">
        <v>7014</v>
      </c>
      <c r="L231" s="5">
        <f>VLOOKUP(D:D,[1]Munka2!$A:$B,2,FALSE)</f>
        <v>1</v>
      </c>
      <c r="M231" s="5">
        <f>_xlfn.IFNA(Táblázat1[[#This Row],[Kész2020]],0)</f>
        <v>1</v>
      </c>
      <c r="N231" s="5">
        <f>IF(Táblázat1[[#This Row],[Karb./akt.év]]-Táblázat1[[#This Row],[Kész2020_2]]&lt;0,0,Táblázat1[[#This Row],[Karb./akt.év]]-Táblázat1[[#This Row],[Kész2020_2]])</f>
        <v>1</v>
      </c>
    </row>
    <row r="232" spans="1:14" hidden="1" x14ac:dyDescent="0.25">
      <c r="A232" s="17" t="s">
        <v>6</v>
      </c>
      <c r="B232" s="17" t="s">
        <v>1037</v>
      </c>
      <c r="C232" s="17" t="s">
        <v>1742</v>
      </c>
      <c r="D232" s="17" t="s">
        <v>2826</v>
      </c>
      <c r="E232" s="17" t="s">
        <v>4585</v>
      </c>
      <c r="F232" s="17" t="s">
        <v>4586</v>
      </c>
      <c r="G232" s="17" t="s">
        <v>5963</v>
      </c>
      <c r="H232" t="s">
        <v>7476</v>
      </c>
      <c r="I232" s="1">
        <v>2</v>
      </c>
      <c r="J232" s="1">
        <v>2</v>
      </c>
      <c r="K232" t="s">
        <v>6636</v>
      </c>
      <c r="L232" s="5">
        <f>VLOOKUP(D:D,[1]Munka2!$A:$B,2,FALSE)</f>
        <v>1</v>
      </c>
      <c r="M232" s="5">
        <f>_xlfn.IFNA(Táblázat1[[#This Row],[Kész2020]],0)</f>
        <v>1</v>
      </c>
      <c r="N232" s="5">
        <f>IF(Táblázat1[[#This Row],[Karb./akt.év]]-Táblázat1[[#This Row],[Kész2020_2]]&lt;0,0,Táblázat1[[#This Row],[Karb./akt.év]]-Táblázat1[[#This Row],[Kész2020_2]])</f>
        <v>1</v>
      </c>
    </row>
    <row r="233" spans="1:14" ht="26.25" customHeight="1" x14ac:dyDescent="0.25">
      <c r="A233" s="17" t="s">
        <v>6</v>
      </c>
      <c r="B233" s="17" t="s">
        <v>480</v>
      </c>
      <c r="C233" s="17" t="s">
        <v>1735</v>
      </c>
      <c r="D233" s="17" t="s">
        <v>2241</v>
      </c>
      <c r="E233" s="17" t="s">
        <v>3730</v>
      </c>
      <c r="F233" s="17" t="s">
        <v>3731</v>
      </c>
      <c r="G233" s="17" t="s">
        <v>5441</v>
      </c>
      <c r="H233" t="s">
        <v>7476</v>
      </c>
      <c r="I233" s="1">
        <v>2</v>
      </c>
      <c r="J233" s="1">
        <v>2</v>
      </c>
      <c r="K233" t="s">
        <v>6641</v>
      </c>
      <c r="L233" s="5" t="e">
        <f>VLOOKUP(D:D,[1]Munka2!$A:$B,2,FALSE)</f>
        <v>#N/A</v>
      </c>
      <c r="M233" s="5">
        <f>_xlfn.IFNA(Táblázat1[[#This Row],[Kész2020]],0)</f>
        <v>0</v>
      </c>
      <c r="N233" s="5">
        <f>IF(Táblázat1[[#This Row],[Karb./akt.év]]-Táblázat1[[#This Row],[Kész2020_2]]&lt;0,0,Táblázat1[[#This Row],[Karb./akt.év]]-Táblázat1[[#This Row],[Kész2020_2]])</f>
        <v>2</v>
      </c>
    </row>
    <row r="234" spans="1:14" hidden="1" x14ac:dyDescent="0.25">
      <c r="A234" s="17" t="s">
        <v>6</v>
      </c>
      <c r="B234" s="17" t="s">
        <v>7452</v>
      </c>
      <c r="C234" s="17" t="s">
        <v>1735</v>
      </c>
      <c r="D234" s="17" t="s">
        <v>7461</v>
      </c>
      <c r="E234" s="17" t="s">
        <v>4987</v>
      </c>
      <c r="F234" s="17" t="s">
        <v>3598</v>
      </c>
      <c r="G234" s="17" t="s">
        <v>7473</v>
      </c>
      <c r="H234" t="s">
        <v>7476</v>
      </c>
      <c r="I234" s="1">
        <v>2</v>
      </c>
      <c r="J234" s="1">
        <v>2</v>
      </c>
      <c r="K234" t="s">
        <v>6633</v>
      </c>
      <c r="L234" s="5">
        <f>VLOOKUP(D:D,[1]Munka2!$A:$B,2,FALSE)</f>
        <v>1</v>
      </c>
      <c r="M234" s="5">
        <f>_xlfn.IFNA(Táblázat1[[#This Row],[Kész2020]],0)</f>
        <v>1</v>
      </c>
      <c r="N234" s="5">
        <f>IF(Táblázat1[[#This Row],[Karb./akt.év]]-Táblázat1[[#This Row],[Kész2020_2]]&lt;0,0,Táblázat1[[#This Row],[Karb./akt.év]]-Táblázat1[[#This Row],[Kész2020_2]])</f>
        <v>1</v>
      </c>
    </row>
    <row r="235" spans="1:14" ht="26.25" customHeight="1" x14ac:dyDescent="0.25">
      <c r="A235" s="17" t="s">
        <v>6</v>
      </c>
      <c r="B235" s="17" t="s">
        <v>295</v>
      </c>
      <c r="C235" s="17" t="s">
        <v>1737</v>
      </c>
      <c r="D235" s="17" t="s">
        <v>2044</v>
      </c>
      <c r="E235" s="17" t="s">
        <v>3915</v>
      </c>
      <c r="F235" s="17" t="s">
        <v>3598</v>
      </c>
      <c r="G235" s="17" t="s">
        <v>5262</v>
      </c>
      <c r="H235" t="s">
        <v>7476</v>
      </c>
      <c r="I235" s="1">
        <v>2</v>
      </c>
      <c r="J235" s="1">
        <v>2</v>
      </c>
      <c r="K235" t="s">
        <v>6641</v>
      </c>
      <c r="L235" s="5" t="e">
        <f>VLOOKUP(D:D,[1]Munka2!$A:$B,2,FALSE)</f>
        <v>#N/A</v>
      </c>
      <c r="M235" s="5">
        <f>_xlfn.IFNA(Táblázat1[[#This Row],[Kész2020]],0)</f>
        <v>0</v>
      </c>
      <c r="N235" s="5">
        <f>IF(Táblázat1[[#This Row],[Karb./akt.év]]-Táblázat1[[#This Row],[Kész2020_2]]&lt;0,0,Táblázat1[[#This Row],[Karb./akt.év]]-Táblázat1[[#This Row],[Kész2020_2]])</f>
        <v>2</v>
      </c>
    </row>
    <row r="236" spans="1:14" hidden="1" x14ac:dyDescent="0.25">
      <c r="A236" s="17" t="s">
        <v>6</v>
      </c>
      <c r="B236" s="17" t="s">
        <v>953</v>
      </c>
      <c r="C236" s="17" t="s">
        <v>1735</v>
      </c>
      <c r="D236" s="17" t="s">
        <v>2739</v>
      </c>
      <c r="E236" s="17" t="s">
        <v>4052</v>
      </c>
      <c r="F236" s="17" t="s">
        <v>3598</v>
      </c>
      <c r="G236" s="17" t="s">
        <v>5883</v>
      </c>
      <c r="H236" t="s">
        <v>7476</v>
      </c>
      <c r="I236" s="1">
        <v>2</v>
      </c>
      <c r="J236" s="1">
        <v>2</v>
      </c>
      <c r="K236" t="s">
        <v>7017</v>
      </c>
      <c r="L236" s="5">
        <f>VLOOKUP(D:D,[1]Munka2!$A:$B,2,FALSE)</f>
        <v>1</v>
      </c>
      <c r="M236" s="5">
        <f>_xlfn.IFNA(Táblázat1[[#This Row],[Kész2020]],0)</f>
        <v>1</v>
      </c>
      <c r="N236" s="5">
        <f>IF(Táblázat1[[#This Row],[Karb./akt.év]]-Táblázat1[[#This Row],[Kész2020_2]]&lt;0,0,Táblázat1[[#This Row],[Karb./akt.év]]-Táblázat1[[#This Row],[Kész2020_2]])</f>
        <v>1</v>
      </c>
    </row>
    <row r="237" spans="1:14" hidden="1" x14ac:dyDescent="0.25">
      <c r="A237" s="17" t="s">
        <v>6</v>
      </c>
      <c r="B237" s="17" t="s">
        <v>1107</v>
      </c>
      <c r="C237" s="17" t="s">
        <v>1735</v>
      </c>
      <c r="D237" s="17" t="s">
        <v>2901</v>
      </c>
      <c r="E237" s="17" t="s">
        <v>4627</v>
      </c>
      <c r="F237" s="17" t="s">
        <v>3598</v>
      </c>
      <c r="G237" s="17" t="s">
        <v>6037</v>
      </c>
      <c r="H237" t="s">
        <v>7476</v>
      </c>
      <c r="I237" s="1">
        <v>2</v>
      </c>
      <c r="J237" s="1">
        <v>2</v>
      </c>
      <c r="K237" t="s">
        <v>6633</v>
      </c>
      <c r="L237" s="5">
        <f>VLOOKUP(D:D,[1]Munka2!$A:$B,2,FALSE)</f>
        <v>1</v>
      </c>
      <c r="M237" s="5">
        <f>_xlfn.IFNA(Táblázat1[[#This Row],[Kész2020]],0)</f>
        <v>1</v>
      </c>
      <c r="N237" s="5">
        <f>IF(Táblázat1[[#This Row],[Karb./akt.év]]-Táblázat1[[#This Row],[Kész2020_2]]&lt;0,0,Táblázat1[[#This Row],[Karb./akt.év]]-Táblázat1[[#This Row],[Kész2020_2]])</f>
        <v>1</v>
      </c>
    </row>
    <row r="238" spans="1:14" hidden="1" x14ac:dyDescent="0.25">
      <c r="A238" s="17" t="s">
        <v>6</v>
      </c>
      <c r="B238" s="17" t="s">
        <v>1140</v>
      </c>
      <c r="C238" s="17" t="s">
        <v>1737</v>
      </c>
      <c r="D238" s="17" t="s">
        <v>2938</v>
      </c>
      <c r="E238" s="17" t="s">
        <v>4051</v>
      </c>
      <c r="F238" s="17" t="s">
        <v>3598</v>
      </c>
      <c r="G238" s="17" t="s">
        <v>6071</v>
      </c>
      <c r="H238" t="s">
        <v>7476</v>
      </c>
      <c r="I238" s="1">
        <v>2</v>
      </c>
      <c r="J238" s="1">
        <v>2</v>
      </c>
      <c r="K238" t="s">
        <v>6636</v>
      </c>
      <c r="L238" s="5">
        <f>VLOOKUP(D:D,[1]Munka2!$A:$B,2,FALSE)</f>
        <v>1</v>
      </c>
      <c r="M238" s="5">
        <f>_xlfn.IFNA(Táblázat1[[#This Row],[Kész2020]],0)</f>
        <v>1</v>
      </c>
      <c r="N238" s="5">
        <f>IF(Táblázat1[[#This Row],[Karb./akt.év]]-Táblázat1[[#This Row],[Kész2020_2]]&lt;0,0,Táblázat1[[#This Row],[Karb./akt.év]]-Táblázat1[[#This Row],[Kész2020_2]])</f>
        <v>1</v>
      </c>
    </row>
    <row r="239" spans="1:14" ht="26.25" customHeight="1" x14ac:dyDescent="0.25">
      <c r="A239" s="17" t="s">
        <v>6</v>
      </c>
      <c r="B239" s="17" t="s">
        <v>1731</v>
      </c>
      <c r="C239" s="17" t="s">
        <v>1735</v>
      </c>
      <c r="D239" s="17" t="s">
        <v>3591</v>
      </c>
      <c r="E239" s="17" t="s">
        <v>5007</v>
      </c>
      <c r="F239" s="17" t="s">
        <v>3598</v>
      </c>
      <c r="G239" s="17" t="s">
        <v>6626</v>
      </c>
      <c r="H239" t="s">
        <v>7476</v>
      </c>
      <c r="I239" s="1">
        <v>2</v>
      </c>
      <c r="J239" s="1">
        <v>2</v>
      </c>
      <c r="K239" t="s">
        <v>6641</v>
      </c>
      <c r="L239" s="5" t="e">
        <f>VLOOKUP(D:D,[1]Munka2!$A:$B,2,FALSE)</f>
        <v>#N/A</v>
      </c>
      <c r="M239" s="5">
        <f>_xlfn.IFNA(Táblázat1[[#This Row],[Kész2020]],0)</f>
        <v>0</v>
      </c>
      <c r="N239" s="5">
        <f>IF(Táblázat1[[#This Row],[Karb./akt.év]]-Táblázat1[[#This Row],[Kész2020_2]]&lt;0,0,Táblázat1[[#This Row],[Karb./akt.év]]-Táblázat1[[#This Row],[Kész2020_2]])</f>
        <v>2</v>
      </c>
    </row>
    <row r="240" spans="1:14" ht="26.25" customHeight="1" x14ac:dyDescent="0.25">
      <c r="A240" s="17" t="s">
        <v>6</v>
      </c>
      <c r="B240" s="17" t="s">
        <v>314</v>
      </c>
      <c r="C240" s="17" t="s">
        <v>1735</v>
      </c>
      <c r="D240" s="17" t="s">
        <v>2063</v>
      </c>
      <c r="E240" s="17" t="s">
        <v>3693</v>
      </c>
      <c r="F240" s="17" t="s">
        <v>3694</v>
      </c>
      <c r="G240" s="17" t="s">
        <v>5281</v>
      </c>
      <c r="H240" t="s">
        <v>7476</v>
      </c>
      <c r="I240" s="1">
        <v>2</v>
      </c>
      <c r="J240" s="1">
        <v>2</v>
      </c>
      <c r="K240" t="s">
        <v>6641</v>
      </c>
      <c r="L240" s="5" t="e">
        <f>VLOOKUP(D:D,[1]Munka2!$A:$B,2,FALSE)</f>
        <v>#N/A</v>
      </c>
      <c r="M240" s="5">
        <f>_xlfn.IFNA(Táblázat1[[#This Row],[Kész2020]],0)</f>
        <v>0</v>
      </c>
      <c r="N240" s="5">
        <f>IF(Táblázat1[[#This Row],[Karb./akt.év]]-Táblázat1[[#This Row],[Kész2020_2]]&lt;0,0,Táblázat1[[#This Row],[Karb./akt.év]]-Táblázat1[[#This Row],[Kész2020_2]])</f>
        <v>2</v>
      </c>
    </row>
    <row r="241" spans="1:14" hidden="1" x14ac:dyDescent="0.25">
      <c r="A241" s="17" t="s">
        <v>6</v>
      </c>
      <c r="B241" s="17" t="s">
        <v>347</v>
      </c>
      <c r="C241" s="17" t="s">
        <v>1735</v>
      </c>
      <c r="D241" s="17" t="s">
        <v>2101</v>
      </c>
      <c r="E241" s="17" t="s">
        <v>3974</v>
      </c>
      <c r="F241" s="17" t="s">
        <v>3975</v>
      </c>
      <c r="G241" s="17" t="s">
        <v>5313</v>
      </c>
      <c r="H241" t="s">
        <v>7476</v>
      </c>
      <c r="I241" s="1">
        <v>2</v>
      </c>
      <c r="J241" s="1">
        <v>2</v>
      </c>
      <c r="K241" t="s">
        <v>6641</v>
      </c>
      <c r="L241" s="5">
        <f>VLOOKUP(D:D,[1]Munka2!$A:$B,2,FALSE)</f>
        <v>1</v>
      </c>
      <c r="M241" s="5">
        <f>_xlfn.IFNA(Táblázat1[[#This Row],[Kész2020]],0)</f>
        <v>1</v>
      </c>
      <c r="N241" s="5">
        <f>IF(Táblázat1[[#This Row],[Karb./akt.év]]-Táblázat1[[#This Row],[Kész2020_2]]&lt;0,0,Táblázat1[[#This Row],[Karb./akt.év]]-Táblázat1[[#This Row],[Kész2020_2]])</f>
        <v>1</v>
      </c>
    </row>
    <row r="242" spans="1:14" x14ac:dyDescent="0.25">
      <c r="A242" s="17" t="s">
        <v>6</v>
      </c>
      <c r="B242" s="17" t="s">
        <v>1377</v>
      </c>
      <c r="C242" s="17" t="s">
        <v>1737</v>
      </c>
      <c r="D242" s="17" t="s">
        <v>3197</v>
      </c>
      <c r="E242" s="17" t="s">
        <v>4851</v>
      </c>
      <c r="F242" s="17" t="s">
        <v>4852</v>
      </c>
      <c r="G242" s="17" t="s">
        <v>6280</v>
      </c>
      <c r="H242" t="s">
        <v>7476</v>
      </c>
      <c r="I242" s="1">
        <v>2</v>
      </c>
      <c r="J242" s="1">
        <v>2</v>
      </c>
      <c r="K242" t="s">
        <v>6636</v>
      </c>
      <c r="L242" s="5" t="e">
        <f>VLOOKUP(D:D,[1]Munka2!$A:$B,2,FALSE)</f>
        <v>#N/A</v>
      </c>
      <c r="M242" s="5">
        <f>_xlfn.IFNA(Táblázat1[[#This Row],[Kész2020]],0)</f>
        <v>0</v>
      </c>
      <c r="N242" s="5">
        <f>IF(Táblázat1[[#This Row],[Karb./akt.év]]-Táblázat1[[#This Row],[Kész2020_2]]&lt;0,0,Táblázat1[[#This Row],[Karb./akt.év]]-Táblázat1[[#This Row],[Kész2020_2]])</f>
        <v>2</v>
      </c>
    </row>
    <row r="243" spans="1:14" x14ac:dyDescent="0.25">
      <c r="A243" s="17" t="s">
        <v>6</v>
      </c>
      <c r="B243" s="17" t="s">
        <v>1427</v>
      </c>
      <c r="C243" s="17" t="s">
        <v>1735</v>
      </c>
      <c r="D243" s="17" t="s">
        <v>3257</v>
      </c>
      <c r="E243" s="17" t="s">
        <v>3752</v>
      </c>
      <c r="F243" s="17" t="s">
        <v>3753</v>
      </c>
      <c r="G243" s="17" t="s">
        <v>6331</v>
      </c>
      <c r="H243" t="s">
        <v>7476</v>
      </c>
      <c r="I243" s="1">
        <v>2</v>
      </c>
      <c r="J243" s="1">
        <v>2</v>
      </c>
      <c r="K243" t="s">
        <v>6641</v>
      </c>
      <c r="L243" s="5" t="e">
        <f>VLOOKUP(D:D,[1]Munka2!$A:$B,2,FALSE)</f>
        <v>#N/A</v>
      </c>
      <c r="M243" s="5">
        <f>_xlfn.IFNA(Táblázat1[[#This Row],[Kész2020]],0)</f>
        <v>0</v>
      </c>
      <c r="N243" s="5">
        <f>IF(Táblázat1[[#This Row],[Karb./akt.év]]-Táblázat1[[#This Row],[Kész2020_2]]&lt;0,0,Táblázat1[[#This Row],[Karb./akt.év]]-Táblázat1[[#This Row],[Kész2020_2]])</f>
        <v>2</v>
      </c>
    </row>
    <row r="244" spans="1:14" hidden="1" x14ac:dyDescent="0.25">
      <c r="A244" s="17" t="s">
        <v>6</v>
      </c>
      <c r="B244" s="17" t="s">
        <v>1593</v>
      </c>
      <c r="C244" s="17" t="s">
        <v>1736</v>
      </c>
      <c r="D244" s="17" t="s">
        <v>3440</v>
      </c>
      <c r="E244" s="17" t="s">
        <v>4421</v>
      </c>
      <c r="F244" s="17" t="s">
        <v>3598</v>
      </c>
      <c r="G244" s="17" t="s">
        <v>6493</v>
      </c>
      <c r="H244" t="s">
        <v>7476</v>
      </c>
      <c r="I244" s="1">
        <v>2</v>
      </c>
      <c r="J244" s="1">
        <v>2</v>
      </c>
      <c r="K244" t="s">
        <v>6636</v>
      </c>
      <c r="L244" s="5">
        <f>VLOOKUP(D:D,[1]Munka2!$A:$B,2,FALSE)</f>
        <v>1</v>
      </c>
      <c r="M244" s="5">
        <f>_xlfn.IFNA(Táblázat1[[#This Row],[Kész2020]],0)</f>
        <v>1</v>
      </c>
      <c r="N244" s="5">
        <f>IF(Táblázat1[[#This Row],[Karb./akt.év]]-Táblázat1[[#This Row],[Kész2020_2]]&lt;0,0,Táblázat1[[#This Row],[Karb./akt.év]]-Táblázat1[[#This Row],[Kész2020_2]])</f>
        <v>1</v>
      </c>
    </row>
    <row r="245" spans="1:14" x14ac:dyDescent="0.25">
      <c r="A245" s="17" t="s">
        <v>6</v>
      </c>
      <c r="B245" s="17" t="s">
        <v>202</v>
      </c>
      <c r="C245" s="17" t="s">
        <v>1743</v>
      </c>
      <c r="D245" s="17" t="s">
        <v>1943</v>
      </c>
      <c r="E245" s="17" t="s">
        <v>3693</v>
      </c>
      <c r="F245" s="17" t="s">
        <v>3694</v>
      </c>
      <c r="G245" s="17" t="s">
        <v>5172</v>
      </c>
      <c r="H245" t="s">
        <v>7476</v>
      </c>
      <c r="I245" s="1">
        <v>2</v>
      </c>
      <c r="J245" s="1">
        <v>2</v>
      </c>
      <c r="K245" t="s">
        <v>6641</v>
      </c>
      <c r="L245" s="5" t="e">
        <f>VLOOKUP(D:D,[1]Munka2!$A:$B,2,FALSE)</f>
        <v>#N/A</v>
      </c>
      <c r="M245" s="5">
        <f>_xlfn.IFNA(Táblázat1[[#This Row],[Kész2020]],0)</f>
        <v>0</v>
      </c>
      <c r="N245" s="5">
        <f>IF(Táblázat1[[#This Row],[Karb./akt.év]]-Táblázat1[[#This Row],[Kész2020_2]]&lt;0,0,Táblázat1[[#This Row],[Karb./akt.év]]-Táblázat1[[#This Row],[Kész2020_2]])</f>
        <v>2</v>
      </c>
    </row>
    <row r="246" spans="1:14" hidden="1" x14ac:dyDescent="0.25">
      <c r="A246" s="17" t="s">
        <v>6</v>
      </c>
      <c r="B246" s="17" t="s">
        <v>1555</v>
      </c>
      <c r="C246" s="17" t="s">
        <v>1742</v>
      </c>
      <c r="D246" s="17" t="s">
        <v>3400</v>
      </c>
      <c r="E246" s="17" t="s">
        <v>3988</v>
      </c>
      <c r="F246" s="17" t="s">
        <v>3989</v>
      </c>
      <c r="G246" s="17" t="s">
        <v>6460</v>
      </c>
      <c r="H246" t="s">
        <v>7476</v>
      </c>
      <c r="I246" s="1">
        <v>2</v>
      </c>
      <c r="J246" s="1">
        <v>2</v>
      </c>
      <c r="K246" t="s">
        <v>6636</v>
      </c>
      <c r="L246" s="5">
        <f>VLOOKUP(D:D,[1]Munka2!$A:$B,2,FALSE)</f>
        <v>1</v>
      </c>
      <c r="M246" s="5">
        <f>_xlfn.IFNA(Táblázat1[[#This Row],[Kész2020]],0)</f>
        <v>1</v>
      </c>
      <c r="N246" s="5">
        <f>IF(Táblázat1[[#This Row],[Karb./akt.év]]-Táblázat1[[#This Row],[Kész2020_2]]&lt;0,0,Táblázat1[[#This Row],[Karb./akt.év]]-Táblázat1[[#This Row],[Kész2020_2]])</f>
        <v>1</v>
      </c>
    </row>
    <row r="247" spans="1:14" hidden="1" x14ac:dyDescent="0.25">
      <c r="A247" s="17" t="s">
        <v>6</v>
      </c>
      <c r="B247" s="17" t="s">
        <v>840</v>
      </c>
      <c r="C247" s="17" t="s">
        <v>1737</v>
      </c>
      <c r="D247" s="17" t="s">
        <v>2618</v>
      </c>
      <c r="E247" s="17" t="s">
        <v>4265</v>
      </c>
      <c r="F247" s="17" t="s">
        <v>3598</v>
      </c>
      <c r="G247" s="17" t="s">
        <v>5781</v>
      </c>
      <c r="H247" t="s">
        <v>7476</v>
      </c>
      <c r="I247" s="1">
        <v>2</v>
      </c>
      <c r="J247" s="1">
        <v>2</v>
      </c>
      <c r="K247" t="s">
        <v>6641</v>
      </c>
      <c r="L247" s="5">
        <f>VLOOKUP(D:D,[1]Munka2!$A:$B,2,FALSE)</f>
        <v>1</v>
      </c>
      <c r="M247" s="5">
        <f>_xlfn.IFNA(Táblázat1[[#This Row],[Kész2020]],0)</f>
        <v>1</v>
      </c>
      <c r="N247" s="5">
        <f>IF(Táblázat1[[#This Row],[Karb./akt.év]]-Táblázat1[[#This Row],[Kész2020_2]]&lt;0,0,Táblázat1[[#This Row],[Karb./akt.év]]-Táblázat1[[#This Row],[Kész2020_2]])</f>
        <v>1</v>
      </c>
    </row>
    <row r="248" spans="1:14" x14ac:dyDescent="0.25">
      <c r="A248" s="17" t="s">
        <v>6</v>
      </c>
      <c r="B248" s="17" t="s">
        <v>720</v>
      </c>
      <c r="C248" s="17" t="s">
        <v>1742</v>
      </c>
      <c r="D248" s="17" t="s">
        <v>2497</v>
      </c>
      <c r="E248" s="17" t="s">
        <v>4187</v>
      </c>
      <c r="F248" s="17" t="s">
        <v>4188</v>
      </c>
      <c r="G248" s="17" t="s">
        <v>5673</v>
      </c>
      <c r="H248" t="s">
        <v>7476</v>
      </c>
      <c r="I248" s="1">
        <v>2</v>
      </c>
      <c r="J248" s="1">
        <v>2</v>
      </c>
      <c r="K248" t="s">
        <v>6785</v>
      </c>
      <c r="L248" s="5" t="e">
        <f>VLOOKUP(D:D,[1]Munka2!$A:$B,2,FALSE)</f>
        <v>#N/A</v>
      </c>
      <c r="M248" s="5">
        <f>_xlfn.IFNA(Táblázat1[[#This Row],[Kész2020]],0)</f>
        <v>0</v>
      </c>
      <c r="N248" s="5">
        <f>IF(Táblázat1[[#This Row],[Karb./akt.év]]-Táblázat1[[#This Row],[Kész2020_2]]&lt;0,0,Táblázat1[[#This Row],[Karb./akt.év]]-Táblázat1[[#This Row],[Kész2020_2]])</f>
        <v>2</v>
      </c>
    </row>
    <row r="249" spans="1:14" hidden="1" x14ac:dyDescent="0.25">
      <c r="A249" s="17" t="s">
        <v>6</v>
      </c>
      <c r="B249" s="17" t="s">
        <v>51</v>
      </c>
      <c r="C249" s="17" t="s">
        <v>1735</v>
      </c>
      <c r="D249" s="17" t="s">
        <v>1789</v>
      </c>
      <c r="E249" s="17" t="s">
        <v>3633</v>
      </c>
      <c r="F249" s="17" t="s">
        <v>3634</v>
      </c>
      <c r="G249" s="17" t="s">
        <v>5027</v>
      </c>
      <c r="H249" t="s">
        <v>7476</v>
      </c>
      <c r="I249" s="1">
        <v>2</v>
      </c>
      <c r="J249" s="1">
        <v>2</v>
      </c>
      <c r="K249" t="s">
        <v>6641</v>
      </c>
      <c r="L249" s="5">
        <f>VLOOKUP(D:D,[1]Munka2!$A:$B,2,FALSE)</f>
        <v>1</v>
      </c>
      <c r="M249" s="5">
        <f>_xlfn.IFNA(Táblázat1[[#This Row],[Kész2020]],0)</f>
        <v>1</v>
      </c>
      <c r="N249" s="5">
        <f>IF(Táblázat1[[#This Row],[Karb./akt.év]]-Táblázat1[[#This Row],[Kész2020_2]]&lt;0,0,Táblázat1[[#This Row],[Karb./akt.év]]-Táblázat1[[#This Row],[Kész2020_2]])</f>
        <v>1</v>
      </c>
    </row>
    <row r="250" spans="1:14" x14ac:dyDescent="0.25">
      <c r="A250" s="17" t="s">
        <v>6</v>
      </c>
      <c r="B250" s="17" t="s">
        <v>672</v>
      </c>
      <c r="C250" s="17" t="s">
        <v>1737</v>
      </c>
      <c r="D250" s="17" t="s">
        <v>2446</v>
      </c>
      <c r="E250" s="17" t="s">
        <v>4283</v>
      </c>
      <c r="F250" s="17" t="s">
        <v>3598</v>
      </c>
      <c r="G250" s="17" t="s">
        <v>5628</v>
      </c>
      <c r="H250" t="s">
        <v>7476</v>
      </c>
      <c r="I250" s="1">
        <v>2</v>
      </c>
      <c r="J250" s="1">
        <v>2</v>
      </c>
      <c r="K250" t="s">
        <v>6636</v>
      </c>
      <c r="L250" s="5" t="e">
        <f>VLOOKUP(D:D,[1]Munka2!$A:$B,2,FALSE)</f>
        <v>#N/A</v>
      </c>
      <c r="M250" s="5">
        <f>_xlfn.IFNA(Táblázat1[[#This Row],[Kész2020]],0)</f>
        <v>0</v>
      </c>
      <c r="N250" s="5">
        <f>IF(Táblázat1[[#This Row],[Karb./akt.év]]-Táblázat1[[#This Row],[Kész2020_2]]&lt;0,0,Táblázat1[[#This Row],[Karb./akt.év]]-Táblázat1[[#This Row],[Kész2020_2]])</f>
        <v>2</v>
      </c>
    </row>
    <row r="251" spans="1:14" hidden="1" x14ac:dyDescent="0.25">
      <c r="A251" s="17" t="s">
        <v>6</v>
      </c>
      <c r="B251" s="17" t="s">
        <v>1453</v>
      </c>
      <c r="C251" s="17" t="s">
        <v>1735</v>
      </c>
      <c r="D251" s="17" t="s">
        <v>3285</v>
      </c>
      <c r="E251" s="17" t="s">
        <v>3913</v>
      </c>
      <c r="F251" s="17" t="s">
        <v>3914</v>
      </c>
      <c r="G251" s="17" t="s">
        <v>6359</v>
      </c>
      <c r="H251" t="s">
        <v>7476</v>
      </c>
      <c r="I251" s="1">
        <v>2</v>
      </c>
      <c r="J251" s="1">
        <v>2</v>
      </c>
      <c r="K251" t="s">
        <v>6784</v>
      </c>
      <c r="L251" s="5">
        <f>VLOOKUP(D:D,[1]Munka2!$A:$B,2,FALSE)</f>
        <v>1</v>
      </c>
      <c r="M251" s="5">
        <f>_xlfn.IFNA(Táblázat1[[#This Row],[Kész2020]],0)</f>
        <v>1</v>
      </c>
      <c r="N251" s="5">
        <f>IF(Táblázat1[[#This Row],[Karb./akt.év]]-Táblázat1[[#This Row],[Kész2020_2]]&lt;0,0,Táblázat1[[#This Row],[Karb./akt.év]]-Táblázat1[[#This Row],[Kész2020_2]])</f>
        <v>1</v>
      </c>
    </row>
    <row r="252" spans="1:14" hidden="1" x14ac:dyDescent="0.25">
      <c r="A252" s="17" t="s">
        <v>6</v>
      </c>
      <c r="B252" s="17" t="s">
        <v>701</v>
      </c>
      <c r="C252" s="17" t="s">
        <v>1736</v>
      </c>
      <c r="D252" s="17" t="s">
        <v>2477</v>
      </c>
      <c r="E252" s="17" t="s">
        <v>4051</v>
      </c>
      <c r="F252" s="17" t="s">
        <v>3598</v>
      </c>
      <c r="G252" s="17" t="s">
        <v>5655</v>
      </c>
      <c r="H252" t="s">
        <v>7476</v>
      </c>
      <c r="I252" s="1">
        <v>2</v>
      </c>
      <c r="J252" s="1">
        <v>2</v>
      </c>
      <c r="K252" t="s">
        <v>6636</v>
      </c>
      <c r="L252" s="5">
        <f>VLOOKUP(D:D,[1]Munka2!$A:$B,2,FALSE)</f>
        <v>1</v>
      </c>
      <c r="M252" s="5">
        <f>_xlfn.IFNA(Táblázat1[[#This Row],[Kész2020]],0)</f>
        <v>1</v>
      </c>
      <c r="N252" s="5">
        <f>IF(Táblázat1[[#This Row],[Karb./akt.év]]-Táblázat1[[#This Row],[Kész2020_2]]&lt;0,0,Táblázat1[[#This Row],[Karb./akt.év]]-Táblázat1[[#This Row],[Kész2020_2]])</f>
        <v>1</v>
      </c>
    </row>
    <row r="253" spans="1:14" hidden="1" x14ac:dyDescent="0.25">
      <c r="A253" s="17" t="s">
        <v>6</v>
      </c>
      <c r="B253" s="17" t="s">
        <v>7189</v>
      </c>
      <c r="C253" s="17" t="s">
        <v>1743</v>
      </c>
      <c r="D253" s="17" t="s">
        <v>7196</v>
      </c>
      <c r="E253" s="17" t="s">
        <v>4421</v>
      </c>
      <c r="F253" s="17" t="s">
        <v>3598</v>
      </c>
      <c r="G253" s="17" t="s">
        <v>6619</v>
      </c>
      <c r="H253" t="s">
        <v>7476</v>
      </c>
      <c r="I253" s="1">
        <v>2</v>
      </c>
      <c r="J253" s="1">
        <v>2</v>
      </c>
      <c r="K253" t="s">
        <v>6636</v>
      </c>
      <c r="L253" s="5">
        <f>VLOOKUP(D:D,[1]Munka2!$A:$B,2,FALSE)</f>
        <v>1</v>
      </c>
      <c r="M253" s="5">
        <f>_xlfn.IFNA(Táblázat1[[#This Row],[Kész2020]],0)</f>
        <v>1</v>
      </c>
      <c r="N253" s="5">
        <f>IF(Táblázat1[[#This Row],[Karb./akt.év]]-Táblázat1[[#This Row],[Kész2020_2]]&lt;0,0,Táblázat1[[#This Row],[Karb./akt.év]]-Táblázat1[[#This Row],[Kész2020_2]])</f>
        <v>1</v>
      </c>
    </row>
    <row r="254" spans="1:14" hidden="1" x14ac:dyDescent="0.25">
      <c r="A254" s="17" t="s">
        <v>6</v>
      </c>
      <c r="B254" s="17" t="s">
        <v>6707</v>
      </c>
      <c r="C254" s="17" t="s">
        <v>1737</v>
      </c>
      <c r="D254" s="17" t="s">
        <v>2401</v>
      </c>
      <c r="E254" s="17" t="s">
        <v>3707</v>
      </c>
      <c r="F254" s="17" t="s">
        <v>3708</v>
      </c>
      <c r="G254" s="17" t="s">
        <v>5587</v>
      </c>
      <c r="H254" t="s">
        <v>7476</v>
      </c>
      <c r="I254" s="1">
        <v>2</v>
      </c>
      <c r="J254" s="1">
        <v>2</v>
      </c>
      <c r="K254" t="s">
        <v>6641</v>
      </c>
      <c r="L254" s="5">
        <f>VLOOKUP(D:D,[1]Munka2!$A:$B,2,FALSE)</f>
        <v>1</v>
      </c>
      <c r="M254" s="5">
        <f>_xlfn.IFNA(Táblázat1[[#This Row],[Kész2020]],0)</f>
        <v>1</v>
      </c>
      <c r="N254" s="5">
        <f>IF(Táblázat1[[#This Row],[Karb./akt.év]]-Táblázat1[[#This Row],[Kész2020_2]]&lt;0,0,Táblázat1[[#This Row],[Karb./akt.év]]-Táblázat1[[#This Row],[Kész2020_2]])</f>
        <v>1</v>
      </c>
    </row>
    <row r="255" spans="1:14" hidden="1" x14ac:dyDescent="0.25">
      <c r="A255" s="17" t="s">
        <v>6</v>
      </c>
      <c r="B255" s="17" t="s">
        <v>945</v>
      </c>
      <c r="C255" s="17" t="s">
        <v>1737</v>
      </c>
      <c r="D255" s="17" t="s">
        <v>2733</v>
      </c>
      <c r="E255" s="17" t="s">
        <v>3643</v>
      </c>
      <c r="F255" s="17" t="s">
        <v>3598</v>
      </c>
      <c r="G255" s="17" t="s">
        <v>5875</v>
      </c>
      <c r="H255" t="s">
        <v>7476</v>
      </c>
      <c r="I255" s="1">
        <v>2</v>
      </c>
      <c r="J255" s="1">
        <v>2</v>
      </c>
      <c r="K255" t="s">
        <v>8101</v>
      </c>
      <c r="L255" s="5">
        <f>VLOOKUP(D:D,[1]Munka2!$A:$B,2,FALSE)</f>
        <v>1</v>
      </c>
      <c r="M255" s="5">
        <f>_xlfn.IFNA(Táblázat1[[#This Row],[Kész2020]],0)</f>
        <v>1</v>
      </c>
      <c r="N255" s="5">
        <f>IF(Táblázat1[[#This Row],[Karb./akt.év]]-Táblázat1[[#This Row],[Kész2020_2]]&lt;0,0,Táblázat1[[#This Row],[Karb./akt.év]]-Táblázat1[[#This Row],[Kész2020_2]])</f>
        <v>1</v>
      </c>
    </row>
    <row r="256" spans="1:14" hidden="1" x14ac:dyDescent="0.25">
      <c r="A256" s="17" t="s">
        <v>6</v>
      </c>
      <c r="B256" s="17" t="s">
        <v>1707</v>
      </c>
      <c r="C256" s="17" t="s">
        <v>1737</v>
      </c>
      <c r="D256" s="17" t="s">
        <v>3564</v>
      </c>
      <c r="E256" s="17" t="s">
        <v>4996</v>
      </c>
      <c r="F256" s="17" t="s">
        <v>3598</v>
      </c>
      <c r="G256" s="17" t="s">
        <v>6602</v>
      </c>
      <c r="H256" t="s">
        <v>7476</v>
      </c>
      <c r="I256" s="1">
        <v>2</v>
      </c>
      <c r="J256" s="1">
        <v>2</v>
      </c>
      <c r="K256" t="s">
        <v>6633</v>
      </c>
      <c r="L256" s="5">
        <f>VLOOKUP(D:D,[1]Munka2!$A:$B,2,FALSE)</f>
        <v>1</v>
      </c>
      <c r="M256" s="5">
        <f>_xlfn.IFNA(Táblázat1[[#This Row],[Kész2020]],0)</f>
        <v>1</v>
      </c>
      <c r="N256" s="5">
        <f>IF(Táblázat1[[#This Row],[Karb./akt.év]]-Táblázat1[[#This Row],[Kész2020_2]]&lt;0,0,Táblázat1[[#This Row],[Karb./akt.év]]-Táblázat1[[#This Row],[Kész2020_2]])</f>
        <v>1</v>
      </c>
    </row>
    <row r="257" spans="1:14" hidden="1" x14ac:dyDescent="0.25">
      <c r="A257" s="17" t="s">
        <v>6</v>
      </c>
      <c r="B257" s="17" t="s">
        <v>6804</v>
      </c>
      <c r="C257" s="17" t="s">
        <v>1736</v>
      </c>
      <c r="D257" s="17" t="s">
        <v>6820</v>
      </c>
      <c r="E257" s="17" t="s">
        <v>3643</v>
      </c>
      <c r="F257" s="17" t="s">
        <v>3598</v>
      </c>
      <c r="G257" s="17" t="s">
        <v>6261</v>
      </c>
      <c r="H257" t="s">
        <v>7476</v>
      </c>
      <c r="I257" s="1">
        <v>2</v>
      </c>
      <c r="J257" s="1">
        <v>2</v>
      </c>
      <c r="K257" t="s">
        <v>8101</v>
      </c>
      <c r="L257" s="5">
        <f>VLOOKUP(D:D,[1]Munka2!$A:$B,2,FALSE)</f>
        <v>1</v>
      </c>
      <c r="M257" s="5">
        <f>_xlfn.IFNA(Táblázat1[[#This Row],[Kész2020]],0)</f>
        <v>1</v>
      </c>
      <c r="N257" s="5">
        <f>IF(Táblázat1[[#This Row],[Karb./akt.év]]-Táblázat1[[#This Row],[Kész2020_2]]&lt;0,0,Táblázat1[[#This Row],[Karb./akt.év]]-Táblázat1[[#This Row],[Kész2020_2]])</f>
        <v>1</v>
      </c>
    </row>
    <row r="258" spans="1:14" hidden="1" x14ac:dyDescent="0.25">
      <c r="A258" s="17" t="s">
        <v>6</v>
      </c>
      <c r="B258" s="17" t="s">
        <v>1462</v>
      </c>
      <c r="C258" s="17" t="s">
        <v>1736</v>
      </c>
      <c r="D258" s="17" t="s">
        <v>3295</v>
      </c>
      <c r="E258" s="17" t="s">
        <v>4899</v>
      </c>
      <c r="F258" s="17" t="s">
        <v>3598</v>
      </c>
      <c r="G258" s="17" t="s">
        <v>6371</v>
      </c>
      <c r="H258" t="s">
        <v>7476</v>
      </c>
      <c r="I258" s="1">
        <v>2</v>
      </c>
      <c r="J258" s="1">
        <v>2</v>
      </c>
      <c r="K258" t="s">
        <v>6633</v>
      </c>
      <c r="L258" s="5">
        <f>VLOOKUP(D:D,[1]Munka2!$A:$B,2,FALSE)</f>
        <v>1</v>
      </c>
      <c r="M258" s="5">
        <f>_xlfn.IFNA(Táblázat1[[#This Row],[Kész2020]],0)</f>
        <v>1</v>
      </c>
      <c r="N258" s="5">
        <f>IF(Táblázat1[[#This Row],[Karb./akt.év]]-Táblázat1[[#This Row],[Kész2020_2]]&lt;0,0,Táblázat1[[#This Row],[Karb./akt.év]]-Táblázat1[[#This Row],[Kész2020_2]])</f>
        <v>1</v>
      </c>
    </row>
    <row r="259" spans="1:14" hidden="1" x14ac:dyDescent="0.25">
      <c r="A259" s="17" t="s">
        <v>6</v>
      </c>
      <c r="B259" s="17" t="s">
        <v>326</v>
      </c>
      <c r="C259" s="17" t="s">
        <v>1735</v>
      </c>
      <c r="D259" s="17" t="s">
        <v>2075</v>
      </c>
      <c r="E259" s="17" t="s">
        <v>3939</v>
      </c>
      <c r="F259" s="17" t="s">
        <v>3940</v>
      </c>
      <c r="G259" s="17" t="s">
        <v>5293</v>
      </c>
      <c r="H259" t="s">
        <v>7476</v>
      </c>
      <c r="I259" s="1">
        <v>2</v>
      </c>
      <c r="J259" s="1">
        <v>2</v>
      </c>
      <c r="K259" t="s">
        <v>6633</v>
      </c>
      <c r="L259" s="5">
        <f>VLOOKUP(D:D,[1]Munka2!$A:$B,2,FALSE)</f>
        <v>1</v>
      </c>
      <c r="M259" s="5">
        <f>_xlfn.IFNA(Táblázat1[[#This Row],[Kész2020]],0)</f>
        <v>1</v>
      </c>
      <c r="N259" s="5">
        <f>IF(Táblázat1[[#This Row],[Karb./akt.év]]-Táblázat1[[#This Row],[Kész2020_2]]&lt;0,0,Táblázat1[[#This Row],[Karb./akt.év]]-Táblázat1[[#This Row],[Kész2020_2]])</f>
        <v>1</v>
      </c>
    </row>
    <row r="260" spans="1:14" hidden="1" x14ac:dyDescent="0.25">
      <c r="A260" s="17" t="s">
        <v>6</v>
      </c>
      <c r="B260" s="17" t="s">
        <v>1094</v>
      </c>
      <c r="C260" s="17" t="s">
        <v>1743</v>
      </c>
      <c r="D260" s="17" t="s">
        <v>2885</v>
      </c>
      <c r="E260" s="17" t="s">
        <v>4617</v>
      </c>
      <c r="F260" s="17" t="s">
        <v>3598</v>
      </c>
      <c r="G260" s="17" t="s">
        <v>6023</v>
      </c>
      <c r="H260" t="s">
        <v>7476</v>
      </c>
      <c r="I260" s="1">
        <v>2</v>
      </c>
      <c r="J260" s="1">
        <v>2</v>
      </c>
      <c r="K260" t="s">
        <v>6785</v>
      </c>
      <c r="L260" s="5">
        <f>VLOOKUP(D:D,[1]Munka2!$A:$B,2,FALSE)</f>
        <v>1</v>
      </c>
      <c r="M260" s="5">
        <f>_xlfn.IFNA(Táblázat1[[#This Row],[Kész2020]],0)</f>
        <v>1</v>
      </c>
      <c r="N260" s="5">
        <f>IF(Táblázat1[[#This Row],[Karb./akt.év]]-Táblázat1[[#This Row],[Kész2020_2]]&lt;0,0,Táblázat1[[#This Row],[Karb./akt.év]]-Táblázat1[[#This Row],[Kész2020_2]])</f>
        <v>1</v>
      </c>
    </row>
    <row r="261" spans="1:14" x14ac:dyDescent="0.25">
      <c r="A261" s="17" t="s">
        <v>6</v>
      </c>
      <c r="B261" s="17" t="s">
        <v>1664</v>
      </c>
      <c r="C261" s="17" t="s">
        <v>1737</v>
      </c>
      <c r="D261" s="17" t="s">
        <v>3521</v>
      </c>
      <c r="E261" s="17" t="s">
        <v>3676</v>
      </c>
      <c r="F261" s="17" t="s">
        <v>3598</v>
      </c>
      <c r="G261" s="17" t="s">
        <v>6562</v>
      </c>
      <c r="H261" t="s">
        <v>7476</v>
      </c>
      <c r="I261" s="1">
        <v>2</v>
      </c>
      <c r="J261" s="1">
        <v>2</v>
      </c>
      <c r="K261" t="s">
        <v>8101</v>
      </c>
      <c r="L261" s="5" t="e">
        <f>VLOOKUP(D:D,[1]Munka2!$A:$B,2,FALSE)</f>
        <v>#N/A</v>
      </c>
      <c r="M261" s="5">
        <f>_xlfn.IFNA(Táblázat1[[#This Row],[Kész2020]],0)</f>
        <v>0</v>
      </c>
      <c r="N261" s="5">
        <f>IF(Táblázat1[[#This Row],[Karb./akt.év]]-Táblázat1[[#This Row],[Kész2020_2]]&lt;0,0,Táblázat1[[#This Row],[Karb./akt.év]]-Táblázat1[[#This Row],[Kész2020_2]])</f>
        <v>2</v>
      </c>
    </row>
    <row r="262" spans="1:14" hidden="1" x14ac:dyDescent="0.25">
      <c r="A262" s="17" t="s">
        <v>6</v>
      </c>
      <c r="B262" s="17" t="s">
        <v>1665</v>
      </c>
      <c r="C262" s="17" t="s">
        <v>1737</v>
      </c>
      <c r="D262" s="17" t="s">
        <v>3522</v>
      </c>
      <c r="E262" s="17" t="s">
        <v>3676</v>
      </c>
      <c r="F262" s="17" t="s">
        <v>3598</v>
      </c>
      <c r="G262" s="17" t="s">
        <v>6562</v>
      </c>
      <c r="H262" t="s">
        <v>7476</v>
      </c>
      <c r="I262" s="1">
        <v>2</v>
      </c>
      <c r="J262" s="1">
        <v>2</v>
      </c>
      <c r="K262" t="s">
        <v>8101</v>
      </c>
      <c r="L262" s="5">
        <f>VLOOKUP(D:D,[1]Munka2!$A:$B,2,FALSE)</f>
        <v>1</v>
      </c>
      <c r="M262" s="5">
        <f>_xlfn.IFNA(Táblázat1[[#This Row],[Kész2020]],0)</f>
        <v>1</v>
      </c>
      <c r="N262" s="5">
        <f>IF(Táblázat1[[#This Row],[Karb./akt.év]]-Táblázat1[[#This Row],[Kész2020_2]]&lt;0,0,Táblázat1[[#This Row],[Karb./akt.év]]-Táblázat1[[#This Row],[Kész2020_2]])</f>
        <v>1</v>
      </c>
    </row>
    <row r="263" spans="1:14" hidden="1" x14ac:dyDescent="0.25">
      <c r="A263" s="17" t="s">
        <v>6</v>
      </c>
      <c r="B263" s="17" t="s">
        <v>68</v>
      </c>
      <c r="C263" s="17" t="s">
        <v>1736</v>
      </c>
      <c r="D263" s="17" t="s">
        <v>1806</v>
      </c>
      <c r="E263" s="17" t="s">
        <v>3654</v>
      </c>
      <c r="F263" s="17" t="s">
        <v>3598</v>
      </c>
      <c r="G263" s="17" t="s">
        <v>5042</v>
      </c>
      <c r="H263" t="s">
        <v>7476</v>
      </c>
      <c r="I263" s="1">
        <v>2</v>
      </c>
      <c r="J263" s="1">
        <v>2</v>
      </c>
      <c r="K263" t="s">
        <v>7017</v>
      </c>
      <c r="L263" s="5">
        <f>VLOOKUP(D:D,[1]Munka2!$A:$B,2,FALSE)</f>
        <v>1</v>
      </c>
      <c r="M263" s="5">
        <f>_xlfn.IFNA(Táblázat1[[#This Row],[Kész2020]],0)</f>
        <v>1</v>
      </c>
      <c r="N263" s="5">
        <f>IF(Táblázat1[[#This Row],[Karb./akt.év]]-Táblázat1[[#This Row],[Kész2020_2]]&lt;0,0,Táblázat1[[#This Row],[Karb./akt.év]]-Táblázat1[[#This Row],[Kész2020_2]])</f>
        <v>1</v>
      </c>
    </row>
    <row r="264" spans="1:14" hidden="1" x14ac:dyDescent="0.25">
      <c r="A264" s="17" t="s">
        <v>6</v>
      </c>
      <c r="B264" s="17" t="s">
        <v>1009</v>
      </c>
      <c r="C264" s="17" t="s">
        <v>1737</v>
      </c>
      <c r="D264" s="17" t="s">
        <v>2800</v>
      </c>
      <c r="E264" s="17" t="s">
        <v>4063</v>
      </c>
      <c r="F264" s="17" t="s">
        <v>3598</v>
      </c>
      <c r="G264" s="17" t="s">
        <v>5939</v>
      </c>
      <c r="H264" t="s">
        <v>7476</v>
      </c>
      <c r="I264" s="1">
        <v>2</v>
      </c>
      <c r="J264" s="1">
        <v>2</v>
      </c>
      <c r="K264" t="s">
        <v>7017</v>
      </c>
      <c r="L264" s="5">
        <f>VLOOKUP(D:D,[1]Munka2!$A:$B,2,FALSE)</f>
        <v>1</v>
      </c>
      <c r="M264" s="5">
        <f>_xlfn.IFNA(Táblázat1[[#This Row],[Kész2020]],0)</f>
        <v>1</v>
      </c>
      <c r="N264" s="5">
        <f>IF(Táblázat1[[#This Row],[Karb./akt.év]]-Táblázat1[[#This Row],[Kész2020_2]]&lt;0,0,Táblázat1[[#This Row],[Karb./akt.év]]-Táblázat1[[#This Row],[Kész2020_2]])</f>
        <v>1</v>
      </c>
    </row>
    <row r="265" spans="1:14" hidden="1" x14ac:dyDescent="0.25">
      <c r="A265" s="17" t="s">
        <v>6</v>
      </c>
      <c r="B265" s="17" t="s">
        <v>156</v>
      </c>
      <c r="C265" s="17" t="s">
        <v>1743</v>
      </c>
      <c r="D265" s="17" t="s">
        <v>1896</v>
      </c>
      <c r="E265" s="17" t="s">
        <v>3758</v>
      </c>
      <c r="F265" s="17" t="s">
        <v>3598</v>
      </c>
      <c r="G265" s="17" t="s">
        <v>5127</v>
      </c>
      <c r="H265" t="s">
        <v>7476</v>
      </c>
      <c r="I265" s="1">
        <v>2</v>
      </c>
      <c r="J265" s="1">
        <v>2</v>
      </c>
      <c r="K265" t="s">
        <v>6785</v>
      </c>
      <c r="L265" s="5">
        <f>VLOOKUP(D:D,[1]Munka2!$A:$B,2,FALSE)</f>
        <v>1</v>
      </c>
      <c r="M265" s="5">
        <f>_xlfn.IFNA(Táblázat1[[#This Row],[Kész2020]],0)</f>
        <v>1</v>
      </c>
      <c r="N265" s="5">
        <f>IF(Táblázat1[[#This Row],[Karb./akt.év]]-Táblázat1[[#This Row],[Kész2020_2]]&lt;0,0,Táblázat1[[#This Row],[Karb./akt.év]]-Táblázat1[[#This Row],[Kész2020_2]])</f>
        <v>1</v>
      </c>
    </row>
    <row r="266" spans="1:14" hidden="1" x14ac:dyDescent="0.25">
      <c r="A266" s="17" t="s">
        <v>6</v>
      </c>
      <c r="B266" s="17" t="s">
        <v>157</v>
      </c>
      <c r="C266" s="17" t="s">
        <v>1736</v>
      </c>
      <c r="D266" s="17" t="s">
        <v>1897</v>
      </c>
      <c r="E266" s="17" t="s">
        <v>3758</v>
      </c>
      <c r="F266" s="17" t="s">
        <v>3598</v>
      </c>
      <c r="G266" s="17" t="s">
        <v>5127</v>
      </c>
      <c r="H266" t="s">
        <v>7476</v>
      </c>
      <c r="I266" s="1">
        <v>2</v>
      </c>
      <c r="J266" s="1">
        <v>2</v>
      </c>
      <c r="K266" t="s">
        <v>6785</v>
      </c>
      <c r="L266" s="5">
        <f>VLOOKUP(D:D,[1]Munka2!$A:$B,2,FALSE)</f>
        <v>1</v>
      </c>
      <c r="M266" s="5">
        <f>_xlfn.IFNA(Táblázat1[[#This Row],[Kész2020]],0)</f>
        <v>1</v>
      </c>
      <c r="N266" s="5">
        <f>IF(Táblázat1[[#This Row],[Karb./akt.év]]-Táblázat1[[#This Row],[Kész2020_2]]&lt;0,0,Táblázat1[[#This Row],[Karb./akt.év]]-Táblázat1[[#This Row],[Kész2020_2]])</f>
        <v>1</v>
      </c>
    </row>
    <row r="267" spans="1:14" hidden="1" x14ac:dyDescent="0.25">
      <c r="A267" s="17" t="s">
        <v>6</v>
      </c>
      <c r="B267" s="17" t="s">
        <v>985</v>
      </c>
      <c r="C267" s="17" t="s">
        <v>1735</v>
      </c>
      <c r="D267" s="17" t="s">
        <v>2773</v>
      </c>
      <c r="E267" s="17" t="s">
        <v>4200</v>
      </c>
      <c r="F267" s="17" t="s">
        <v>3598</v>
      </c>
      <c r="G267" s="17" t="s">
        <v>5914</v>
      </c>
      <c r="H267" t="s">
        <v>7476</v>
      </c>
      <c r="I267" s="1">
        <v>2</v>
      </c>
      <c r="J267" s="1">
        <v>2</v>
      </c>
      <c r="K267" t="s">
        <v>6785</v>
      </c>
      <c r="L267" s="5">
        <f>VLOOKUP(D:D,[1]Munka2!$A:$B,2,FALSE)</f>
        <v>1</v>
      </c>
      <c r="M267" s="5">
        <f>_xlfn.IFNA(Táblázat1[[#This Row],[Kész2020]],0)</f>
        <v>1</v>
      </c>
      <c r="N267" s="5">
        <f>IF(Táblázat1[[#This Row],[Karb./akt.év]]-Táblázat1[[#This Row],[Kész2020_2]]&lt;0,0,Táblázat1[[#This Row],[Karb./akt.év]]-Táblázat1[[#This Row],[Kész2020_2]])</f>
        <v>1</v>
      </c>
    </row>
    <row r="268" spans="1:14" hidden="1" x14ac:dyDescent="0.25">
      <c r="A268" s="17" t="s">
        <v>6</v>
      </c>
      <c r="B268" s="17" t="s">
        <v>6677</v>
      </c>
      <c r="C268" s="17" t="s">
        <v>1735</v>
      </c>
      <c r="D268" s="17" t="s">
        <v>6680</v>
      </c>
      <c r="E268" s="17" t="s">
        <v>3862</v>
      </c>
      <c r="F268" s="17" t="s">
        <v>3598</v>
      </c>
      <c r="G268" s="17" t="s">
        <v>6681</v>
      </c>
      <c r="H268" t="s">
        <v>7476</v>
      </c>
      <c r="I268" s="1">
        <v>2</v>
      </c>
      <c r="J268" s="1">
        <v>2</v>
      </c>
      <c r="K268" t="s">
        <v>6633</v>
      </c>
      <c r="L268" s="5">
        <f>VLOOKUP(D:D,[1]Munka2!$A:$B,2,FALSE)</f>
        <v>1</v>
      </c>
      <c r="M268" s="5">
        <f>_xlfn.IFNA(Táblázat1[[#This Row],[Kész2020]],0)</f>
        <v>1</v>
      </c>
      <c r="N268" s="5">
        <f>IF(Táblázat1[[#This Row],[Karb./akt.év]]-Táblázat1[[#This Row],[Kész2020_2]]&lt;0,0,Táblázat1[[#This Row],[Karb./akt.év]]-Táblázat1[[#This Row],[Kész2020_2]])</f>
        <v>1</v>
      </c>
    </row>
    <row r="269" spans="1:14" hidden="1" x14ac:dyDescent="0.25">
      <c r="A269" s="17" t="s">
        <v>6</v>
      </c>
      <c r="B269" s="17" t="s">
        <v>7021</v>
      </c>
      <c r="C269" s="17" t="s">
        <v>1743</v>
      </c>
      <c r="D269" s="17" t="s">
        <v>2717</v>
      </c>
      <c r="E269" s="17" t="s">
        <v>4286</v>
      </c>
      <c r="F269" s="17" t="s">
        <v>3598</v>
      </c>
      <c r="G269" s="17" t="s">
        <v>7099</v>
      </c>
      <c r="H269" t="s">
        <v>7476</v>
      </c>
      <c r="I269" s="1">
        <v>2</v>
      </c>
      <c r="J269" s="1">
        <v>2</v>
      </c>
      <c r="K269" t="s">
        <v>8101</v>
      </c>
      <c r="L269" s="5">
        <f>VLOOKUP(D:D,[1]Munka2!$A:$B,2,FALSE)</f>
        <v>1</v>
      </c>
      <c r="M269" s="5">
        <f>_xlfn.IFNA(Táblázat1[[#This Row],[Kész2020]],0)</f>
        <v>1</v>
      </c>
      <c r="N269" s="5">
        <f>IF(Táblázat1[[#This Row],[Karb./akt.év]]-Táblázat1[[#This Row],[Kész2020_2]]&lt;0,0,Táblázat1[[#This Row],[Karb./akt.év]]-Táblázat1[[#This Row],[Kész2020_2]])</f>
        <v>1</v>
      </c>
    </row>
    <row r="270" spans="1:14" hidden="1" x14ac:dyDescent="0.25">
      <c r="A270" s="17" t="s">
        <v>6</v>
      </c>
      <c r="B270" s="17" t="s">
        <v>7022</v>
      </c>
      <c r="C270" s="17" t="s">
        <v>1736</v>
      </c>
      <c r="D270" s="17" t="s">
        <v>2156</v>
      </c>
      <c r="E270" s="17" t="s">
        <v>4286</v>
      </c>
      <c r="F270" s="17" t="s">
        <v>3598</v>
      </c>
      <c r="G270" s="17" t="s">
        <v>7099</v>
      </c>
      <c r="H270" t="s">
        <v>7476</v>
      </c>
      <c r="I270" s="1">
        <v>2</v>
      </c>
      <c r="J270" s="1">
        <v>2</v>
      </c>
      <c r="K270" t="s">
        <v>8101</v>
      </c>
      <c r="L270" s="5">
        <f>VLOOKUP(D:D,[1]Munka2!$A:$B,2,FALSE)</f>
        <v>1</v>
      </c>
      <c r="M270" s="5">
        <f>_xlfn.IFNA(Táblázat1[[#This Row],[Kész2020]],0)</f>
        <v>1</v>
      </c>
      <c r="N270" s="5">
        <f>IF(Táblázat1[[#This Row],[Karb./akt.év]]-Táblázat1[[#This Row],[Kész2020_2]]&lt;0,0,Táblázat1[[#This Row],[Karb./akt.év]]-Táblázat1[[#This Row],[Kész2020_2]])</f>
        <v>1</v>
      </c>
    </row>
    <row r="271" spans="1:14" hidden="1" x14ac:dyDescent="0.25">
      <c r="A271" s="17" t="s">
        <v>6</v>
      </c>
      <c r="B271" s="17" t="s">
        <v>7023</v>
      </c>
      <c r="C271" s="17" t="s">
        <v>1736</v>
      </c>
      <c r="D271" s="17" t="s">
        <v>7060</v>
      </c>
      <c r="E271" s="17" t="s">
        <v>4286</v>
      </c>
      <c r="F271" s="17" t="s">
        <v>3598</v>
      </c>
      <c r="G271" s="17" t="s">
        <v>7099</v>
      </c>
      <c r="H271" t="s">
        <v>7476</v>
      </c>
      <c r="I271" s="1">
        <v>2</v>
      </c>
      <c r="J271" s="1">
        <v>2</v>
      </c>
      <c r="K271" t="s">
        <v>8101</v>
      </c>
      <c r="L271" s="5">
        <f>VLOOKUP(D:D,[1]Munka2!$A:$B,2,FALSE)</f>
        <v>1</v>
      </c>
      <c r="M271" s="5">
        <f>_xlfn.IFNA(Táblázat1[[#This Row],[Kész2020]],0)</f>
        <v>1</v>
      </c>
      <c r="N271" s="5">
        <f>IF(Táblázat1[[#This Row],[Karb./akt.év]]-Táblázat1[[#This Row],[Kész2020_2]]&lt;0,0,Táblázat1[[#This Row],[Karb./akt.év]]-Táblázat1[[#This Row],[Kész2020_2]])</f>
        <v>1</v>
      </c>
    </row>
    <row r="272" spans="1:14" hidden="1" x14ac:dyDescent="0.25">
      <c r="A272" s="17" t="s">
        <v>6</v>
      </c>
      <c r="B272" s="17" t="s">
        <v>7024</v>
      </c>
      <c r="C272" s="17" t="s">
        <v>1735</v>
      </c>
      <c r="D272" s="17" t="s">
        <v>7061</v>
      </c>
      <c r="E272" s="17" t="s">
        <v>4299</v>
      </c>
      <c r="F272" s="17" t="s">
        <v>3598</v>
      </c>
      <c r="G272" s="17" t="s">
        <v>7100</v>
      </c>
      <c r="H272" t="s">
        <v>7476</v>
      </c>
      <c r="I272" s="1">
        <v>2</v>
      </c>
      <c r="J272" s="1">
        <v>2</v>
      </c>
      <c r="K272" t="s">
        <v>8101</v>
      </c>
      <c r="L272" s="5">
        <f>VLOOKUP(D:D,[1]Munka2!$A:$B,2,FALSE)</f>
        <v>1</v>
      </c>
      <c r="M272" s="5">
        <f>_xlfn.IFNA(Táblázat1[[#This Row],[Kész2020]],0)</f>
        <v>1</v>
      </c>
      <c r="N272" s="5">
        <f>IF(Táblázat1[[#This Row],[Karb./akt.év]]-Táblázat1[[#This Row],[Kész2020_2]]&lt;0,0,Táblázat1[[#This Row],[Karb./akt.év]]-Táblázat1[[#This Row],[Kész2020_2]])</f>
        <v>1</v>
      </c>
    </row>
    <row r="273" spans="1:14" x14ac:dyDescent="0.25">
      <c r="A273" s="17" t="s">
        <v>6</v>
      </c>
      <c r="B273" s="17" t="s">
        <v>7119</v>
      </c>
      <c r="C273" s="17" t="s">
        <v>1735</v>
      </c>
      <c r="D273" s="17" t="s">
        <v>7137</v>
      </c>
      <c r="E273" s="17" t="s">
        <v>4958</v>
      </c>
      <c r="F273" s="17" t="s">
        <v>3598</v>
      </c>
      <c r="G273" s="17" t="s">
        <v>7159</v>
      </c>
      <c r="H273" t="s">
        <v>7476</v>
      </c>
      <c r="I273" s="1">
        <v>2</v>
      </c>
      <c r="J273" s="1">
        <v>2</v>
      </c>
      <c r="K273" t="s">
        <v>6633</v>
      </c>
      <c r="L273" s="5" t="e">
        <f>VLOOKUP(D:D,[1]Munka2!$A:$B,2,FALSE)</f>
        <v>#N/A</v>
      </c>
      <c r="M273" s="5">
        <f>_xlfn.IFNA(Táblázat1[[#This Row],[Kész2020]],0)</f>
        <v>0</v>
      </c>
      <c r="N273" s="5">
        <f>IF(Táblázat1[[#This Row],[Karb./akt.év]]-Táblázat1[[#This Row],[Kész2020_2]]&lt;0,0,Táblázat1[[#This Row],[Karb./akt.év]]-Táblázat1[[#This Row],[Kész2020_2]])</f>
        <v>2</v>
      </c>
    </row>
    <row r="274" spans="1:14" x14ac:dyDescent="0.25">
      <c r="A274" s="17" t="s">
        <v>6</v>
      </c>
      <c r="B274" s="17" t="s">
        <v>7211</v>
      </c>
      <c r="C274" s="17" t="s">
        <v>1743</v>
      </c>
      <c r="D274" s="17" t="s">
        <v>7233</v>
      </c>
      <c r="E274" s="17" t="s">
        <v>4332</v>
      </c>
      <c r="F274" s="17" t="s">
        <v>3598</v>
      </c>
      <c r="G274" s="17" t="s">
        <v>7260</v>
      </c>
      <c r="H274" t="s">
        <v>7476</v>
      </c>
      <c r="I274" s="1">
        <v>2</v>
      </c>
      <c r="J274" s="1">
        <v>2</v>
      </c>
      <c r="K274" t="s">
        <v>6785</v>
      </c>
      <c r="L274" s="5" t="e">
        <f>VLOOKUP(D:D,[1]Munka2!$A:$B,2,FALSE)</f>
        <v>#N/A</v>
      </c>
      <c r="M274" s="5">
        <f>_xlfn.IFNA(Táblázat1[[#This Row],[Kész2020]],0)</f>
        <v>0</v>
      </c>
      <c r="N274" s="5">
        <f>IF(Táblázat1[[#This Row],[Karb./akt.év]]-Táblázat1[[#This Row],[Kész2020_2]]&lt;0,0,Táblázat1[[#This Row],[Karb./akt.év]]-Táblázat1[[#This Row],[Kész2020_2]])</f>
        <v>2</v>
      </c>
    </row>
    <row r="275" spans="1:14" hidden="1" x14ac:dyDescent="0.25">
      <c r="A275" s="17" t="s">
        <v>6</v>
      </c>
      <c r="B275" s="17" t="s">
        <v>7212</v>
      </c>
      <c r="C275" s="17" t="s">
        <v>1743</v>
      </c>
      <c r="D275" s="17" t="s">
        <v>7234</v>
      </c>
      <c r="E275" s="17" t="s">
        <v>3654</v>
      </c>
      <c r="F275" s="17" t="s">
        <v>3598</v>
      </c>
      <c r="G275" s="17" t="s">
        <v>7261</v>
      </c>
      <c r="H275" t="s">
        <v>7476</v>
      </c>
      <c r="I275" s="1">
        <v>2</v>
      </c>
      <c r="J275" s="1">
        <v>2</v>
      </c>
      <c r="K275" t="s">
        <v>7017</v>
      </c>
      <c r="L275" s="5">
        <f>VLOOKUP(D:D,[1]Munka2!$A:$B,2,FALSE)</f>
        <v>1</v>
      </c>
      <c r="M275" s="5">
        <f>_xlfn.IFNA(Táblázat1[[#This Row],[Kész2020]],0)</f>
        <v>1</v>
      </c>
      <c r="N275" s="5">
        <f>IF(Táblázat1[[#This Row],[Karb./akt.év]]-Táblázat1[[#This Row],[Kész2020_2]]&lt;0,0,Táblázat1[[#This Row],[Karb./akt.év]]-Táblázat1[[#This Row],[Kész2020_2]])</f>
        <v>1</v>
      </c>
    </row>
    <row r="276" spans="1:14" hidden="1" x14ac:dyDescent="0.25">
      <c r="A276" s="17" t="s">
        <v>6</v>
      </c>
      <c r="B276" s="17" t="s">
        <v>7379</v>
      </c>
      <c r="C276" s="17" t="s">
        <v>1735</v>
      </c>
      <c r="D276" s="17" t="s">
        <v>7380</v>
      </c>
      <c r="E276" s="17" t="s">
        <v>3745</v>
      </c>
      <c r="F276" s="17" t="s">
        <v>3598</v>
      </c>
      <c r="G276" s="17" t="s">
        <v>7381</v>
      </c>
      <c r="H276" t="s">
        <v>7476</v>
      </c>
      <c r="I276" s="1">
        <v>2</v>
      </c>
      <c r="J276" s="1">
        <v>2</v>
      </c>
      <c r="K276" t="s">
        <v>8101</v>
      </c>
      <c r="L276" s="5">
        <f>VLOOKUP(D:D,[1]Munka2!$A:$B,2,FALSE)</f>
        <v>1</v>
      </c>
      <c r="M276" s="5">
        <f>_xlfn.IFNA(Táblázat1[[#This Row],[Kész2020]],0)</f>
        <v>1</v>
      </c>
      <c r="N276" s="5">
        <f>IF(Táblázat1[[#This Row],[Karb./akt.év]]-Táblázat1[[#This Row],[Kész2020_2]]&lt;0,0,Táblázat1[[#This Row],[Karb./akt.év]]-Táblázat1[[#This Row],[Kész2020_2]])</f>
        <v>1</v>
      </c>
    </row>
    <row r="277" spans="1:14" hidden="1" x14ac:dyDescent="0.25">
      <c r="A277" s="17" t="s">
        <v>6</v>
      </c>
      <c r="B277" s="17" t="s">
        <v>7453</v>
      </c>
      <c r="C277" s="17" t="s">
        <v>1735</v>
      </c>
      <c r="D277" s="17" t="s">
        <v>7462</v>
      </c>
      <c r="E277" s="17" t="s">
        <v>4770</v>
      </c>
      <c r="F277" s="17" t="s">
        <v>3598</v>
      </c>
      <c r="G277" s="17" t="s">
        <v>6196</v>
      </c>
      <c r="H277" t="s">
        <v>7476</v>
      </c>
      <c r="I277" s="1">
        <v>2</v>
      </c>
      <c r="J277" s="1">
        <v>2</v>
      </c>
      <c r="K277" t="s">
        <v>8101</v>
      </c>
      <c r="L277" s="5">
        <f>VLOOKUP(D:D,[1]Munka2!$A:$B,2,FALSE)</f>
        <v>1</v>
      </c>
      <c r="M277" s="5">
        <f>_xlfn.IFNA(Táblázat1[[#This Row],[Kész2020]],0)</f>
        <v>1</v>
      </c>
      <c r="N277" s="5">
        <f>IF(Táblázat1[[#This Row],[Karb./akt.év]]-Táblázat1[[#This Row],[Kész2020_2]]&lt;0,0,Táblázat1[[#This Row],[Karb./akt.év]]-Táblázat1[[#This Row],[Kész2020_2]])</f>
        <v>1</v>
      </c>
    </row>
    <row r="278" spans="1:14" hidden="1" x14ac:dyDescent="0.25">
      <c r="A278" s="17" t="s">
        <v>6</v>
      </c>
      <c r="B278" s="17" t="s">
        <v>7536</v>
      </c>
      <c r="C278" s="17" t="s">
        <v>1737</v>
      </c>
      <c r="D278" s="17" t="s">
        <v>7599</v>
      </c>
      <c r="E278" s="17" t="s">
        <v>4809</v>
      </c>
      <c r="F278" s="17" t="s">
        <v>3598</v>
      </c>
      <c r="G278" s="17" t="s">
        <v>6525</v>
      </c>
      <c r="H278" t="s">
        <v>7476</v>
      </c>
      <c r="I278" s="1">
        <v>2</v>
      </c>
      <c r="J278" s="1">
        <v>2</v>
      </c>
      <c r="K278" t="s">
        <v>6633</v>
      </c>
      <c r="L278" s="5">
        <f>VLOOKUP(D:D,[1]Munka2!$A:$B,2,FALSE)</f>
        <v>1</v>
      </c>
      <c r="M278" s="5">
        <f>_xlfn.IFNA(Táblázat1[[#This Row],[Kész2020]],0)</f>
        <v>1</v>
      </c>
      <c r="N278" s="5">
        <f>IF(Táblázat1[[#This Row],[Karb./akt.év]]-Táblázat1[[#This Row],[Kész2020_2]]&lt;0,0,Táblázat1[[#This Row],[Karb./akt.év]]-Táblázat1[[#This Row],[Kész2020_2]])</f>
        <v>1</v>
      </c>
    </row>
    <row r="279" spans="1:14" hidden="1" x14ac:dyDescent="0.25">
      <c r="A279" s="17" t="s">
        <v>6</v>
      </c>
      <c r="B279" s="17" t="s">
        <v>8105</v>
      </c>
      <c r="C279" s="17" t="s">
        <v>1737</v>
      </c>
      <c r="D279" s="17" t="s">
        <v>8122</v>
      </c>
      <c r="E279" s="17" t="s">
        <v>3757</v>
      </c>
      <c r="F279" s="17" t="s">
        <v>3598</v>
      </c>
      <c r="G279" s="17" t="s">
        <v>8147</v>
      </c>
      <c r="H279" t="s">
        <v>7476</v>
      </c>
      <c r="I279" s="1">
        <v>2</v>
      </c>
      <c r="J279" s="1">
        <v>1</v>
      </c>
      <c r="K279" t="s">
        <v>6785</v>
      </c>
      <c r="L279" s="5" t="e">
        <f>VLOOKUP(D:D,[1]Munka2!$A:$B,2,FALSE)</f>
        <v>#N/A</v>
      </c>
      <c r="M279" s="5">
        <f>_xlfn.IFNA(Táblázat1[[#This Row],[Kész2020]],0)</f>
        <v>0</v>
      </c>
      <c r="N279" s="5">
        <f>IF(Táblázat1[[#This Row],[Karb./akt.év]]-Táblázat1[[#This Row],[Kész2020_2]]&lt;0,0,Táblázat1[[#This Row],[Karb./akt.év]]-Táblázat1[[#This Row],[Kész2020_2]])</f>
        <v>1</v>
      </c>
    </row>
    <row r="280" spans="1:14" hidden="1" x14ac:dyDescent="0.25">
      <c r="A280" s="17" t="s">
        <v>6</v>
      </c>
      <c r="B280" s="17" t="s">
        <v>8173</v>
      </c>
      <c r="C280" s="17" t="s">
        <v>1737</v>
      </c>
      <c r="D280" s="17" t="s">
        <v>8175</v>
      </c>
      <c r="E280" s="17" t="s">
        <v>3767</v>
      </c>
      <c r="F280" s="17" t="s">
        <v>3598</v>
      </c>
      <c r="G280" s="17" t="s">
        <v>5859</v>
      </c>
      <c r="H280" t="s">
        <v>7476</v>
      </c>
      <c r="I280" s="1" t="e">
        <v>#N/A</v>
      </c>
      <c r="J280" s="1" t="e">
        <v>#N/A</v>
      </c>
      <c r="K280" t="e">
        <v>#N/A</v>
      </c>
      <c r="L280" s="5" t="e">
        <f>VLOOKUP(D:D,[1]Munka2!$A:$B,2,FALSE)</f>
        <v>#N/A</v>
      </c>
      <c r="M280" s="5">
        <f>_xlfn.IFNA(Táblázat1[[#This Row],[Kész2020]],0)</f>
        <v>0</v>
      </c>
      <c r="N280" s="5" t="e">
        <f>IF(Táblázat1[[#This Row],[Karb./akt.év]]-Táblázat1[[#This Row],[Kész2020_2]]&lt;0,0,Táblázat1[[#This Row],[Karb./akt.év]]-Táblázat1[[#This Row],[Kész2020_2]])</f>
        <v>#N/A</v>
      </c>
    </row>
    <row r="281" spans="1:14" hidden="1" x14ac:dyDescent="0.25">
      <c r="A281" s="17" t="s">
        <v>6</v>
      </c>
      <c r="B281" s="17" t="s">
        <v>8183</v>
      </c>
      <c r="C281" s="17" t="s">
        <v>1743</v>
      </c>
      <c r="D281" s="17" t="s">
        <v>8191</v>
      </c>
      <c r="E281" s="17" t="s">
        <v>3677</v>
      </c>
      <c r="F281" s="17" t="s">
        <v>3598</v>
      </c>
      <c r="G281" s="17" t="s">
        <v>8198</v>
      </c>
      <c r="H281" t="s">
        <v>7476</v>
      </c>
      <c r="I281" s="1" t="e">
        <v>#N/A</v>
      </c>
      <c r="J281" s="1" t="e">
        <v>#N/A</v>
      </c>
      <c r="K281" t="e">
        <v>#N/A</v>
      </c>
      <c r="L281" s="5" t="e">
        <f>VLOOKUP(D:D,[1]Munka2!$A:$B,2,FALSE)</f>
        <v>#N/A</v>
      </c>
      <c r="M281" s="5">
        <f>_xlfn.IFNA(Táblázat1[[#This Row],[Kész2020]],0)</f>
        <v>0</v>
      </c>
      <c r="N281" s="5" t="e">
        <f>IF(Táblázat1[[#This Row],[Karb./akt.év]]-Táblázat1[[#This Row],[Kész2020_2]]&lt;0,0,Táblázat1[[#This Row],[Karb./akt.év]]-Táblázat1[[#This Row],[Kész2020_2]])</f>
        <v>#N/A</v>
      </c>
    </row>
    <row r="282" spans="1:14" hidden="1" x14ac:dyDescent="0.25">
      <c r="A282" s="17" t="s">
        <v>6</v>
      </c>
      <c r="B282" s="17" t="s">
        <v>8184</v>
      </c>
      <c r="C282" s="17" t="s">
        <v>1743</v>
      </c>
      <c r="D282" s="17" t="s">
        <v>8192</v>
      </c>
      <c r="E282" s="17" t="s">
        <v>3677</v>
      </c>
      <c r="F282" s="17" t="s">
        <v>3598</v>
      </c>
      <c r="G282" s="17" t="s">
        <v>8198</v>
      </c>
      <c r="H282" t="s">
        <v>7476</v>
      </c>
      <c r="I282" s="1" t="e">
        <v>#N/A</v>
      </c>
      <c r="J282" s="1" t="e">
        <v>#N/A</v>
      </c>
      <c r="K282" t="e">
        <v>#N/A</v>
      </c>
      <c r="L282" s="5" t="e">
        <f>VLOOKUP(D:D,[1]Munka2!$A:$B,2,FALSE)</f>
        <v>#N/A</v>
      </c>
      <c r="M282" s="5">
        <f>_xlfn.IFNA(Táblázat1[[#This Row],[Kész2020]],0)</f>
        <v>0</v>
      </c>
      <c r="N282" s="5" t="e">
        <f>IF(Táblázat1[[#This Row],[Karb./akt.év]]-Táblázat1[[#This Row],[Kész2020_2]]&lt;0,0,Táblázat1[[#This Row],[Karb./akt.év]]-Táblázat1[[#This Row],[Kész2020_2]])</f>
        <v>#N/A</v>
      </c>
    </row>
    <row r="283" spans="1:14" hidden="1" x14ac:dyDescent="0.25">
      <c r="A283" s="17" t="s">
        <v>6</v>
      </c>
      <c r="B283" s="17" t="s">
        <v>8185</v>
      </c>
      <c r="C283" s="17" t="s">
        <v>1736</v>
      </c>
      <c r="D283" s="17" t="s">
        <v>8193</v>
      </c>
      <c r="E283" s="17" t="s">
        <v>3677</v>
      </c>
      <c r="F283" s="17" t="s">
        <v>3598</v>
      </c>
      <c r="G283" s="17" t="s">
        <v>8198</v>
      </c>
      <c r="H283" t="s">
        <v>7476</v>
      </c>
      <c r="I283" s="1" t="e">
        <v>#N/A</v>
      </c>
      <c r="J283" s="1" t="e">
        <v>#N/A</v>
      </c>
      <c r="K283" t="e">
        <v>#N/A</v>
      </c>
      <c r="L283" s="5" t="e">
        <f>VLOOKUP(D:D,[1]Munka2!$A:$B,2,FALSE)</f>
        <v>#N/A</v>
      </c>
      <c r="M283" s="5">
        <f>_xlfn.IFNA(Táblázat1[[#This Row],[Kész2020]],0)</f>
        <v>0</v>
      </c>
      <c r="N283" s="5" t="e">
        <f>IF(Táblázat1[[#This Row],[Karb./akt.év]]-Táblázat1[[#This Row],[Kész2020_2]]&lt;0,0,Táblázat1[[#This Row],[Karb./akt.év]]-Táblázat1[[#This Row],[Kész2020_2]])</f>
        <v>#N/A</v>
      </c>
    </row>
    <row r="284" spans="1:14" hidden="1" x14ac:dyDescent="0.25">
      <c r="A284" s="17" t="s">
        <v>6</v>
      </c>
      <c r="B284" s="17" t="s">
        <v>8186</v>
      </c>
      <c r="C284" s="17" t="s">
        <v>1736</v>
      </c>
      <c r="D284" s="17" t="s">
        <v>8194</v>
      </c>
      <c r="E284" s="17" t="s">
        <v>3677</v>
      </c>
      <c r="F284" s="17" t="s">
        <v>3598</v>
      </c>
      <c r="G284" s="17" t="s">
        <v>8198</v>
      </c>
      <c r="H284" t="s">
        <v>7476</v>
      </c>
      <c r="I284" s="1" t="e">
        <v>#N/A</v>
      </c>
      <c r="J284" s="1" t="e">
        <v>#N/A</v>
      </c>
      <c r="K284" t="e">
        <v>#N/A</v>
      </c>
      <c r="L284" s="5">
        <f>VLOOKUP(D:D,[1]Munka2!$A:$B,2,FALSE)</f>
        <v>1</v>
      </c>
      <c r="M284" s="5">
        <f>_xlfn.IFNA(Táblázat1[[#This Row],[Kész2020]],0)</f>
        <v>1</v>
      </c>
      <c r="N284" s="5" t="e">
        <f>IF(Táblázat1[[#This Row],[Karb./akt.év]]-Táblázat1[[#This Row],[Kész2020_2]]&lt;0,0,Táblázat1[[#This Row],[Karb./akt.év]]-Táblázat1[[#This Row],[Kész2020_2]])</f>
        <v>#N/A</v>
      </c>
    </row>
    <row r="285" spans="1:14" hidden="1" x14ac:dyDescent="0.25">
      <c r="A285" s="17" t="s">
        <v>6</v>
      </c>
      <c r="B285" s="17" t="s">
        <v>1243</v>
      </c>
      <c r="C285" s="17" t="s">
        <v>1737</v>
      </c>
      <c r="D285" s="17" t="s">
        <v>3053</v>
      </c>
      <c r="E285" s="17" t="s">
        <v>4742</v>
      </c>
      <c r="F285" s="17" t="s">
        <v>3718</v>
      </c>
      <c r="G285" s="17" t="s">
        <v>6169</v>
      </c>
      <c r="H285" t="s">
        <v>7476</v>
      </c>
      <c r="I285" s="1">
        <v>2</v>
      </c>
      <c r="J285" s="1">
        <v>2</v>
      </c>
      <c r="K285" t="s">
        <v>8102</v>
      </c>
      <c r="L285" s="5">
        <f>VLOOKUP(D:D,[1]Munka2!$A:$B,2,FALSE)</f>
        <v>1</v>
      </c>
      <c r="M285" s="5">
        <f>_xlfn.IFNA(Táblázat1[[#This Row],[Kész2020]],0)</f>
        <v>1</v>
      </c>
      <c r="N285" s="5">
        <f>IF(Táblázat1[[#This Row],[Karb./akt.év]]-Táblázat1[[#This Row],[Kész2020_2]]&lt;0,0,Táblázat1[[#This Row],[Karb./akt.év]]-Táblázat1[[#This Row],[Kész2020_2]])</f>
        <v>1</v>
      </c>
    </row>
    <row r="286" spans="1:14" hidden="1" x14ac:dyDescent="0.25">
      <c r="A286" s="17" t="s">
        <v>6</v>
      </c>
      <c r="B286" s="17" t="s">
        <v>662</v>
      </c>
      <c r="C286" s="17" t="s">
        <v>1736</v>
      </c>
      <c r="D286" s="17" t="s">
        <v>2436</v>
      </c>
      <c r="E286" s="17" t="s">
        <v>3788</v>
      </c>
      <c r="F286" s="17" t="s">
        <v>3789</v>
      </c>
      <c r="G286" s="17" t="s">
        <v>5619</v>
      </c>
      <c r="H286" t="s">
        <v>7476</v>
      </c>
      <c r="I286" s="1">
        <v>2</v>
      </c>
      <c r="J286" s="1">
        <v>2</v>
      </c>
      <c r="K286" t="s">
        <v>6634</v>
      </c>
      <c r="L286" s="5">
        <f>VLOOKUP(D:D,[1]Munka2!$A:$B,2,FALSE)</f>
        <v>1</v>
      </c>
      <c r="M286" s="5">
        <f>_xlfn.IFNA(Táblázat1[[#This Row],[Kész2020]],0)</f>
        <v>1</v>
      </c>
      <c r="N286" s="5">
        <f>IF(Táblázat1[[#This Row],[Karb./akt.év]]-Táblázat1[[#This Row],[Kész2020_2]]&lt;0,0,Táblázat1[[#This Row],[Karb./akt.év]]-Táblázat1[[#This Row],[Kész2020_2]])</f>
        <v>1</v>
      </c>
    </row>
    <row r="287" spans="1:14" hidden="1" x14ac:dyDescent="0.25">
      <c r="A287" s="17" t="s">
        <v>6</v>
      </c>
      <c r="B287" s="17" t="s">
        <v>282</v>
      </c>
      <c r="C287" s="17" t="s">
        <v>1737</v>
      </c>
      <c r="D287" s="17" t="s">
        <v>2031</v>
      </c>
      <c r="E287" s="17" t="s">
        <v>3743</v>
      </c>
      <c r="F287" s="17" t="s">
        <v>3744</v>
      </c>
      <c r="G287" s="17" t="s">
        <v>5250</v>
      </c>
      <c r="H287" t="s">
        <v>7476</v>
      </c>
      <c r="I287" s="1">
        <v>2</v>
      </c>
      <c r="J287" s="1">
        <v>2</v>
      </c>
      <c r="K287" t="s">
        <v>8102</v>
      </c>
      <c r="L287" s="5">
        <f>VLOOKUP(D:D,[1]Munka2!$A:$B,2,FALSE)</f>
        <v>1</v>
      </c>
      <c r="M287" s="5">
        <f>_xlfn.IFNA(Táblázat1[[#This Row],[Kész2020]],0)</f>
        <v>1</v>
      </c>
      <c r="N287" s="5">
        <f>IF(Táblázat1[[#This Row],[Karb./akt.év]]-Táblázat1[[#This Row],[Kész2020_2]]&lt;0,0,Táblázat1[[#This Row],[Karb./akt.év]]-Táblázat1[[#This Row],[Kész2020_2]])</f>
        <v>1</v>
      </c>
    </row>
    <row r="288" spans="1:14" hidden="1" x14ac:dyDescent="0.25">
      <c r="A288" s="17" t="s">
        <v>6</v>
      </c>
      <c r="B288" s="17" t="s">
        <v>32</v>
      </c>
      <c r="C288" s="17" t="s">
        <v>1736</v>
      </c>
      <c r="D288" s="17" t="s">
        <v>1770</v>
      </c>
      <c r="E288" s="17" t="s">
        <v>3599</v>
      </c>
      <c r="F288" s="17" t="s">
        <v>3600</v>
      </c>
      <c r="G288" s="17" t="s">
        <v>5009</v>
      </c>
      <c r="H288" t="s">
        <v>7476</v>
      </c>
      <c r="I288" s="1">
        <v>2</v>
      </c>
      <c r="J288" s="1">
        <v>2</v>
      </c>
      <c r="K288" t="s">
        <v>6784</v>
      </c>
      <c r="L288" s="5">
        <f>VLOOKUP(D:D,[1]Munka2!$A:$B,2,FALSE)</f>
        <v>1</v>
      </c>
      <c r="M288" s="5">
        <f>_xlfn.IFNA(Táblázat1[[#This Row],[Kész2020]],0)</f>
        <v>1</v>
      </c>
      <c r="N288" s="5">
        <f>IF(Táblázat1[[#This Row],[Karb./akt.év]]-Táblázat1[[#This Row],[Kész2020_2]]&lt;0,0,Táblázat1[[#This Row],[Karb./akt.év]]-Táblázat1[[#This Row],[Kész2020_2]])</f>
        <v>1</v>
      </c>
    </row>
    <row r="289" spans="1:14" hidden="1" x14ac:dyDescent="0.25">
      <c r="A289" s="17" t="s">
        <v>6</v>
      </c>
      <c r="B289" s="17" t="s">
        <v>160</v>
      </c>
      <c r="C289" s="17" t="s">
        <v>1737</v>
      </c>
      <c r="D289" s="17" t="s">
        <v>1900</v>
      </c>
      <c r="E289" s="17" t="s">
        <v>3599</v>
      </c>
      <c r="F289" s="17" t="s">
        <v>3600</v>
      </c>
      <c r="G289" s="17" t="s">
        <v>5130</v>
      </c>
      <c r="H289" t="s">
        <v>7476</v>
      </c>
      <c r="I289" s="1">
        <v>2</v>
      </c>
      <c r="J289" s="1">
        <v>2</v>
      </c>
      <c r="K289" t="s">
        <v>6784</v>
      </c>
      <c r="L289" s="5">
        <f>VLOOKUP(D:D,[1]Munka2!$A:$B,2,FALSE)</f>
        <v>1</v>
      </c>
      <c r="M289" s="5">
        <f>_xlfn.IFNA(Táblázat1[[#This Row],[Kész2020]],0)</f>
        <v>1</v>
      </c>
      <c r="N289" s="5">
        <f>IF(Táblázat1[[#This Row],[Karb./akt.év]]-Táblázat1[[#This Row],[Kész2020_2]]&lt;0,0,Táblázat1[[#This Row],[Karb./akt.év]]-Táblázat1[[#This Row],[Kész2020_2]])</f>
        <v>1</v>
      </c>
    </row>
    <row r="290" spans="1:14" hidden="1" x14ac:dyDescent="0.25">
      <c r="A290" s="17" t="s">
        <v>6</v>
      </c>
      <c r="B290" s="17" t="s">
        <v>973</v>
      </c>
      <c r="C290" s="17" t="s">
        <v>1737</v>
      </c>
      <c r="D290" s="17" t="s">
        <v>2760</v>
      </c>
      <c r="E290" s="17" t="s">
        <v>3788</v>
      </c>
      <c r="F290" s="17" t="s">
        <v>3789</v>
      </c>
      <c r="G290" s="17" t="s">
        <v>5901</v>
      </c>
      <c r="H290" t="s">
        <v>7476</v>
      </c>
      <c r="I290" s="1">
        <v>2</v>
      </c>
      <c r="J290" s="1">
        <v>2</v>
      </c>
      <c r="K290" t="s">
        <v>6634</v>
      </c>
      <c r="L290" s="5">
        <f>VLOOKUP(D:D,[1]Munka2!$A:$B,2,FALSE)</f>
        <v>1</v>
      </c>
      <c r="M290" s="5">
        <f>_xlfn.IFNA(Táblázat1[[#This Row],[Kész2020]],0)</f>
        <v>1</v>
      </c>
      <c r="N290" s="5">
        <f>IF(Táblázat1[[#This Row],[Karb./akt.év]]-Táblázat1[[#This Row],[Kész2020_2]]&lt;0,0,Táblázat1[[#This Row],[Karb./akt.év]]-Táblázat1[[#This Row],[Kész2020_2]])</f>
        <v>1</v>
      </c>
    </row>
    <row r="291" spans="1:14" hidden="1" x14ac:dyDescent="0.25">
      <c r="A291" s="17" t="s">
        <v>6</v>
      </c>
      <c r="B291" s="17" t="s">
        <v>1198</v>
      </c>
      <c r="C291" s="17" t="s">
        <v>1737</v>
      </c>
      <c r="D291" s="17" t="s">
        <v>3004</v>
      </c>
      <c r="E291" s="17" t="s">
        <v>3683</v>
      </c>
      <c r="F291" s="17" t="s">
        <v>3684</v>
      </c>
      <c r="G291" s="17" t="s">
        <v>6127</v>
      </c>
      <c r="H291" t="s">
        <v>7476</v>
      </c>
      <c r="I291" s="1">
        <v>2</v>
      </c>
      <c r="J291" s="1">
        <v>2</v>
      </c>
      <c r="K291" t="s">
        <v>6784</v>
      </c>
      <c r="L291" s="5">
        <f>VLOOKUP(D:D,[1]Munka2!$A:$B,2,FALSE)</f>
        <v>1</v>
      </c>
      <c r="M291" s="5">
        <f>_xlfn.IFNA(Táblázat1[[#This Row],[Kész2020]],0)</f>
        <v>1</v>
      </c>
      <c r="N291" s="5">
        <f>IF(Táblázat1[[#This Row],[Karb./akt.év]]-Táblázat1[[#This Row],[Kész2020_2]]&lt;0,0,Táblázat1[[#This Row],[Karb./akt.év]]-Táblázat1[[#This Row],[Kész2020_2]])</f>
        <v>1</v>
      </c>
    </row>
    <row r="292" spans="1:14" hidden="1" x14ac:dyDescent="0.25">
      <c r="A292" s="17" t="s">
        <v>6</v>
      </c>
      <c r="B292" s="17" t="s">
        <v>1054</v>
      </c>
      <c r="C292" s="17" t="s">
        <v>1735</v>
      </c>
      <c r="D292" s="17" t="s">
        <v>2842</v>
      </c>
      <c r="E292" s="17" t="s">
        <v>4071</v>
      </c>
      <c r="F292" s="17" t="s">
        <v>4072</v>
      </c>
      <c r="G292" s="17" t="s">
        <v>5984</v>
      </c>
      <c r="H292" t="s">
        <v>7476</v>
      </c>
      <c r="I292" s="1">
        <v>2</v>
      </c>
      <c r="J292" s="1">
        <v>2</v>
      </c>
      <c r="K292" t="s">
        <v>6642</v>
      </c>
      <c r="L292" s="5">
        <f>VLOOKUP(D:D,[1]Munka2!$A:$B,2,FALSE)</f>
        <v>2</v>
      </c>
      <c r="M292" s="5">
        <f>_xlfn.IFNA(Táblázat1[[#This Row],[Kész2020]],0)</f>
        <v>2</v>
      </c>
      <c r="N292" s="5">
        <f>IF(Táblázat1[[#This Row],[Karb./akt.év]]-Táblázat1[[#This Row],[Kész2020_2]]&lt;0,0,Táblázat1[[#This Row],[Karb./akt.év]]-Táblázat1[[#This Row],[Kész2020_2]])</f>
        <v>0</v>
      </c>
    </row>
    <row r="293" spans="1:14" hidden="1" x14ac:dyDescent="0.25">
      <c r="A293" s="17" t="s">
        <v>6</v>
      </c>
      <c r="B293" s="17" t="s">
        <v>1673</v>
      </c>
      <c r="C293" s="17" t="s">
        <v>1737</v>
      </c>
      <c r="D293" s="17" t="s">
        <v>3530</v>
      </c>
      <c r="E293" s="17" t="s">
        <v>4981</v>
      </c>
      <c r="F293" s="17" t="s">
        <v>3718</v>
      </c>
      <c r="G293" s="17" t="s">
        <v>6569</v>
      </c>
      <c r="H293" t="s">
        <v>7476</v>
      </c>
      <c r="I293" s="1">
        <v>2</v>
      </c>
      <c r="J293" s="1">
        <v>2</v>
      </c>
      <c r="K293" t="s">
        <v>8102</v>
      </c>
      <c r="L293" s="5">
        <f>VLOOKUP(D:D,[1]Munka2!$A:$B,2,FALSE)</f>
        <v>1</v>
      </c>
      <c r="M293" s="5">
        <f>_xlfn.IFNA(Táblázat1[[#This Row],[Kész2020]],0)</f>
        <v>1</v>
      </c>
      <c r="N293" s="5">
        <f>IF(Táblázat1[[#This Row],[Karb./akt.év]]-Táblázat1[[#This Row],[Kész2020_2]]&lt;0,0,Táblázat1[[#This Row],[Karb./akt.év]]-Táblázat1[[#This Row],[Kész2020_2]])</f>
        <v>1</v>
      </c>
    </row>
    <row r="294" spans="1:14" hidden="1" x14ac:dyDescent="0.25">
      <c r="A294" s="17" t="s">
        <v>6</v>
      </c>
      <c r="B294" s="17" t="s">
        <v>1036</v>
      </c>
      <c r="C294" s="17" t="s">
        <v>1736</v>
      </c>
      <c r="D294" s="17" t="s">
        <v>2825</v>
      </c>
      <c r="E294" s="17" t="s">
        <v>4317</v>
      </c>
      <c r="F294" s="17" t="s">
        <v>3718</v>
      </c>
      <c r="G294" s="17" t="s">
        <v>5962</v>
      </c>
      <c r="H294" t="s">
        <v>7476</v>
      </c>
      <c r="I294" s="1">
        <v>2</v>
      </c>
      <c r="J294" s="1">
        <v>2</v>
      </c>
      <c r="K294" t="s">
        <v>8102</v>
      </c>
      <c r="L294" s="5">
        <f>VLOOKUP(D:D,[1]Munka2!$A:$B,2,FALSE)</f>
        <v>1</v>
      </c>
      <c r="M294" s="5">
        <f>_xlfn.IFNA(Táblázat1[[#This Row],[Kész2020]],0)</f>
        <v>1</v>
      </c>
      <c r="N294" s="5">
        <f>IF(Táblázat1[[#This Row],[Karb./akt.év]]-Táblázat1[[#This Row],[Kész2020_2]]&lt;0,0,Táblázat1[[#This Row],[Karb./akt.év]]-Táblázat1[[#This Row],[Kész2020_2]])</f>
        <v>1</v>
      </c>
    </row>
    <row r="295" spans="1:14" hidden="1" x14ac:dyDescent="0.25">
      <c r="A295" s="17" t="s">
        <v>6</v>
      </c>
      <c r="B295" s="17" t="s">
        <v>58</v>
      </c>
      <c r="C295" s="17" t="s">
        <v>1737</v>
      </c>
      <c r="D295" s="17" t="s">
        <v>1796</v>
      </c>
      <c r="E295" s="17" t="s">
        <v>3613</v>
      </c>
      <c r="F295" s="17" t="s">
        <v>3614</v>
      </c>
      <c r="G295" s="17" t="s">
        <v>5034</v>
      </c>
      <c r="H295" t="s">
        <v>7476</v>
      </c>
      <c r="I295" s="1">
        <v>2</v>
      </c>
      <c r="J295" s="1">
        <v>2</v>
      </c>
      <c r="K295" t="s">
        <v>6634</v>
      </c>
      <c r="L295" s="5">
        <f>VLOOKUP(D:D,[1]Munka2!$A:$B,2,FALSE)</f>
        <v>1</v>
      </c>
      <c r="M295" s="5">
        <f>_xlfn.IFNA(Táblázat1[[#This Row],[Kész2020]],0)</f>
        <v>1</v>
      </c>
      <c r="N295" s="5">
        <f>IF(Táblázat1[[#This Row],[Karb./akt.év]]-Táblázat1[[#This Row],[Kész2020_2]]&lt;0,0,Táblázat1[[#This Row],[Karb./akt.év]]-Táblázat1[[#This Row],[Kész2020_2]])</f>
        <v>1</v>
      </c>
    </row>
    <row r="296" spans="1:14" hidden="1" x14ac:dyDescent="0.25">
      <c r="A296" s="17" t="s">
        <v>6</v>
      </c>
      <c r="B296" s="17" t="s">
        <v>50</v>
      </c>
      <c r="C296" s="17" t="s">
        <v>1737</v>
      </c>
      <c r="D296" s="17" t="s">
        <v>1788</v>
      </c>
      <c r="E296" s="17" t="s">
        <v>3631</v>
      </c>
      <c r="F296" s="17" t="s">
        <v>3632</v>
      </c>
      <c r="G296" s="17" t="s">
        <v>5026</v>
      </c>
      <c r="H296" t="s">
        <v>7476</v>
      </c>
      <c r="I296" s="1">
        <v>2</v>
      </c>
      <c r="J296" s="1">
        <v>2</v>
      </c>
      <c r="K296" t="s">
        <v>6634</v>
      </c>
      <c r="L296" s="5">
        <f>VLOOKUP(D:D,[1]Munka2!$A:$B,2,FALSE)</f>
        <v>1</v>
      </c>
      <c r="M296" s="5">
        <f>_xlfn.IFNA(Táblázat1[[#This Row],[Kész2020]],0)</f>
        <v>1</v>
      </c>
      <c r="N296" s="5">
        <f>IF(Táblázat1[[#This Row],[Karb./akt.év]]-Táblázat1[[#This Row],[Kész2020_2]]&lt;0,0,Táblázat1[[#This Row],[Karb./akt.év]]-Táblázat1[[#This Row],[Kész2020_2]])</f>
        <v>1</v>
      </c>
    </row>
    <row r="297" spans="1:14" hidden="1" x14ac:dyDescent="0.25">
      <c r="A297" s="17" t="s">
        <v>6</v>
      </c>
      <c r="B297" s="17" t="s">
        <v>569</v>
      </c>
      <c r="C297" s="17" t="s">
        <v>1737</v>
      </c>
      <c r="D297" s="17" t="s">
        <v>2342</v>
      </c>
      <c r="E297" s="17" t="s">
        <v>4198</v>
      </c>
      <c r="F297" s="17" t="s">
        <v>4199</v>
      </c>
      <c r="G297" s="17" t="s">
        <v>5534</v>
      </c>
      <c r="H297" t="s">
        <v>7476</v>
      </c>
      <c r="I297" s="1">
        <v>2</v>
      </c>
      <c r="J297" s="1">
        <v>2</v>
      </c>
      <c r="K297" t="s">
        <v>6634</v>
      </c>
      <c r="L297" s="5">
        <f>VLOOKUP(D:D,[1]Munka2!$A:$B,2,FALSE)</f>
        <v>1</v>
      </c>
      <c r="M297" s="5">
        <f>_xlfn.IFNA(Táblázat1[[#This Row],[Kész2020]],0)</f>
        <v>1</v>
      </c>
      <c r="N297" s="5">
        <f>IF(Táblázat1[[#This Row],[Karb./akt.év]]-Táblázat1[[#This Row],[Kész2020_2]]&lt;0,0,Táblázat1[[#This Row],[Karb./akt.év]]-Táblázat1[[#This Row],[Kész2020_2]])</f>
        <v>1</v>
      </c>
    </row>
    <row r="298" spans="1:14" hidden="1" x14ac:dyDescent="0.25">
      <c r="A298" s="17" t="s">
        <v>6</v>
      </c>
      <c r="B298" s="17" t="s">
        <v>407</v>
      </c>
      <c r="C298" s="17" t="s">
        <v>1736</v>
      </c>
      <c r="D298" s="17" t="s">
        <v>2162</v>
      </c>
      <c r="E298" s="17" t="s">
        <v>3818</v>
      </c>
      <c r="F298" s="17" t="s">
        <v>3819</v>
      </c>
      <c r="G298" s="17" t="s">
        <v>5374</v>
      </c>
      <c r="H298" t="s">
        <v>7476</v>
      </c>
      <c r="I298" s="1">
        <v>2</v>
      </c>
      <c r="J298" s="1">
        <v>2</v>
      </c>
      <c r="K298" t="s">
        <v>6634</v>
      </c>
      <c r="L298" s="5">
        <f>VLOOKUP(D:D,[1]Munka2!$A:$B,2,FALSE)</f>
        <v>1</v>
      </c>
      <c r="M298" s="5">
        <f>_xlfn.IFNA(Táblázat1[[#This Row],[Kész2020]],0)</f>
        <v>1</v>
      </c>
      <c r="N298" s="5">
        <f>IF(Táblázat1[[#This Row],[Karb./akt.év]]-Táblázat1[[#This Row],[Kész2020_2]]&lt;0,0,Táblázat1[[#This Row],[Karb./akt.év]]-Táblázat1[[#This Row],[Kész2020_2]])</f>
        <v>1</v>
      </c>
    </row>
    <row r="299" spans="1:14" x14ac:dyDescent="0.25">
      <c r="A299" s="17" t="s">
        <v>6</v>
      </c>
      <c r="B299" s="17" t="s">
        <v>679</v>
      </c>
      <c r="C299" s="17" t="s">
        <v>1737</v>
      </c>
      <c r="D299" s="17" t="s">
        <v>2454</v>
      </c>
      <c r="E299" s="17" t="s">
        <v>3657</v>
      </c>
      <c r="F299" s="17" t="s">
        <v>3658</v>
      </c>
      <c r="G299" s="17" t="s">
        <v>5636</v>
      </c>
      <c r="H299" t="s">
        <v>7476</v>
      </c>
      <c r="I299" s="1">
        <v>2</v>
      </c>
      <c r="J299" s="1">
        <v>2</v>
      </c>
      <c r="K299" t="s">
        <v>8102</v>
      </c>
      <c r="L299" s="5" t="e">
        <f>VLOOKUP(D:D,[1]Munka2!$A:$B,2,FALSE)</f>
        <v>#N/A</v>
      </c>
      <c r="M299" s="5">
        <f>_xlfn.IFNA(Táblázat1[[#This Row],[Kész2020]],0)</f>
        <v>0</v>
      </c>
      <c r="N299" s="5">
        <f>IF(Táblázat1[[#This Row],[Karb./akt.év]]-Táblázat1[[#This Row],[Kész2020_2]]&lt;0,0,Táblázat1[[#This Row],[Karb./akt.év]]-Táblázat1[[#This Row],[Kész2020_2]])</f>
        <v>2</v>
      </c>
    </row>
    <row r="300" spans="1:14" x14ac:dyDescent="0.25">
      <c r="A300" s="17" t="s">
        <v>6</v>
      </c>
      <c r="B300" s="17" t="s">
        <v>529</v>
      </c>
      <c r="C300" s="17" t="s">
        <v>1737</v>
      </c>
      <c r="D300" s="17" t="s">
        <v>2294</v>
      </c>
      <c r="E300" s="17" t="s">
        <v>4071</v>
      </c>
      <c r="F300" s="17" t="s">
        <v>4072</v>
      </c>
      <c r="G300" s="17" t="s">
        <v>5489</v>
      </c>
      <c r="H300" t="s">
        <v>7476</v>
      </c>
      <c r="I300" s="1">
        <v>2</v>
      </c>
      <c r="J300" s="1">
        <v>2</v>
      </c>
      <c r="K300" t="s">
        <v>6642</v>
      </c>
      <c r="L300" s="5" t="e">
        <f>VLOOKUP(D:D,[1]Munka2!$A:$B,2,FALSE)</f>
        <v>#N/A</v>
      </c>
      <c r="M300" s="5">
        <f>_xlfn.IFNA(Táblázat1[[#This Row],[Kész2020]],0)</f>
        <v>0</v>
      </c>
      <c r="N300" s="5">
        <f>IF(Táblázat1[[#This Row],[Karb./akt.év]]-Táblázat1[[#This Row],[Kész2020_2]]&lt;0,0,Táblázat1[[#This Row],[Karb./akt.év]]-Táblázat1[[#This Row],[Kész2020_2]])</f>
        <v>2</v>
      </c>
    </row>
    <row r="301" spans="1:14" hidden="1" x14ac:dyDescent="0.25">
      <c r="A301" s="17" t="s">
        <v>6</v>
      </c>
      <c r="B301" s="17" t="s">
        <v>98</v>
      </c>
      <c r="C301" s="17" t="s">
        <v>1737</v>
      </c>
      <c r="D301" s="17" t="s">
        <v>1837</v>
      </c>
      <c r="E301" s="17" t="s">
        <v>3683</v>
      </c>
      <c r="F301" s="17" t="s">
        <v>3684</v>
      </c>
      <c r="G301" s="17" t="s">
        <v>5069</v>
      </c>
      <c r="H301" t="s">
        <v>7476</v>
      </c>
      <c r="I301" s="1">
        <v>2</v>
      </c>
      <c r="J301" s="1">
        <v>2</v>
      </c>
      <c r="K301" t="s">
        <v>6784</v>
      </c>
      <c r="L301" s="5">
        <f>VLOOKUP(D:D,[1]Munka2!$A:$B,2,FALSE)</f>
        <v>1</v>
      </c>
      <c r="M301" s="5">
        <f>_xlfn.IFNA(Táblázat1[[#This Row],[Kész2020]],0)</f>
        <v>1</v>
      </c>
      <c r="N301" s="5">
        <f>IF(Táblázat1[[#This Row],[Karb./akt.év]]-Táblázat1[[#This Row],[Kész2020_2]]&lt;0,0,Táblázat1[[#This Row],[Karb./akt.év]]-Táblázat1[[#This Row],[Kész2020_2]])</f>
        <v>1</v>
      </c>
    </row>
    <row r="302" spans="1:14" hidden="1" x14ac:dyDescent="0.25">
      <c r="A302" s="17" t="s">
        <v>6</v>
      </c>
      <c r="B302" s="17" t="s">
        <v>6842</v>
      </c>
      <c r="C302" s="17" t="s">
        <v>1736</v>
      </c>
      <c r="D302" s="17" t="s">
        <v>2809</v>
      </c>
      <c r="E302" s="17" t="s">
        <v>4159</v>
      </c>
      <c r="F302" s="17" t="s">
        <v>4160</v>
      </c>
      <c r="G302" s="17" t="s">
        <v>6913</v>
      </c>
      <c r="H302" t="s">
        <v>7476</v>
      </c>
      <c r="I302" s="1">
        <v>2</v>
      </c>
      <c r="J302" s="1">
        <v>2</v>
      </c>
      <c r="K302" t="s">
        <v>6642</v>
      </c>
      <c r="L302" s="5">
        <f>VLOOKUP(D:D,[1]Munka2!$A:$B,2,FALSE)</f>
        <v>1</v>
      </c>
      <c r="M302" s="5">
        <f>_xlfn.IFNA(Táblázat1[[#This Row],[Kész2020]],0)</f>
        <v>1</v>
      </c>
      <c r="N302" s="5">
        <f>IF(Táblázat1[[#This Row],[Karb./akt.év]]-Táblázat1[[#This Row],[Kész2020_2]]&lt;0,0,Táblázat1[[#This Row],[Karb./akt.év]]-Táblázat1[[#This Row],[Kész2020_2]])</f>
        <v>1</v>
      </c>
    </row>
    <row r="303" spans="1:14" hidden="1" x14ac:dyDescent="0.25">
      <c r="A303" s="17" t="s">
        <v>6</v>
      </c>
      <c r="B303" s="17" t="s">
        <v>6806</v>
      </c>
      <c r="C303" s="17" t="s">
        <v>1736</v>
      </c>
      <c r="D303" s="17" t="s">
        <v>6816</v>
      </c>
      <c r="E303" s="17" t="s">
        <v>4220</v>
      </c>
      <c r="F303" s="17" t="s">
        <v>4221</v>
      </c>
      <c r="G303" s="17" t="s">
        <v>6292</v>
      </c>
      <c r="H303" t="s">
        <v>7476</v>
      </c>
      <c r="I303" s="1">
        <v>2</v>
      </c>
      <c r="J303" s="1">
        <v>2</v>
      </c>
      <c r="K303" t="s">
        <v>8102</v>
      </c>
      <c r="L303" s="5">
        <f>VLOOKUP(D:D,[1]Munka2!$A:$B,2,FALSE)</f>
        <v>1</v>
      </c>
      <c r="M303" s="5">
        <f>_xlfn.IFNA(Táblázat1[[#This Row],[Kész2020]],0)</f>
        <v>1</v>
      </c>
      <c r="N303" s="5">
        <f>IF(Táblázat1[[#This Row],[Karb./akt.év]]-Táblázat1[[#This Row],[Kész2020_2]]&lt;0,0,Táblázat1[[#This Row],[Karb./akt.év]]-Táblázat1[[#This Row],[Kész2020_2]])</f>
        <v>1</v>
      </c>
    </row>
    <row r="304" spans="1:14" hidden="1" x14ac:dyDescent="0.25">
      <c r="A304" s="17" t="s">
        <v>6</v>
      </c>
      <c r="B304" s="17" t="s">
        <v>1538</v>
      </c>
      <c r="C304" s="17" t="s">
        <v>1737</v>
      </c>
      <c r="D304" s="17" t="s">
        <v>3382</v>
      </c>
      <c r="E304" s="17" t="s">
        <v>3743</v>
      </c>
      <c r="F304" s="17" t="s">
        <v>3744</v>
      </c>
      <c r="G304" s="17" t="s">
        <v>6446</v>
      </c>
      <c r="H304" t="s">
        <v>7476</v>
      </c>
      <c r="I304" s="1">
        <v>2</v>
      </c>
      <c r="J304" s="1">
        <v>2</v>
      </c>
      <c r="K304" t="s">
        <v>8102</v>
      </c>
      <c r="L304" s="5">
        <f>VLOOKUP(D:D,[1]Munka2!$A:$B,2,FALSE)</f>
        <v>1</v>
      </c>
      <c r="M304" s="5">
        <f>_xlfn.IFNA(Táblázat1[[#This Row],[Kész2020]],0)</f>
        <v>1</v>
      </c>
      <c r="N304" s="5">
        <f>IF(Táblázat1[[#This Row],[Karb./akt.év]]-Táblázat1[[#This Row],[Kész2020_2]]&lt;0,0,Táblázat1[[#This Row],[Karb./akt.év]]-Táblázat1[[#This Row],[Kész2020_2]])</f>
        <v>1</v>
      </c>
    </row>
    <row r="305" spans="1:14" hidden="1" x14ac:dyDescent="0.25">
      <c r="A305" s="17" t="s">
        <v>6</v>
      </c>
      <c r="B305" s="17" t="s">
        <v>695</v>
      </c>
      <c r="C305" s="17" t="s">
        <v>1736</v>
      </c>
      <c r="D305" s="17" t="s">
        <v>2470</v>
      </c>
      <c r="E305" s="17" t="s">
        <v>3818</v>
      </c>
      <c r="F305" s="17" t="s">
        <v>3819</v>
      </c>
      <c r="G305" s="17" t="s">
        <v>5649</v>
      </c>
      <c r="H305" t="s">
        <v>7476</v>
      </c>
      <c r="I305" s="1">
        <v>2</v>
      </c>
      <c r="J305" s="1">
        <v>2</v>
      </c>
      <c r="K305" t="s">
        <v>6634</v>
      </c>
      <c r="L305" s="5">
        <f>VLOOKUP(D:D,[1]Munka2!$A:$B,2,FALSE)</f>
        <v>1</v>
      </c>
      <c r="M305" s="5">
        <f>_xlfn.IFNA(Táblázat1[[#This Row],[Kész2020]],0)</f>
        <v>1</v>
      </c>
      <c r="N305" s="5">
        <f>IF(Táblázat1[[#This Row],[Karb./akt.év]]-Táblázat1[[#This Row],[Kész2020_2]]&lt;0,0,Táblázat1[[#This Row],[Karb./akt.év]]-Táblázat1[[#This Row],[Kész2020_2]])</f>
        <v>1</v>
      </c>
    </row>
    <row r="306" spans="1:14" hidden="1" x14ac:dyDescent="0.25">
      <c r="A306" s="17" t="s">
        <v>6</v>
      </c>
      <c r="B306" s="17" t="s">
        <v>1450</v>
      </c>
      <c r="C306" s="17" t="s">
        <v>1737</v>
      </c>
      <c r="D306" s="17" t="s">
        <v>3282</v>
      </c>
      <c r="E306" s="17" t="s">
        <v>4071</v>
      </c>
      <c r="F306" s="17" t="s">
        <v>4072</v>
      </c>
      <c r="G306" s="17" t="s">
        <v>6356</v>
      </c>
      <c r="H306" t="s">
        <v>7476</v>
      </c>
      <c r="I306" s="1">
        <v>2</v>
      </c>
      <c r="J306" s="1">
        <v>2</v>
      </c>
      <c r="K306" t="s">
        <v>6642</v>
      </c>
      <c r="L306" s="5">
        <f>VLOOKUP(D:D,[1]Munka2!$A:$B,2,FALSE)</f>
        <v>1</v>
      </c>
      <c r="M306" s="5">
        <f>_xlfn.IFNA(Táblázat1[[#This Row],[Kész2020]],0)</f>
        <v>1</v>
      </c>
      <c r="N306" s="5">
        <f>IF(Táblázat1[[#This Row],[Karb./akt.év]]-Táblázat1[[#This Row],[Kész2020_2]]&lt;0,0,Táblázat1[[#This Row],[Karb./akt.év]]-Táblázat1[[#This Row],[Kész2020_2]])</f>
        <v>1</v>
      </c>
    </row>
    <row r="307" spans="1:14" x14ac:dyDescent="0.25">
      <c r="A307" s="17" t="s">
        <v>6</v>
      </c>
      <c r="B307" s="17" t="s">
        <v>386</v>
      </c>
      <c r="C307" s="17" t="s">
        <v>1737</v>
      </c>
      <c r="D307" s="17" t="s">
        <v>2142</v>
      </c>
      <c r="E307" s="17" t="s">
        <v>3724</v>
      </c>
      <c r="F307" s="17" t="s">
        <v>3725</v>
      </c>
      <c r="G307" s="17" t="s">
        <v>5354</v>
      </c>
      <c r="H307" t="s">
        <v>7476</v>
      </c>
      <c r="I307" s="1">
        <v>2</v>
      </c>
      <c r="J307" s="1">
        <v>2</v>
      </c>
      <c r="K307" t="s">
        <v>8102</v>
      </c>
      <c r="L307" s="5" t="e">
        <f>VLOOKUP(D:D,[1]Munka2!$A:$B,2,FALSE)</f>
        <v>#N/A</v>
      </c>
      <c r="M307" s="5">
        <f>_xlfn.IFNA(Táblázat1[[#This Row],[Kész2020]],0)</f>
        <v>0</v>
      </c>
      <c r="N307" s="5">
        <f>IF(Táblázat1[[#This Row],[Karb./akt.év]]-Táblázat1[[#This Row],[Kész2020_2]]&lt;0,0,Táblázat1[[#This Row],[Karb./akt.év]]-Táblázat1[[#This Row],[Kész2020_2]])</f>
        <v>2</v>
      </c>
    </row>
    <row r="308" spans="1:14" x14ac:dyDescent="0.25">
      <c r="A308" s="17" t="s">
        <v>6</v>
      </c>
      <c r="B308" s="17" t="s">
        <v>566</v>
      </c>
      <c r="C308" s="17" t="s">
        <v>1736</v>
      </c>
      <c r="D308" s="17" t="s">
        <v>2338</v>
      </c>
      <c r="E308" s="17" t="s">
        <v>3743</v>
      </c>
      <c r="F308" s="17" t="s">
        <v>3744</v>
      </c>
      <c r="G308" s="17" t="s">
        <v>5529</v>
      </c>
      <c r="H308" t="s">
        <v>7476</v>
      </c>
      <c r="I308" s="1">
        <v>2</v>
      </c>
      <c r="J308" s="1">
        <v>2</v>
      </c>
      <c r="K308" t="s">
        <v>8102</v>
      </c>
      <c r="L308" s="5" t="e">
        <f>VLOOKUP(D:D,[1]Munka2!$A:$B,2,FALSE)</f>
        <v>#N/A</v>
      </c>
      <c r="M308" s="5">
        <f>_xlfn.IFNA(Táblázat1[[#This Row],[Kész2020]],0)</f>
        <v>0</v>
      </c>
      <c r="N308" s="5">
        <f>IF(Táblázat1[[#This Row],[Karb./akt.év]]-Táblázat1[[#This Row],[Kész2020_2]]&lt;0,0,Táblázat1[[#This Row],[Karb./akt.év]]-Táblázat1[[#This Row],[Kész2020_2]])</f>
        <v>2</v>
      </c>
    </row>
    <row r="309" spans="1:14" hidden="1" x14ac:dyDescent="0.25">
      <c r="A309" s="17" t="s">
        <v>6</v>
      </c>
      <c r="B309" s="17" t="s">
        <v>490</v>
      </c>
      <c r="C309" s="17" t="s">
        <v>1736</v>
      </c>
      <c r="D309" s="17" t="s">
        <v>2250</v>
      </c>
      <c r="E309" s="17" t="s">
        <v>3818</v>
      </c>
      <c r="F309" s="17" t="s">
        <v>3819</v>
      </c>
      <c r="G309" s="17" t="s">
        <v>5451</v>
      </c>
      <c r="H309" t="s">
        <v>7476</v>
      </c>
      <c r="I309" s="1">
        <v>2</v>
      </c>
      <c r="J309" s="1">
        <v>2</v>
      </c>
      <c r="K309" t="s">
        <v>6634</v>
      </c>
      <c r="L309" s="5">
        <f>VLOOKUP(D:D,[1]Munka2!$A:$B,2,FALSE)</f>
        <v>1</v>
      </c>
      <c r="M309" s="5">
        <f>_xlfn.IFNA(Táblázat1[[#This Row],[Kész2020]],0)</f>
        <v>1</v>
      </c>
      <c r="N309" s="5">
        <f>IF(Táblázat1[[#This Row],[Karb./akt.év]]-Táblázat1[[#This Row],[Kész2020_2]]&lt;0,0,Táblázat1[[#This Row],[Karb./akt.év]]-Táblázat1[[#This Row],[Kész2020_2]])</f>
        <v>1</v>
      </c>
    </row>
    <row r="310" spans="1:14" hidden="1" x14ac:dyDescent="0.25">
      <c r="A310" s="17" t="s">
        <v>6</v>
      </c>
      <c r="B310" s="17" t="s">
        <v>6797</v>
      </c>
      <c r="C310" s="17" t="s">
        <v>1736</v>
      </c>
      <c r="D310" s="17" t="s">
        <v>6813</v>
      </c>
      <c r="E310" s="17" t="s">
        <v>3599</v>
      </c>
      <c r="F310" s="17" t="s">
        <v>3600</v>
      </c>
      <c r="G310" s="17" t="s">
        <v>5329</v>
      </c>
      <c r="H310" t="s">
        <v>7476</v>
      </c>
      <c r="I310" s="1">
        <v>2</v>
      </c>
      <c r="J310" s="1">
        <v>2</v>
      </c>
      <c r="K310" t="s">
        <v>6784</v>
      </c>
      <c r="L310" s="5">
        <f>VLOOKUP(D:D,[1]Munka2!$A:$B,2,FALSE)</f>
        <v>1</v>
      </c>
      <c r="M310" s="5">
        <f>_xlfn.IFNA(Táblázat1[[#This Row],[Kész2020]],0)</f>
        <v>1</v>
      </c>
      <c r="N310" s="5">
        <f>IF(Táblázat1[[#This Row],[Karb./akt.év]]-Táblázat1[[#This Row],[Kész2020_2]]&lt;0,0,Táblázat1[[#This Row],[Karb./akt.év]]-Táblázat1[[#This Row],[Kész2020_2]])</f>
        <v>1</v>
      </c>
    </row>
    <row r="311" spans="1:14" hidden="1" x14ac:dyDescent="0.25">
      <c r="A311" s="17" t="s">
        <v>6</v>
      </c>
      <c r="B311" s="17" t="s">
        <v>1568</v>
      </c>
      <c r="C311" s="17" t="s">
        <v>1736</v>
      </c>
      <c r="D311" s="17" t="s">
        <v>3413</v>
      </c>
      <c r="E311" s="17" t="s">
        <v>3818</v>
      </c>
      <c r="F311" s="17" t="s">
        <v>3819</v>
      </c>
      <c r="G311" s="17" t="s">
        <v>6472</v>
      </c>
      <c r="H311" t="s">
        <v>7476</v>
      </c>
      <c r="I311" s="1">
        <v>2</v>
      </c>
      <c r="J311" s="1">
        <v>2</v>
      </c>
      <c r="K311" t="s">
        <v>6634</v>
      </c>
      <c r="L311" s="5">
        <f>VLOOKUP(D:D,[1]Munka2!$A:$B,2,FALSE)</f>
        <v>1</v>
      </c>
      <c r="M311" s="5">
        <f>_xlfn.IFNA(Táblázat1[[#This Row],[Kész2020]],0)</f>
        <v>1</v>
      </c>
      <c r="N311" s="5">
        <f>IF(Táblázat1[[#This Row],[Karb./akt.év]]-Táblázat1[[#This Row],[Kész2020_2]]&lt;0,0,Táblázat1[[#This Row],[Karb./akt.év]]-Táblázat1[[#This Row],[Kész2020_2]])</f>
        <v>1</v>
      </c>
    </row>
    <row r="312" spans="1:14" x14ac:dyDescent="0.25">
      <c r="A312" s="17" t="s">
        <v>6</v>
      </c>
      <c r="B312" s="17" t="s">
        <v>1020</v>
      </c>
      <c r="C312" s="17" t="s">
        <v>1743</v>
      </c>
      <c r="D312" s="17" t="s">
        <v>7410</v>
      </c>
      <c r="E312" s="17" t="s">
        <v>4576</v>
      </c>
      <c r="F312" s="17" t="s">
        <v>3718</v>
      </c>
      <c r="G312" s="17" t="s">
        <v>5948</v>
      </c>
      <c r="H312" t="s">
        <v>7476</v>
      </c>
      <c r="I312" s="1">
        <v>2</v>
      </c>
      <c r="J312" s="1">
        <v>2</v>
      </c>
      <c r="K312" t="s">
        <v>8102</v>
      </c>
      <c r="L312" s="5" t="e">
        <f>VLOOKUP(D:D,[1]Munka2!$A:$B,2,FALSE)</f>
        <v>#N/A</v>
      </c>
      <c r="M312" s="5">
        <f>_xlfn.IFNA(Táblázat1[[#This Row],[Kész2020]],0)</f>
        <v>0</v>
      </c>
      <c r="N312" s="5">
        <f>IF(Táblázat1[[#This Row],[Karb./akt.év]]-Táblázat1[[#This Row],[Kész2020_2]]&lt;0,0,Táblázat1[[#This Row],[Karb./akt.év]]-Táblázat1[[#This Row],[Kész2020_2]])</f>
        <v>2</v>
      </c>
    </row>
    <row r="313" spans="1:14" hidden="1" x14ac:dyDescent="0.25">
      <c r="A313" s="17" t="s">
        <v>6</v>
      </c>
      <c r="B313" s="17" t="s">
        <v>1661</v>
      </c>
      <c r="C313" s="17" t="s">
        <v>1742</v>
      </c>
      <c r="D313" s="17" t="s">
        <v>3518</v>
      </c>
      <c r="E313" s="17" t="s">
        <v>4641</v>
      </c>
      <c r="F313" s="17" t="s">
        <v>4642</v>
      </c>
      <c r="G313" s="17" t="s">
        <v>6559</v>
      </c>
      <c r="H313" t="s">
        <v>7476</v>
      </c>
      <c r="I313" s="1">
        <v>2</v>
      </c>
      <c r="J313" s="1">
        <v>2</v>
      </c>
      <c r="K313" t="s">
        <v>8102</v>
      </c>
      <c r="L313" s="5">
        <f>VLOOKUP(D:D,[1]Munka2!$A:$B,2,FALSE)</f>
        <v>1</v>
      </c>
      <c r="M313" s="5">
        <f>_xlfn.IFNA(Táblázat1[[#This Row],[Kész2020]],0)</f>
        <v>1</v>
      </c>
      <c r="N313" s="5">
        <f>IF(Táblázat1[[#This Row],[Karb./akt.év]]-Táblázat1[[#This Row],[Kész2020_2]]&lt;0,0,Táblázat1[[#This Row],[Karb./akt.év]]-Táblázat1[[#This Row],[Kész2020_2]])</f>
        <v>1</v>
      </c>
    </row>
    <row r="314" spans="1:14" x14ac:dyDescent="0.25">
      <c r="A314" s="17" t="s">
        <v>6</v>
      </c>
      <c r="B314" s="17" t="s">
        <v>1380</v>
      </c>
      <c r="C314" s="17" t="s">
        <v>1742</v>
      </c>
      <c r="D314" s="17" t="s">
        <v>3201</v>
      </c>
      <c r="E314" s="17" t="s">
        <v>3703</v>
      </c>
      <c r="F314" s="17" t="s">
        <v>3704</v>
      </c>
      <c r="G314" s="17" t="s">
        <v>6285</v>
      </c>
      <c r="H314" t="s">
        <v>7476</v>
      </c>
      <c r="I314" s="1">
        <v>2</v>
      </c>
      <c r="J314" s="1">
        <v>2</v>
      </c>
      <c r="K314" t="s">
        <v>8102</v>
      </c>
      <c r="L314" s="5" t="e">
        <f>VLOOKUP(D:D,[1]Munka2!$A:$B,2,FALSE)</f>
        <v>#N/A</v>
      </c>
      <c r="M314" s="5">
        <f>_xlfn.IFNA(Táblázat1[[#This Row],[Kész2020]],0)</f>
        <v>0</v>
      </c>
      <c r="N314" s="5">
        <f>IF(Táblázat1[[#This Row],[Karb./akt.év]]-Táblázat1[[#This Row],[Kész2020_2]]&lt;0,0,Táblázat1[[#This Row],[Karb./akt.év]]-Táblázat1[[#This Row],[Kész2020_2]])</f>
        <v>2</v>
      </c>
    </row>
    <row r="315" spans="1:14" hidden="1" x14ac:dyDescent="0.25">
      <c r="A315" s="17" t="s">
        <v>6</v>
      </c>
      <c r="B315" s="17" t="s">
        <v>142</v>
      </c>
      <c r="C315" s="17" t="s">
        <v>1737</v>
      </c>
      <c r="D315" s="17" t="s">
        <v>1882</v>
      </c>
      <c r="E315" s="17" t="s">
        <v>3743</v>
      </c>
      <c r="F315" s="17" t="s">
        <v>3744</v>
      </c>
      <c r="G315" s="17" t="s">
        <v>5115</v>
      </c>
      <c r="H315" t="s">
        <v>7476</v>
      </c>
      <c r="I315" s="1">
        <v>2</v>
      </c>
      <c r="J315" s="1">
        <v>2</v>
      </c>
      <c r="K315" t="s">
        <v>8102</v>
      </c>
      <c r="L315" s="5">
        <f>VLOOKUP(D:D,[1]Munka2!$A:$B,2,FALSE)</f>
        <v>1</v>
      </c>
      <c r="M315" s="5">
        <f>_xlfn.IFNA(Táblázat1[[#This Row],[Kész2020]],0)</f>
        <v>1</v>
      </c>
      <c r="N315" s="5">
        <f>IF(Táblázat1[[#This Row],[Karb./akt.év]]-Táblázat1[[#This Row],[Kész2020_2]]&lt;0,0,Táblázat1[[#This Row],[Karb./akt.év]]-Táblázat1[[#This Row],[Kész2020_2]])</f>
        <v>1</v>
      </c>
    </row>
    <row r="316" spans="1:14" hidden="1" x14ac:dyDescent="0.25">
      <c r="A316" s="17" t="s">
        <v>6</v>
      </c>
      <c r="B316" s="17" t="s">
        <v>1326</v>
      </c>
      <c r="C316" s="17" t="s">
        <v>1736</v>
      </c>
      <c r="D316" s="17" t="s">
        <v>3142</v>
      </c>
      <c r="E316" s="17" t="s">
        <v>3788</v>
      </c>
      <c r="F316" s="17" t="s">
        <v>3789</v>
      </c>
      <c r="G316" s="17" t="s">
        <v>6246</v>
      </c>
      <c r="H316" t="s">
        <v>7476</v>
      </c>
      <c r="I316" s="1">
        <v>2</v>
      </c>
      <c r="J316" s="1">
        <v>2</v>
      </c>
      <c r="K316" t="s">
        <v>6634</v>
      </c>
      <c r="L316" s="5">
        <f>VLOOKUP(D:D,[1]Munka2!$A:$B,2,FALSE)</f>
        <v>1</v>
      </c>
      <c r="M316" s="5">
        <f>_xlfn.IFNA(Táblázat1[[#This Row],[Kész2020]],0)</f>
        <v>1</v>
      </c>
      <c r="N316" s="5">
        <f>IF(Táblázat1[[#This Row],[Karb./akt.év]]-Táblázat1[[#This Row],[Kész2020_2]]&lt;0,0,Táblázat1[[#This Row],[Karb./akt.év]]-Táblázat1[[#This Row],[Kész2020_2]])</f>
        <v>1</v>
      </c>
    </row>
    <row r="317" spans="1:14" hidden="1" x14ac:dyDescent="0.25">
      <c r="A317" s="17" t="s">
        <v>6</v>
      </c>
      <c r="B317" s="17" t="s">
        <v>587</v>
      </c>
      <c r="C317" s="17" t="s">
        <v>1742</v>
      </c>
      <c r="D317" s="17" t="s">
        <v>2360</v>
      </c>
      <c r="E317" s="17" t="s">
        <v>4210</v>
      </c>
      <c r="F317" s="17" t="s">
        <v>4041</v>
      </c>
      <c r="G317" s="17" t="s">
        <v>5551</v>
      </c>
      <c r="H317" t="s">
        <v>7476</v>
      </c>
      <c r="I317" s="1">
        <v>2</v>
      </c>
      <c r="J317" s="1">
        <v>2</v>
      </c>
      <c r="K317" t="s">
        <v>8102</v>
      </c>
      <c r="L317" s="5">
        <f>VLOOKUP(D:D,[1]Munka2!$A:$B,2,FALSE)</f>
        <v>1</v>
      </c>
      <c r="M317" s="5">
        <f>_xlfn.IFNA(Táblázat1[[#This Row],[Kész2020]],0)</f>
        <v>1</v>
      </c>
      <c r="N317" s="5">
        <f>IF(Táblázat1[[#This Row],[Karb./akt.év]]-Táblázat1[[#This Row],[Kész2020_2]]&lt;0,0,Táblázat1[[#This Row],[Karb./akt.év]]-Táblázat1[[#This Row],[Kész2020_2]])</f>
        <v>1</v>
      </c>
    </row>
    <row r="318" spans="1:14" hidden="1" x14ac:dyDescent="0.25">
      <c r="A318" s="17" t="s">
        <v>6</v>
      </c>
      <c r="B318" s="17" t="s">
        <v>1134</v>
      </c>
      <c r="C318" s="17" t="s">
        <v>1735</v>
      </c>
      <c r="D318" s="17" t="s">
        <v>2931</v>
      </c>
      <c r="E318" s="17" t="s">
        <v>3856</v>
      </c>
      <c r="F318" s="17" t="s">
        <v>3857</v>
      </c>
      <c r="G318" s="17" t="s">
        <v>6064</v>
      </c>
      <c r="H318" t="s">
        <v>7476</v>
      </c>
      <c r="I318" s="1">
        <v>2</v>
      </c>
      <c r="J318" s="1">
        <v>2</v>
      </c>
      <c r="K318" t="s">
        <v>6784</v>
      </c>
      <c r="L318" s="5">
        <f>VLOOKUP(D:D,[1]Munka2!$A:$B,2,FALSE)</f>
        <v>1</v>
      </c>
      <c r="M318" s="5">
        <f>_xlfn.IFNA(Táblázat1[[#This Row],[Kész2020]],0)</f>
        <v>1</v>
      </c>
      <c r="N318" s="5">
        <f>IF(Táblázat1[[#This Row],[Karb./akt.év]]-Táblázat1[[#This Row],[Kész2020_2]]&lt;0,0,Táblázat1[[#This Row],[Karb./akt.év]]-Táblázat1[[#This Row],[Kész2020_2]])</f>
        <v>1</v>
      </c>
    </row>
    <row r="319" spans="1:14" hidden="1" x14ac:dyDescent="0.25">
      <c r="A319" s="17" t="s">
        <v>6</v>
      </c>
      <c r="B319" s="17" t="s">
        <v>45</v>
      </c>
      <c r="C319" s="17" t="s">
        <v>1735</v>
      </c>
      <c r="D319" s="17" t="s">
        <v>1783</v>
      </c>
      <c r="E319" s="17" t="s">
        <v>3621</v>
      </c>
      <c r="F319" s="17" t="s">
        <v>3622</v>
      </c>
      <c r="G319" s="17" t="s">
        <v>5021</v>
      </c>
      <c r="H319" t="s">
        <v>7476</v>
      </c>
      <c r="I319" s="1">
        <v>2</v>
      </c>
      <c r="J319" s="1">
        <v>2</v>
      </c>
      <c r="K319" t="s">
        <v>8102</v>
      </c>
      <c r="L319" s="5">
        <f>VLOOKUP(D:D,[1]Munka2!$A:$B,2,FALSE)</f>
        <v>1</v>
      </c>
      <c r="M319" s="5">
        <f>_xlfn.IFNA(Táblázat1[[#This Row],[Kész2020]],0)</f>
        <v>1</v>
      </c>
      <c r="N319" s="5">
        <f>IF(Táblázat1[[#This Row],[Karb./akt.év]]-Táblázat1[[#This Row],[Kész2020_2]]&lt;0,0,Táblázat1[[#This Row],[Karb./akt.év]]-Táblázat1[[#This Row],[Kész2020_2]])</f>
        <v>1</v>
      </c>
    </row>
    <row r="320" spans="1:14" hidden="1" x14ac:dyDescent="0.25">
      <c r="A320" s="17" t="s">
        <v>6</v>
      </c>
      <c r="B320" s="17" t="s">
        <v>170</v>
      </c>
      <c r="C320" s="17" t="s">
        <v>1735</v>
      </c>
      <c r="D320" s="17" t="s">
        <v>1910</v>
      </c>
      <c r="E320" s="17" t="s">
        <v>3775</v>
      </c>
      <c r="F320" s="17" t="s">
        <v>3776</v>
      </c>
      <c r="G320" s="17" t="s">
        <v>5140</v>
      </c>
      <c r="H320" t="s">
        <v>7476</v>
      </c>
      <c r="I320" s="1">
        <v>2</v>
      </c>
      <c r="J320" s="1">
        <v>2</v>
      </c>
      <c r="K320" t="s">
        <v>6634</v>
      </c>
      <c r="L320" s="5">
        <f>VLOOKUP(D:D,[1]Munka2!$A:$B,2,FALSE)</f>
        <v>1</v>
      </c>
      <c r="M320" s="5">
        <f>_xlfn.IFNA(Táblázat1[[#This Row],[Kész2020]],0)</f>
        <v>1</v>
      </c>
      <c r="N320" s="5">
        <f>IF(Táblázat1[[#This Row],[Karb./akt.év]]-Táblázat1[[#This Row],[Kész2020_2]]&lt;0,0,Táblázat1[[#This Row],[Karb./akt.év]]-Táblázat1[[#This Row],[Kész2020_2]])</f>
        <v>1</v>
      </c>
    </row>
    <row r="321" spans="1:14" hidden="1" x14ac:dyDescent="0.25">
      <c r="A321" s="17" t="s">
        <v>6</v>
      </c>
      <c r="B321" s="17" t="s">
        <v>307</v>
      </c>
      <c r="C321" s="17" t="s">
        <v>1735</v>
      </c>
      <c r="D321" s="17" t="s">
        <v>2056</v>
      </c>
      <c r="E321" s="17" t="s">
        <v>3924</v>
      </c>
      <c r="F321" s="17" t="s">
        <v>3925</v>
      </c>
      <c r="G321" s="17" t="s">
        <v>5274</v>
      </c>
      <c r="H321" t="s">
        <v>7476</v>
      </c>
      <c r="I321" s="1">
        <v>2</v>
      </c>
      <c r="J321" s="1">
        <v>2</v>
      </c>
      <c r="K321" t="s">
        <v>6784</v>
      </c>
      <c r="L321" s="5">
        <f>VLOOKUP(D:D,[1]Munka2!$A:$B,2,FALSE)</f>
        <v>1</v>
      </c>
      <c r="M321" s="5">
        <f>_xlfn.IFNA(Táblázat1[[#This Row],[Kész2020]],0)</f>
        <v>1</v>
      </c>
      <c r="N321" s="5">
        <f>IF(Táblázat1[[#This Row],[Karb./akt.év]]-Táblázat1[[#This Row],[Kész2020_2]]&lt;0,0,Táblázat1[[#This Row],[Karb./akt.év]]-Táblázat1[[#This Row],[Kész2020_2]])</f>
        <v>1</v>
      </c>
    </row>
    <row r="322" spans="1:14" hidden="1" x14ac:dyDescent="0.25">
      <c r="A322" s="17" t="s">
        <v>6</v>
      </c>
      <c r="B322" s="17" t="s">
        <v>518</v>
      </c>
      <c r="C322" s="17" t="s">
        <v>1737</v>
      </c>
      <c r="D322" s="17" t="s">
        <v>2281</v>
      </c>
      <c r="E322" s="17" t="s">
        <v>3743</v>
      </c>
      <c r="F322" s="17" t="s">
        <v>3744</v>
      </c>
      <c r="G322" s="17" t="s">
        <v>5478</v>
      </c>
      <c r="H322" t="s">
        <v>7476</v>
      </c>
      <c r="I322" s="1">
        <v>2</v>
      </c>
      <c r="J322" s="1">
        <v>2</v>
      </c>
      <c r="K322" t="s">
        <v>8102</v>
      </c>
      <c r="L322" s="5">
        <f>VLOOKUP(D:D,[1]Munka2!$A:$B,2,FALSE)</f>
        <v>1</v>
      </c>
      <c r="M322" s="5">
        <f>_xlfn.IFNA(Táblázat1[[#This Row],[Kész2020]],0)</f>
        <v>1</v>
      </c>
      <c r="N322" s="5">
        <f>IF(Táblázat1[[#This Row],[Karb./akt.év]]-Táblázat1[[#This Row],[Kész2020_2]]&lt;0,0,Táblázat1[[#This Row],[Karb./akt.év]]-Táblázat1[[#This Row],[Kész2020_2]])</f>
        <v>1</v>
      </c>
    </row>
    <row r="323" spans="1:14" hidden="1" x14ac:dyDescent="0.25">
      <c r="A323" s="17" t="s">
        <v>6</v>
      </c>
      <c r="B323" s="17" t="s">
        <v>768</v>
      </c>
      <c r="C323" s="17" t="s">
        <v>1735</v>
      </c>
      <c r="D323" s="17" t="s">
        <v>2544</v>
      </c>
      <c r="E323" s="17" t="s">
        <v>3703</v>
      </c>
      <c r="F323" s="17" t="s">
        <v>3704</v>
      </c>
      <c r="G323" s="17" t="s">
        <v>5713</v>
      </c>
      <c r="H323" t="s">
        <v>7476</v>
      </c>
      <c r="I323" s="1">
        <v>2</v>
      </c>
      <c r="J323" s="1">
        <v>2</v>
      </c>
      <c r="K323" t="s">
        <v>8102</v>
      </c>
      <c r="L323" s="5">
        <f>VLOOKUP(D:D,[1]Munka2!$A:$B,2,FALSE)</f>
        <v>1</v>
      </c>
      <c r="M323" s="5">
        <f>_xlfn.IFNA(Táblázat1[[#This Row],[Kész2020]],0)</f>
        <v>1</v>
      </c>
      <c r="N323" s="5">
        <f>IF(Táblázat1[[#This Row],[Karb./akt.év]]-Táblázat1[[#This Row],[Kész2020_2]]&lt;0,0,Táblázat1[[#This Row],[Karb./akt.év]]-Táblázat1[[#This Row],[Kész2020_2]])</f>
        <v>1</v>
      </c>
    </row>
    <row r="324" spans="1:14" hidden="1" x14ac:dyDescent="0.25">
      <c r="A324" s="17" t="s">
        <v>6</v>
      </c>
      <c r="B324" s="17" t="s">
        <v>175</v>
      </c>
      <c r="C324" s="17" t="s">
        <v>1735</v>
      </c>
      <c r="D324" s="17" t="s">
        <v>1916</v>
      </c>
      <c r="E324" s="17" t="s">
        <v>3743</v>
      </c>
      <c r="F324" s="17" t="s">
        <v>3744</v>
      </c>
      <c r="G324" s="17" t="s">
        <v>5147</v>
      </c>
      <c r="H324" t="s">
        <v>7476</v>
      </c>
      <c r="I324" s="1">
        <v>2</v>
      </c>
      <c r="J324" s="1">
        <v>2</v>
      </c>
      <c r="K324" t="s">
        <v>8102</v>
      </c>
      <c r="L324" s="5">
        <f>VLOOKUP(D:D,[1]Munka2!$A:$B,2,FALSE)</f>
        <v>1</v>
      </c>
      <c r="M324" s="5">
        <f>_xlfn.IFNA(Táblázat1[[#This Row],[Kész2020]],0)</f>
        <v>1</v>
      </c>
      <c r="N324" s="5">
        <f>IF(Táblázat1[[#This Row],[Karb./akt.év]]-Táblázat1[[#This Row],[Kész2020_2]]&lt;0,0,Táblázat1[[#This Row],[Karb./akt.év]]-Táblázat1[[#This Row],[Kész2020_2]])</f>
        <v>1</v>
      </c>
    </row>
    <row r="325" spans="1:14" hidden="1" x14ac:dyDescent="0.25">
      <c r="A325" s="17" t="s">
        <v>6</v>
      </c>
      <c r="B325" s="17" t="s">
        <v>1237</v>
      </c>
      <c r="C325" s="17" t="s">
        <v>1737</v>
      </c>
      <c r="D325" s="17" t="s">
        <v>3046</v>
      </c>
      <c r="E325" s="17" t="s">
        <v>4732</v>
      </c>
      <c r="F325" s="17" t="s">
        <v>4733</v>
      </c>
      <c r="G325" s="17" t="s">
        <v>6165</v>
      </c>
      <c r="H325" t="s">
        <v>7476</v>
      </c>
      <c r="I325" s="1">
        <v>2</v>
      </c>
      <c r="J325" s="1">
        <v>2</v>
      </c>
      <c r="K325" t="s">
        <v>8102</v>
      </c>
      <c r="L325" s="5">
        <f>VLOOKUP(D:D,[1]Munka2!$A:$B,2,FALSE)</f>
        <v>1</v>
      </c>
      <c r="M325" s="5">
        <f>_xlfn.IFNA(Táblázat1[[#This Row],[Kész2020]],0)</f>
        <v>1</v>
      </c>
      <c r="N325" s="5">
        <f>IF(Táblázat1[[#This Row],[Karb./akt.év]]-Táblázat1[[#This Row],[Kész2020_2]]&lt;0,0,Táblázat1[[#This Row],[Karb./akt.év]]-Táblázat1[[#This Row],[Kész2020_2]])</f>
        <v>1</v>
      </c>
    </row>
    <row r="326" spans="1:14" hidden="1" x14ac:dyDescent="0.25">
      <c r="A326" s="17" t="s">
        <v>6</v>
      </c>
      <c r="B326" s="17" t="s">
        <v>477</v>
      </c>
      <c r="C326" s="17" t="s">
        <v>1743</v>
      </c>
      <c r="D326" s="17" t="s">
        <v>2237</v>
      </c>
      <c r="E326" s="17" t="s">
        <v>4071</v>
      </c>
      <c r="F326" s="17" t="s">
        <v>4072</v>
      </c>
      <c r="G326" s="17" t="s">
        <v>5439</v>
      </c>
      <c r="H326" t="s">
        <v>7476</v>
      </c>
      <c r="I326" s="1">
        <v>2</v>
      </c>
      <c r="J326" s="1">
        <v>2</v>
      </c>
      <c r="K326" t="s">
        <v>6642</v>
      </c>
      <c r="L326" s="5">
        <f>VLOOKUP(D:D,[1]Munka2!$A:$B,2,FALSE)</f>
        <v>1</v>
      </c>
      <c r="M326" s="5">
        <f>_xlfn.IFNA(Táblázat1[[#This Row],[Kész2020]],0)</f>
        <v>1</v>
      </c>
      <c r="N326" s="5">
        <f>IF(Táblázat1[[#This Row],[Karb./akt.év]]-Táblázat1[[#This Row],[Kész2020_2]]&lt;0,0,Táblázat1[[#This Row],[Karb./akt.év]]-Táblázat1[[#This Row],[Kész2020_2]])</f>
        <v>1</v>
      </c>
    </row>
    <row r="327" spans="1:14" hidden="1" x14ac:dyDescent="0.25">
      <c r="A327" s="17" t="s">
        <v>6</v>
      </c>
      <c r="B327" s="17" t="s">
        <v>1170</v>
      </c>
      <c r="C327" s="17" t="s">
        <v>1737</v>
      </c>
      <c r="D327" s="17" t="s">
        <v>2968</v>
      </c>
      <c r="E327" s="17" t="s">
        <v>3905</v>
      </c>
      <c r="F327" s="17" t="s">
        <v>3906</v>
      </c>
      <c r="G327" s="17" t="s">
        <v>6095</v>
      </c>
      <c r="H327" t="s">
        <v>7476</v>
      </c>
      <c r="I327" s="1">
        <v>2</v>
      </c>
      <c r="J327" s="1">
        <v>2</v>
      </c>
      <c r="K327" t="s">
        <v>6634</v>
      </c>
      <c r="L327" s="5">
        <f>VLOOKUP(D:D,[1]Munka2!$A:$B,2,FALSE)</f>
        <v>1</v>
      </c>
      <c r="M327" s="5">
        <f>_xlfn.IFNA(Táblázat1[[#This Row],[Kész2020]],0)</f>
        <v>1</v>
      </c>
      <c r="N327" s="5">
        <f>IF(Táblázat1[[#This Row],[Karb./akt.év]]-Táblázat1[[#This Row],[Kész2020_2]]&lt;0,0,Táblázat1[[#This Row],[Karb./akt.év]]-Táblázat1[[#This Row],[Kész2020_2]])</f>
        <v>1</v>
      </c>
    </row>
    <row r="328" spans="1:14" hidden="1" x14ac:dyDescent="0.25">
      <c r="A328" s="17" t="s">
        <v>6</v>
      </c>
      <c r="B328" s="17" t="s">
        <v>924</v>
      </c>
      <c r="C328" s="17" t="s">
        <v>1736</v>
      </c>
      <c r="D328" s="17" t="s">
        <v>2706</v>
      </c>
      <c r="E328" s="17" t="s">
        <v>3775</v>
      </c>
      <c r="F328" s="17" t="s">
        <v>3776</v>
      </c>
      <c r="G328" s="17" t="s">
        <v>5849</v>
      </c>
      <c r="H328" t="s">
        <v>7476</v>
      </c>
      <c r="I328" s="1">
        <v>2</v>
      </c>
      <c r="J328" s="1">
        <v>2</v>
      </c>
      <c r="K328" t="s">
        <v>6634</v>
      </c>
      <c r="L328" s="5">
        <f>VLOOKUP(D:D,[1]Munka2!$A:$B,2,FALSE)</f>
        <v>1</v>
      </c>
      <c r="M328" s="5">
        <f>_xlfn.IFNA(Táblázat1[[#This Row],[Kész2020]],0)</f>
        <v>1</v>
      </c>
      <c r="N328" s="5">
        <f>IF(Táblázat1[[#This Row],[Karb./akt.év]]-Táblázat1[[#This Row],[Kész2020_2]]&lt;0,0,Táblázat1[[#This Row],[Karb./akt.év]]-Táblázat1[[#This Row],[Kész2020_2]])</f>
        <v>1</v>
      </c>
    </row>
    <row r="329" spans="1:14" hidden="1" x14ac:dyDescent="0.25">
      <c r="A329" s="17" t="s">
        <v>6</v>
      </c>
      <c r="B329" s="17" t="s">
        <v>1637</v>
      </c>
      <c r="C329" s="17" t="s">
        <v>1737</v>
      </c>
      <c r="D329" s="17" t="s">
        <v>3490</v>
      </c>
      <c r="E329" s="17" t="s">
        <v>3881</v>
      </c>
      <c r="F329" s="17" t="s">
        <v>3755</v>
      </c>
      <c r="G329" s="17" t="s">
        <v>6533</v>
      </c>
      <c r="H329" t="s">
        <v>7476</v>
      </c>
      <c r="I329" s="1">
        <v>2</v>
      </c>
      <c r="J329" s="1">
        <v>2</v>
      </c>
      <c r="K329" t="s">
        <v>6640</v>
      </c>
      <c r="L329" s="5">
        <f>VLOOKUP(D:D,[1]Munka2!$A:$B,2,FALSE)</f>
        <v>1</v>
      </c>
      <c r="M329" s="5">
        <f>_xlfn.IFNA(Táblázat1[[#This Row],[Kész2020]],0)</f>
        <v>1</v>
      </c>
      <c r="N329" s="5">
        <f>IF(Táblázat1[[#This Row],[Karb./akt.év]]-Táblázat1[[#This Row],[Kész2020_2]]&lt;0,0,Táblázat1[[#This Row],[Karb./akt.év]]-Táblázat1[[#This Row],[Kész2020_2]])</f>
        <v>1</v>
      </c>
    </row>
    <row r="330" spans="1:14" x14ac:dyDescent="0.25">
      <c r="A330" s="17" t="s">
        <v>6</v>
      </c>
      <c r="B330" s="17" t="s">
        <v>1104</v>
      </c>
      <c r="C330" s="17" t="s">
        <v>1737</v>
      </c>
      <c r="D330" s="17" t="s">
        <v>2898</v>
      </c>
      <c r="E330" s="17" t="s">
        <v>3792</v>
      </c>
      <c r="F330" s="17" t="s">
        <v>3793</v>
      </c>
      <c r="G330" s="17" t="s">
        <v>6034</v>
      </c>
      <c r="H330" t="s">
        <v>7476</v>
      </c>
      <c r="I330" s="1">
        <v>2</v>
      </c>
      <c r="J330" s="1">
        <v>2</v>
      </c>
      <c r="K330" t="s">
        <v>6639</v>
      </c>
      <c r="L330" s="5" t="e">
        <f>VLOOKUP(D:D,[1]Munka2!$A:$B,2,FALSE)</f>
        <v>#N/A</v>
      </c>
      <c r="M330" s="5">
        <f>_xlfn.IFNA(Táblázat1[[#This Row],[Kész2020]],0)</f>
        <v>0</v>
      </c>
      <c r="N330" s="5">
        <f>IF(Táblázat1[[#This Row],[Karb./akt.év]]-Táblázat1[[#This Row],[Kész2020_2]]&lt;0,0,Táblázat1[[#This Row],[Karb./akt.év]]-Táblázat1[[#This Row],[Kész2020_2]])</f>
        <v>2</v>
      </c>
    </row>
    <row r="331" spans="1:14" hidden="1" x14ac:dyDescent="0.25">
      <c r="A331" s="17" t="s">
        <v>6</v>
      </c>
      <c r="B331" s="17" t="s">
        <v>179</v>
      </c>
      <c r="C331" s="17" t="s">
        <v>1737</v>
      </c>
      <c r="D331" s="17" t="s">
        <v>1920</v>
      </c>
      <c r="E331" s="17" t="s">
        <v>3792</v>
      </c>
      <c r="F331" s="17" t="s">
        <v>3793</v>
      </c>
      <c r="G331" s="17" t="s">
        <v>5151</v>
      </c>
      <c r="H331" t="s">
        <v>7476</v>
      </c>
      <c r="I331" s="1">
        <v>2</v>
      </c>
      <c r="J331" s="1">
        <v>2</v>
      </c>
      <c r="K331" t="s">
        <v>6639</v>
      </c>
      <c r="L331" s="5">
        <f>VLOOKUP(D:D,[1]Munka2!$A:$B,2,FALSE)</f>
        <v>1</v>
      </c>
      <c r="M331" s="5">
        <f>_xlfn.IFNA(Táblázat1[[#This Row],[Kész2020]],0)</f>
        <v>1</v>
      </c>
      <c r="N331" s="5">
        <f>IF(Táblázat1[[#This Row],[Karb./akt.év]]-Táblázat1[[#This Row],[Kész2020_2]]&lt;0,0,Táblázat1[[#This Row],[Karb./akt.év]]-Táblázat1[[#This Row],[Kész2020_2]])</f>
        <v>1</v>
      </c>
    </row>
    <row r="332" spans="1:14" hidden="1" x14ac:dyDescent="0.25">
      <c r="A332" s="17" t="s">
        <v>6</v>
      </c>
      <c r="B332" s="17" t="s">
        <v>7007</v>
      </c>
      <c r="C332" s="17" t="s">
        <v>1736</v>
      </c>
      <c r="D332" s="17" t="s">
        <v>2195</v>
      </c>
      <c r="E332" s="17" t="s">
        <v>3615</v>
      </c>
      <c r="F332" s="17" t="s">
        <v>3616</v>
      </c>
      <c r="G332" s="17" t="s">
        <v>5025</v>
      </c>
      <c r="H332" t="s">
        <v>7476</v>
      </c>
      <c r="I332" s="1">
        <v>2</v>
      </c>
      <c r="J332" s="1">
        <v>2</v>
      </c>
      <c r="K332" t="s">
        <v>6639</v>
      </c>
      <c r="L332" s="5">
        <f>VLOOKUP(D:D,[1]Munka2!$A:$B,2,FALSE)</f>
        <v>1</v>
      </c>
      <c r="M332" s="5">
        <f>_xlfn.IFNA(Táblázat1[[#This Row],[Kész2020]],0)</f>
        <v>1</v>
      </c>
      <c r="N332" s="5">
        <f>IF(Táblázat1[[#This Row],[Karb./akt.év]]-Táblázat1[[#This Row],[Kész2020_2]]&lt;0,0,Táblázat1[[#This Row],[Karb./akt.év]]-Táblázat1[[#This Row],[Kész2020_2]])</f>
        <v>1</v>
      </c>
    </row>
    <row r="333" spans="1:14" hidden="1" x14ac:dyDescent="0.25">
      <c r="A333" s="17" t="s">
        <v>6</v>
      </c>
      <c r="B333" s="17" t="s">
        <v>147</v>
      </c>
      <c r="C333" s="17" t="s">
        <v>1736</v>
      </c>
      <c r="D333" s="17" t="s">
        <v>1887</v>
      </c>
      <c r="E333" s="17" t="s">
        <v>3741</v>
      </c>
      <c r="F333" s="17" t="s">
        <v>3742</v>
      </c>
      <c r="G333" s="17" t="s">
        <v>5119</v>
      </c>
      <c r="H333" t="s">
        <v>7476</v>
      </c>
      <c r="I333" s="1">
        <v>2</v>
      </c>
      <c r="J333" s="1">
        <v>2</v>
      </c>
      <c r="K333" t="s">
        <v>7354</v>
      </c>
      <c r="L333" s="5">
        <f>VLOOKUP(D:D,[1]Munka2!$A:$B,2,FALSE)</f>
        <v>1</v>
      </c>
      <c r="M333" s="5">
        <f>_xlfn.IFNA(Táblázat1[[#This Row],[Kész2020]],0)</f>
        <v>1</v>
      </c>
      <c r="N333" s="5">
        <f>IF(Táblázat1[[#This Row],[Karb./akt.év]]-Táblázat1[[#This Row],[Kész2020_2]]&lt;0,0,Táblázat1[[#This Row],[Karb./akt.év]]-Táblázat1[[#This Row],[Kész2020_2]])</f>
        <v>1</v>
      </c>
    </row>
    <row r="334" spans="1:14" hidden="1" x14ac:dyDescent="0.25">
      <c r="A334" s="17" t="s">
        <v>6</v>
      </c>
      <c r="B334" s="17" t="s">
        <v>1542</v>
      </c>
      <c r="C334" s="17" t="s">
        <v>1737</v>
      </c>
      <c r="D334" s="17" t="s">
        <v>3386</v>
      </c>
      <c r="E334" s="17" t="s">
        <v>3697</v>
      </c>
      <c r="F334" s="17" t="s">
        <v>3698</v>
      </c>
      <c r="G334" s="17" t="s">
        <v>6449</v>
      </c>
      <c r="H334" t="s">
        <v>7476</v>
      </c>
      <c r="I334" s="1">
        <v>2</v>
      </c>
      <c r="J334" s="1">
        <v>2</v>
      </c>
      <c r="K334" t="s">
        <v>6639</v>
      </c>
      <c r="L334" s="5">
        <f>VLOOKUP(D:D,[1]Munka2!$A:$B,2,FALSE)</f>
        <v>1</v>
      </c>
      <c r="M334" s="5">
        <f>_xlfn.IFNA(Táblázat1[[#This Row],[Kész2020]],0)</f>
        <v>1</v>
      </c>
      <c r="N334" s="5">
        <f>IF(Táblázat1[[#This Row],[Karb./akt.év]]-Táblázat1[[#This Row],[Kész2020_2]]&lt;0,0,Táblázat1[[#This Row],[Karb./akt.év]]-Táblázat1[[#This Row],[Kész2020_2]])</f>
        <v>1</v>
      </c>
    </row>
    <row r="335" spans="1:14" hidden="1" x14ac:dyDescent="0.25">
      <c r="A335" s="17" t="s">
        <v>6</v>
      </c>
      <c r="B335" s="17" t="s">
        <v>457</v>
      </c>
      <c r="C335" s="17" t="s">
        <v>1737</v>
      </c>
      <c r="D335" s="17" t="s">
        <v>2214</v>
      </c>
      <c r="E335" s="17" t="s">
        <v>3881</v>
      </c>
      <c r="F335" s="17" t="s">
        <v>3755</v>
      </c>
      <c r="G335" s="17" t="s">
        <v>5422</v>
      </c>
      <c r="H335" t="s">
        <v>7476</v>
      </c>
      <c r="I335" s="1">
        <v>2</v>
      </c>
      <c r="J335" s="1">
        <v>2</v>
      </c>
      <c r="K335" t="s">
        <v>6640</v>
      </c>
      <c r="L335" s="5">
        <f>VLOOKUP(D:D,[1]Munka2!$A:$B,2,FALSE)</f>
        <v>1</v>
      </c>
      <c r="M335" s="5">
        <f>_xlfn.IFNA(Táblázat1[[#This Row],[Kész2020]],0)</f>
        <v>1</v>
      </c>
      <c r="N335" s="5">
        <f>IF(Táblázat1[[#This Row],[Karb./akt.év]]-Táblázat1[[#This Row],[Kész2020_2]]&lt;0,0,Táblázat1[[#This Row],[Karb./akt.év]]-Táblázat1[[#This Row],[Kész2020_2]])</f>
        <v>1</v>
      </c>
    </row>
    <row r="336" spans="1:14" hidden="1" x14ac:dyDescent="0.25">
      <c r="A336" s="17" t="s">
        <v>6</v>
      </c>
      <c r="B336" s="17" t="s">
        <v>6830</v>
      </c>
      <c r="C336" s="17" t="s">
        <v>1736</v>
      </c>
      <c r="D336" s="17" t="s">
        <v>6863</v>
      </c>
      <c r="E336" s="17" t="s">
        <v>3808</v>
      </c>
      <c r="F336" s="17" t="s">
        <v>3809</v>
      </c>
      <c r="G336" s="17" t="s">
        <v>6907</v>
      </c>
      <c r="H336" t="s">
        <v>7476</v>
      </c>
      <c r="I336" s="1">
        <v>2</v>
      </c>
      <c r="J336" s="1">
        <v>2</v>
      </c>
      <c r="K336" t="s">
        <v>6640</v>
      </c>
      <c r="L336" s="5">
        <f>VLOOKUP(D:D,[1]Munka2!$A:$B,2,FALSE)</f>
        <v>1</v>
      </c>
      <c r="M336" s="5">
        <f>_xlfn.IFNA(Táblázat1[[#This Row],[Kész2020]],0)</f>
        <v>1</v>
      </c>
      <c r="N336" s="5">
        <f>IF(Táblázat1[[#This Row],[Karb./akt.év]]-Táblázat1[[#This Row],[Kész2020_2]]&lt;0,0,Táblázat1[[#This Row],[Karb./akt.év]]-Táblázat1[[#This Row],[Kész2020_2]])</f>
        <v>1</v>
      </c>
    </row>
    <row r="337" spans="1:14" hidden="1" x14ac:dyDescent="0.25">
      <c r="A337" s="17" t="s">
        <v>6</v>
      </c>
      <c r="B337" s="17" t="s">
        <v>1471</v>
      </c>
      <c r="C337" s="17" t="s">
        <v>1737</v>
      </c>
      <c r="D337" s="17" t="s">
        <v>3305</v>
      </c>
      <c r="E337" s="17" t="s">
        <v>4248</v>
      </c>
      <c r="F337" s="17" t="s">
        <v>4249</v>
      </c>
      <c r="G337" s="17" t="s">
        <v>6380</v>
      </c>
      <c r="H337" t="s">
        <v>7476</v>
      </c>
      <c r="I337" s="1">
        <v>2</v>
      </c>
      <c r="J337" s="1">
        <v>2</v>
      </c>
      <c r="K337" t="s">
        <v>6640</v>
      </c>
      <c r="L337" s="5">
        <f>VLOOKUP(D:D,[1]Munka2!$A:$B,2,FALSE)</f>
        <v>1</v>
      </c>
      <c r="M337" s="5">
        <f>_xlfn.IFNA(Táblázat1[[#This Row],[Kész2020]],0)</f>
        <v>1</v>
      </c>
      <c r="N337" s="5">
        <f>IF(Táblázat1[[#This Row],[Karb./akt.év]]-Táblázat1[[#This Row],[Kész2020_2]]&lt;0,0,Táblázat1[[#This Row],[Karb./akt.év]]-Táblázat1[[#This Row],[Kész2020_2]])</f>
        <v>1</v>
      </c>
    </row>
    <row r="338" spans="1:14" hidden="1" x14ac:dyDescent="0.25">
      <c r="A338" s="17" t="s">
        <v>6</v>
      </c>
      <c r="B338" s="17" t="s">
        <v>6841</v>
      </c>
      <c r="C338" s="17" t="s">
        <v>1737</v>
      </c>
      <c r="D338" s="17" t="s">
        <v>7449</v>
      </c>
      <c r="E338" s="17" t="s">
        <v>4061</v>
      </c>
      <c r="F338" s="17" t="s">
        <v>4062</v>
      </c>
      <c r="G338" s="17" t="s">
        <v>6257</v>
      </c>
      <c r="H338" t="s">
        <v>7476</v>
      </c>
      <c r="I338" s="1">
        <v>2</v>
      </c>
      <c r="J338" s="1">
        <v>2</v>
      </c>
      <c r="K338" t="s">
        <v>6636</v>
      </c>
      <c r="L338" s="5">
        <f>VLOOKUP(D:D,[1]Munka2!$A:$B,2,FALSE)</f>
        <v>1</v>
      </c>
      <c r="M338" s="5">
        <f>_xlfn.IFNA(Táblázat1[[#This Row],[Kész2020]],0)</f>
        <v>1</v>
      </c>
      <c r="N338" s="5">
        <f>IF(Táblázat1[[#This Row],[Karb./akt.év]]-Táblázat1[[#This Row],[Kész2020_2]]&lt;0,0,Táblázat1[[#This Row],[Karb./akt.év]]-Táblázat1[[#This Row],[Kész2020_2]])</f>
        <v>1</v>
      </c>
    </row>
    <row r="339" spans="1:14" x14ac:dyDescent="0.25">
      <c r="A339" s="17" t="s">
        <v>6</v>
      </c>
      <c r="B339" s="17" t="s">
        <v>786</v>
      </c>
      <c r="C339" s="17" t="s">
        <v>1737</v>
      </c>
      <c r="D339" s="17" t="s">
        <v>2562</v>
      </c>
      <c r="E339" s="17" t="s">
        <v>4333</v>
      </c>
      <c r="F339" s="17" t="s">
        <v>4334</v>
      </c>
      <c r="G339" s="17" t="s">
        <v>5730</v>
      </c>
      <c r="H339" t="s">
        <v>7476</v>
      </c>
      <c r="I339" s="1">
        <v>2</v>
      </c>
      <c r="J339" s="1">
        <v>2</v>
      </c>
      <c r="K339" t="s">
        <v>6640</v>
      </c>
      <c r="L339" s="5" t="e">
        <f>VLOOKUP(D:D,[1]Munka2!$A:$B,2,FALSE)</f>
        <v>#N/A</v>
      </c>
      <c r="M339" s="5">
        <f>_xlfn.IFNA(Táblázat1[[#This Row],[Kész2020]],0)</f>
        <v>0</v>
      </c>
      <c r="N339" s="5">
        <f>IF(Táblázat1[[#This Row],[Karb./akt.év]]-Táblázat1[[#This Row],[Kész2020_2]]&lt;0,0,Táblázat1[[#This Row],[Karb./akt.év]]-Táblázat1[[#This Row],[Kész2020_2]])</f>
        <v>2</v>
      </c>
    </row>
    <row r="340" spans="1:14" hidden="1" x14ac:dyDescent="0.25">
      <c r="A340" s="17" t="s">
        <v>6</v>
      </c>
      <c r="B340" s="17" t="s">
        <v>413</v>
      </c>
      <c r="C340" s="17" t="s">
        <v>1737</v>
      </c>
      <c r="D340" s="17" t="s">
        <v>2169</v>
      </c>
      <c r="E340" s="17" t="s">
        <v>4034</v>
      </c>
      <c r="F340" s="17" t="s">
        <v>3755</v>
      </c>
      <c r="G340" s="17" t="s">
        <v>5379</v>
      </c>
      <c r="H340" t="s">
        <v>7476</v>
      </c>
      <c r="I340" s="1">
        <v>2</v>
      </c>
      <c r="J340" s="1">
        <v>2</v>
      </c>
      <c r="K340" t="s">
        <v>6640</v>
      </c>
      <c r="L340" s="5">
        <f>VLOOKUP(D:D,[1]Munka2!$A:$B,2,FALSE)</f>
        <v>1</v>
      </c>
      <c r="M340" s="5">
        <f>_xlfn.IFNA(Táblázat1[[#This Row],[Kész2020]],0)</f>
        <v>1</v>
      </c>
      <c r="N340" s="5">
        <f>IF(Táblázat1[[#This Row],[Karb./akt.év]]-Táblázat1[[#This Row],[Kész2020_2]]&lt;0,0,Táblázat1[[#This Row],[Karb./akt.év]]-Táblázat1[[#This Row],[Kész2020_2]])</f>
        <v>1</v>
      </c>
    </row>
    <row r="341" spans="1:14" hidden="1" x14ac:dyDescent="0.25">
      <c r="A341" s="17" t="s">
        <v>6</v>
      </c>
      <c r="B341" s="17" t="s">
        <v>46</v>
      </c>
      <c r="C341" s="17" t="s">
        <v>1735</v>
      </c>
      <c r="D341" s="17" t="s">
        <v>1785</v>
      </c>
      <c r="E341" s="17" t="s">
        <v>3623</v>
      </c>
      <c r="F341" s="17" t="s">
        <v>3624</v>
      </c>
      <c r="G341" s="17" t="s">
        <v>5023</v>
      </c>
      <c r="H341" t="s">
        <v>7476</v>
      </c>
      <c r="I341" s="1">
        <v>2</v>
      </c>
      <c r="J341" s="1">
        <v>2</v>
      </c>
      <c r="K341" t="s">
        <v>6639</v>
      </c>
      <c r="L341" s="5">
        <f>VLOOKUP(D:D,[1]Munka2!$A:$B,2,FALSE)</f>
        <v>1</v>
      </c>
      <c r="M341" s="5">
        <f>_xlfn.IFNA(Táblázat1[[#This Row],[Kész2020]],0)</f>
        <v>1</v>
      </c>
      <c r="N341" s="5">
        <f>IF(Táblázat1[[#This Row],[Karb./akt.év]]-Táblázat1[[#This Row],[Kész2020_2]]&lt;0,0,Táblázat1[[#This Row],[Karb./akt.év]]-Táblázat1[[#This Row],[Kész2020_2]])</f>
        <v>1</v>
      </c>
    </row>
    <row r="342" spans="1:14" hidden="1" x14ac:dyDescent="0.25">
      <c r="A342" s="17" t="s">
        <v>6</v>
      </c>
      <c r="B342" s="17" t="s">
        <v>802</v>
      </c>
      <c r="C342" s="17" t="s">
        <v>1737</v>
      </c>
      <c r="D342" s="17" t="s">
        <v>2579</v>
      </c>
      <c r="E342" s="17" t="s">
        <v>4372</v>
      </c>
      <c r="F342" s="17" t="s">
        <v>4373</v>
      </c>
      <c r="G342" s="17" t="s">
        <v>5743</v>
      </c>
      <c r="H342" t="s">
        <v>7476</v>
      </c>
      <c r="I342" s="1">
        <v>2</v>
      </c>
      <c r="J342" s="1">
        <v>2</v>
      </c>
      <c r="K342" t="s">
        <v>7354</v>
      </c>
      <c r="L342" s="5">
        <f>VLOOKUP(D:D,[1]Munka2!$A:$B,2,FALSE)</f>
        <v>1</v>
      </c>
      <c r="M342" s="5">
        <f>_xlfn.IFNA(Táblázat1[[#This Row],[Kész2020]],0)</f>
        <v>1</v>
      </c>
      <c r="N342" s="5">
        <f>IF(Táblázat1[[#This Row],[Karb./akt.év]]-Táblázat1[[#This Row],[Kész2020_2]]&lt;0,0,Táblázat1[[#This Row],[Karb./akt.év]]-Táblázat1[[#This Row],[Kész2020_2]])</f>
        <v>1</v>
      </c>
    </row>
    <row r="343" spans="1:14" x14ac:dyDescent="0.25">
      <c r="A343" s="17" t="s">
        <v>6</v>
      </c>
      <c r="B343" s="17" t="s">
        <v>1403</v>
      </c>
      <c r="C343" s="17" t="s">
        <v>1736</v>
      </c>
      <c r="D343" s="17" t="s">
        <v>3230</v>
      </c>
      <c r="E343" s="17" t="s">
        <v>3792</v>
      </c>
      <c r="F343" s="17" t="s">
        <v>3793</v>
      </c>
      <c r="G343" s="17" t="s">
        <v>6308</v>
      </c>
      <c r="H343" t="s">
        <v>7476</v>
      </c>
      <c r="I343" s="1">
        <v>2</v>
      </c>
      <c r="J343" s="1">
        <v>2</v>
      </c>
      <c r="K343" t="s">
        <v>6639</v>
      </c>
      <c r="L343" s="5" t="e">
        <f>VLOOKUP(D:D,[1]Munka2!$A:$B,2,FALSE)</f>
        <v>#N/A</v>
      </c>
      <c r="M343" s="5">
        <f>_xlfn.IFNA(Táblázat1[[#This Row],[Kész2020]],0)</f>
        <v>0</v>
      </c>
      <c r="N343" s="5">
        <f>IF(Táblázat1[[#This Row],[Karb./akt.év]]-Táblázat1[[#This Row],[Kész2020_2]]&lt;0,0,Táblázat1[[#This Row],[Karb./akt.év]]-Táblázat1[[#This Row],[Kész2020_2]])</f>
        <v>2</v>
      </c>
    </row>
    <row r="344" spans="1:14" hidden="1" x14ac:dyDescent="0.25">
      <c r="A344" s="17" t="s">
        <v>6</v>
      </c>
      <c r="B344" s="17" t="s">
        <v>740</v>
      </c>
      <c r="C344" s="17" t="s">
        <v>1736</v>
      </c>
      <c r="D344" s="17" t="s">
        <v>2517</v>
      </c>
      <c r="E344" s="17" t="s">
        <v>3754</v>
      </c>
      <c r="F344" s="17" t="s">
        <v>3755</v>
      </c>
      <c r="G344" s="17" t="s">
        <v>5686</v>
      </c>
      <c r="H344" t="s">
        <v>7476</v>
      </c>
      <c r="I344" s="1">
        <v>2</v>
      </c>
      <c r="J344" s="1">
        <v>2</v>
      </c>
      <c r="K344" t="s">
        <v>6640</v>
      </c>
      <c r="L344" s="5">
        <f>VLOOKUP(D:D,[1]Munka2!$A:$B,2,FALSE)</f>
        <v>1</v>
      </c>
      <c r="M344" s="5">
        <f>_xlfn.IFNA(Táblázat1[[#This Row],[Kész2020]],0)</f>
        <v>1</v>
      </c>
      <c r="N344" s="5">
        <f>IF(Táblázat1[[#This Row],[Karb./akt.év]]-Táblázat1[[#This Row],[Kész2020_2]]&lt;0,0,Táblázat1[[#This Row],[Karb./akt.év]]-Táblázat1[[#This Row],[Kész2020_2]])</f>
        <v>1</v>
      </c>
    </row>
    <row r="345" spans="1:14" hidden="1" x14ac:dyDescent="0.25">
      <c r="A345" s="17" t="s">
        <v>6</v>
      </c>
      <c r="B345" s="17" t="s">
        <v>6800</v>
      </c>
      <c r="C345" s="17" t="s">
        <v>1737</v>
      </c>
      <c r="D345" s="17" t="s">
        <v>6814</v>
      </c>
      <c r="E345" s="17" t="s">
        <v>4325</v>
      </c>
      <c r="F345" s="17" t="s">
        <v>4326</v>
      </c>
      <c r="G345" s="17" t="s">
        <v>5797</v>
      </c>
      <c r="H345" t="s">
        <v>7476</v>
      </c>
      <c r="I345" s="1">
        <v>2</v>
      </c>
      <c r="J345" s="1">
        <v>2</v>
      </c>
      <c r="K345" t="s">
        <v>6640</v>
      </c>
      <c r="L345" s="5">
        <f>VLOOKUP(D:D,[1]Munka2!$A:$B,2,FALSE)</f>
        <v>1</v>
      </c>
      <c r="M345" s="5">
        <f>_xlfn.IFNA(Táblázat1[[#This Row],[Kész2020]],0)</f>
        <v>1</v>
      </c>
      <c r="N345" s="5">
        <f>IF(Táblázat1[[#This Row],[Karb./akt.év]]-Táblázat1[[#This Row],[Kész2020_2]]&lt;0,0,Táblázat1[[#This Row],[Karb./akt.év]]-Táblázat1[[#This Row],[Kész2020_2]])</f>
        <v>1</v>
      </c>
    </row>
    <row r="346" spans="1:14" hidden="1" x14ac:dyDescent="0.25">
      <c r="A346" s="17" t="s">
        <v>6</v>
      </c>
      <c r="B346" s="17" t="s">
        <v>6732</v>
      </c>
      <c r="C346" s="17" t="s">
        <v>1737</v>
      </c>
      <c r="D346" s="17" t="s">
        <v>2648</v>
      </c>
      <c r="E346" s="17" t="s">
        <v>4382</v>
      </c>
      <c r="F346" s="17" t="s">
        <v>4383</v>
      </c>
      <c r="G346" s="17" t="s">
        <v>5804</v>
      </c>
      <c r="H346" t="s">
        <v>7476</v>
      </c>
      <c r="I346" s="1">
        <v>2</v>
      </c>
      <c r="J346" s="1">
        <v>2</v>
      </c>
      <c r="K346" t="s">
        <v>7354</v>
      </c>
      <c r="L346" s="5">
        <f>VLOOKUP(D:D,[1]Munka2!$A:$B,2,FALSE)</f>
        <v>1</v>
      </c>
      <c r="M346" s="5">
        <f>_xlfn.IFNA(Táblázat1[[#This Row],[Kész2020]],0)</f>
        <v>1</v>
      </c>
      <c r="N346" s="5">
        <f>IF(Táblázat1[[#This Row],[Karb./akt.év]]-Táblázat1[[#This Row],[Kész2020_2]]&lt;0,0,Táblázat1[[#This Row],[Karb./akt.év]]-Táblázat1[[#This Row],[Kész2020_2]])</f>
        <v>1</v>
      </c>
    </row>
    <row r="347" spans="1:14" hidden="1" x14ac:dyDescent="0.25">
      <c r="A347" s="17" t="s">
        <v>6</v>
      </c>
      <c r="B347" s="17" t="s">
        <v>6845</v>
      </c>
      <c r="C347" s="17" t="s">
        <v>1736</v>
      </c>
      <c r="D347" s="17" t="s">
        <v>6875</v>
      </c>
      <c r="E347" s="17" t="s">
        <v>3697</v>
      </c>
      <c r="F347" s="17" t="s">
        <v>3698</v>
      </c>
      <c r="G347" s="17" t="s">
        <v>6916</v>
      </c>
      <c r="H347" t="s">
        <v>7476</v>
      </c>
      <c r="I347" s="1">
        <v>2</v>
      </c>
      <c r="J347" s="1">
        <v>2</v>
      </c>
      <c r="K347" t="s">
        <v>6639</v>
      </c>
      <c r="L347" s="5">
        <f>VLOOKUP(D:D,[1]Munka2!$A:$B,2,FALSE)</f>
        <v>1</v>
      </c>
      <c r="M347" s="5">
        <f>_xlfn.IFNA(Táblázat1[[#This Row],[Kész2020]],0)</f>
        <v>1</v>
      </c>
      <c r="N347" s="5">
        <f>IF(Táblázat1[[#This Row],[Karb./akt.év]]-Táblázat1[[#This Row],[Kész2020_2]]&lt;0,0,Táblázat1[[#This Row],[Karb./akt.év]]-Táblázat1[[#This Row],[Kész2020_2]])</f>
        <v>1</v>
      </c>
    </row>
    <row r="348" spans="1:14" x14ac:dyDescent="0.25">
      <c r="A348" s="17" t="s">
        <v>6</v>
      </c>
      <c r="B348" s="17" t="s">
        <v>663</v>
      </c>
      <c r="C348" s="17" t="s">
        <v>1737</v>
      </c>
      <c r="D348" s="17" t="s">
        <v>2437</v>
      </c>
      <c r="E348" s="17" t="s">
        <v>4274</v>
      </c>
      <c r="F348" s="17" t="s">
        <v>4275</v>
      </c>
      <c r="G348" s="17" t="s">
        <v>5620</v>
      </c>
      <c r="H348" t="s">
        <v>7476</v>
      </c>
      <c r="I348" s="1">
        <v>2</v>
      </c>
      <c r="J348" s="1">
        <v>2</v>
      </c>
      <c r="K348" t="s">
        <v>7354</v>
      </c>
      <c r="L348" s="5" t="e">
        <f>VLOOKUP(D:D,[1]Munka2!$A:$B,2,FALSE)</f>
        <v>#N/A</v>
      </c>
      <c r="M348" s="5">
        <f>_xlfn.IFNA(Táblázat1[[#This Row],[Kész2020]],0)</f>
        <v>0</v>
      </c>
      <c r="N348" s="5">
        <f>IF(Táblázat1[[#This Row],[Karb./akt.év]]-Táblázat1[[#This Row],[Kész2020_2]]&lt;0,0,Táblázat1[[#This Row],[Karb./akt.év]]-Táblázat1[[#This Row],[Kész2020_2]])</f>
        <v>2</v>
      </c>
    </row>
    <row r="349" spans="1:14" hidden="1" x14ac:dyDescent="0.25">
      <c r="A349" s="17" t="s">
        <v>6</v>
      </c>
      <c r="B349" s="17" t="s">
        <v>901</v>
      </c>
      <c r="C349" s="17" t="s">
        <v>1735</v>
      </c>
      <c r="D349" s="17" t="s">
        <v>2684</v>
      </c>
      <c r="E349" s="17" t="s">
        <v>3650</v>
      </c>
      <c r="F349" s="17" t="s">
        <v>3651</v>
      </c>
      <c r="G349" s="17" t="s">
        <v>5829</v>
      </c>
      <c r="H349" t="s">
        <v>7476</v>
      </c>
      <c r="I349" s="1">
        <v>2</v>
      </c>
      <c r="J349" s="1">
        <v>2</v>
      </c>
      <c r="K349" t="s">
        <v>6639</v>
      </c>
      <c r="L349" s="5">
        <f>VLOOKUP(D:D,[1]Munka2!$A:$B,2,FALSE)</f>
        <v>1</v>
      </c>
      <c r="M349" s="5">
        <f>_xlfn.IFNA(Táblázat1[[#This Row],[Kész2020]],0)</f>
        <v>1</v>
      </c>
      <c r="N349" s="5">
        <f>IF(Táblázat1[[#This Row],[Karb./akt.év]]-Táblázat1[[#This Row],[Kész2020_2]]&lt;0,0,Táblázat1[[#This Row],[Karb./akt.év]]-Táblázat1[[#This Row],[Kész2020_2]])</f>
        <v>1</v>
      </c>
    </row>
    <row r="350" spans="1:14" hidden="1" x14ac:dyDescent="0.25">
      <c r="A350" s="17" t="s">
        <v>6</v>
      </c>
      <c r="B350" s="17" t="s">
        <v>1634</v>
      </c>
      <c r="C350" s="17" t="s">
        <v>1737</v>
      </c>
      <c r="D350" s="17" t="s">
        <v>3487</v>
      </c>
      <c r="E350" s="17" t="s">
        <v>4587</v>
      </c>
      <c r="F350" s="17" t="s">
        <v>3755</v>
      </c>
      <c r="G350" s="17" t="s">
        <v>6530</v>
      </c>
      <c r="H350" t="s">
        <v>7476</v>
      </c>
      <c r="I350" s="1">
        <v>2</v>
      </c>
      <c r="J350" s="1">
        <v>2</v>
      </c>
      <c r="K350" t="s">
        <v>6640</v>
      </c>
      <c r="L350" s="5">
        <f>VLOOKUP(D:D,[1]Munka2!$A:$B,2,FALSE)</f>
        <v>1</v>
      </c>
      <c r="M350" s="5">
        <f>_xlfn.IFNA(Táblázat1[[#This Row],[Kész2020]],0)</f>
        <v>1</v>
      </c>
      <c r="N350" s="5">
        <f>IF(Táblázat1[[#This Row],[Karb./akt.év]]-Táblázat1[[#This Row],[Kész2020_2]]&lt;0,0,Táblázat1[[#This Row],[Karb./akt.év]]-Táblázat1[[#This Row],[Kész2020_2]])</f>
        <v>1</v>
      </c>
    </row>
    <row r="351" spans="1:14" hidden="1" x14ac:dyDescent="0.25">
      <c r="A351" s="17" t="s">
        <v>6</v>
      </c>
      <c r="B351" s="17" t="s">
        <v>1638</v>
      </c>
      <c r="C351" s="17" t="s">
        <v>1737</v>
      </c>
      <c r="D351" s="17" t="s">
        <v>3491</v>
      </c>
      <c r="E351" s="17" t="s">
        <v>3881</v>
      </c>
      <c r="F351" s="17" t="s">
        <v>3755</v>
      </c>
      <c r="G351" s="17" t="s">
        <v>6533</v>
      </c>
      <c r="H351" t="s">
        <v>7476</v>
      </c>
      <c r="I351" s="1">
        <v>2</v>
      </c>
      <c r="J351" s="1">
        <v>2</v>
      </c>
      <c r="K351" t="s">
        <v>6640</v>
      </c>
      <c r="L351" s="5">
        <f>VLOOKUP(D:D,[1]Munka2!$A:$B,2,FALSE)</f>
        <v>1</v>
      </c>
      <c r="M351" s="5">
        <f>_xlfn.IFNA(Táblázat1[[#This Row],[Kész2020]],0)</f>
        <v>1</v>
      </c>
      <c r="N351" s="5">
        <f>IF(Táblázat1[[#This Row],[Karb./akt.év]]-Táblázat1[[#This Row],[Kész2020_2]]&lt;0,0,Táblázat1[[#This Row],[Karb./akt.év]]-Táblázat1[[#This Row],[Kész2020_2]])</f>
        <v>1</v>
      </c>
    </row>
    <row r="352" spans="1:14" hidden="1" x14ac:dyDescent="0.25">
      <c r="A352" s="17" t="s">
        <v>6</v>
      </c>
      <c r="B352" s="17" t="s">
        <v>6843</v>
      </c>
      <c r="C352" s="17" t="s">
        <v>1736</v>
      </c>
      <c r="D352" s="17" t="s">
        <v>6873</v>
      </c>
      <c r="E352" s="17" t="s">
        <v>4333</v>
      </c>
      <c r="F352" s="17" t="s">
        <v>4334</v>
      </c>
      <c r="G352" s="17" t="s">
        <v>6914</v>
      </c>
      <c r="H352" t="s">
        <v>7476</v>
      </c>
      <c r="I352" s="1">
        <v>2</v>
      </c>
      <c r="J352" s="1">
        <v>2</v>
      </c>
      <c r="K352" t="s">
        <v>6640</v>
      </c>
      <c r="L352" s="5">
        <f>VLOOKUP(D:D,[1]Munka2!$A:$B,2,FALSE)</f>
        <v>1</v>
      </c>
      <c r="M352" s="5">
        <f>_xlfn.IFNA(Táblázat1[[#This Row],[Kész2020]],0)</f>
        <v>1</v>
      </c>
      <c r="N352" s="5">
        <f>IF(Táblázat1[[#This Row],[Karb./akt.év]]-Táblázat1[[#This Row],[Kész2020_2]]&lt;0,0,Táblázat1[[#This Row],[Karb./akt.év]]-Táblázat1[[#This Row],[Kész2020_2]])</f>
        <v>1</v>
      </c>
    </row>
    <row r="353" spans="1:14" x14ac:dyDescent="0.25">
      <c r="A353" s="17" t="s">
        <v>6</v>
      </c>
      <c r="B353" s="17" t="s">
        <v>896</v>
      </c>
      <c r="C353" s="17" t="s">
        <v>1737</v>
      </c>
      <c r="D353" s="17" t="s">
        <v>2680</v>
      </c>
      <c r="E353" s="17" t="s">
        <v>3808</v>
      </c>
      <c r="F353" s="17" t="s">
        <v>3809</v>
      </c>
      <c r="G353" s="17" t="s">
        <v>5826</v>
      </c>
      <c r="H353" t="s">
        <v>7476</v>
      </c>
      <c r="I353" s="1">
        <v>2</v>
      </c>
      <c r="J353" s="1">
        <v>2</v>
      </c>
      <c r="K353" t="s">
        <v>6640</v>
      </c>
      <c r="L353" s="5" t="e">
        <f>VLOOKUP(D:D,[1]Munka2!$A:$B,2,FALSE)</f>
        <v>#N/A</v>
      </c>
      <c r="M353" s="5">
        <f>_xlfn.IFNA(Táblázat1[[#This Row],[Kész2020]],0)</f>
        <v>0</v>
      </c>
      <c r="N353" s="5">
        <f>IF(Táblázat1[[#This Row],[Karb./akt.év]]-Táblázat1[[#This Row],[Kész2020_2]]&lt;0,0,Táblázat1[[#This Row],[Karb./akt.év]]-Táblázat1[[#This Row],[Kész2020_2]])</f>
        <v>2</v>
      </c>
    </row>
    <row r="354" spans="1:14" hidden="1" x14ac:dyDescent="0.25">
      <c r="A354" s="17" t="s">
        <v>6</v>
      </c>
      <c r="B354" s="17" t="s">
        <v>6739</v>
      </c>
      <c r="C354" s="17" t="s">
        <v>1737</v>
      </c>
      <c r="D354" s="17" t="s">
        <v>3155</v>
      </c>
      <c r="E354" s="17" t="s">
        <v>3916</v>
      </c>
      <c r="F354" s="17" t="s">
        <v>3917</v>
      </c>
      <c r="G354" s="17" t="s">
        <v>6257</v>
      </c>
      <c r="H354" t="s">
        <v>7476</v>
      </c>
      <c r="I354" s="1">
        <v>2</v>
      </c>
      <c r="J354" s="1">
        <v>2</v>
      </c>
      <c r="K354" t="s">
        <v>6639</v>
      </c>
      <c r="L354" s="5">
        <f>VLOOKUP(D:D,[1]Munka2!$A:$B,2,FALSE)</f>
        <v>1</v>
      </c>
      <c r="M354" s="5">
        <f>_xlfn.IFNA(Táblázat1[[#This Row],[Kész2020]],0)</f>
        <v>1</v>
      </c>
      <c r="N354" s="5">
        <f>IF(Táblázat1[[#This Row],[Karb./akt.év]]-Táblázat1[[#This Row],[Kész2020_2]]&lt;0,0,Táblázat1[[#This Row],[Karb./akt.év]]-Táblázat1[[#This Row],[Kész2020_2]])</f>
        <v>1</v>
      </c>
    </row>
    <row r="355" spans="1:14" hidden="1" x14ac:dyDescent="0.25">
      <c r="A355" s="17" t="s">
        <v>6</v>
      </c>
      <c r="B355" s="17" t="s">
        <v>814</v>
      </c>
      <c r="C355" s="17" t="s">
        <v>1737</v>
      </c>
      <c r="D355" s="17" t="s">
        <v>2590</v>
      </c>
      <c r="E355" s="17" t="s">
        <v>4386</v>
      </c>
      <c r="F355" s="17" t="s">
        <v>4387</v>
      </c>
      <c r="G355" s="17" t="s">
        <v>5753</v>
      </c>
      <c r="H355" t="s">
        <v>7476</v>
      </c>
      <c r="I355" s="1">
        <v>2</v>
      </c>
      <c r="J355" s="1">
        <v>2</v>
      </c>
      <c r="K355" t="s">
        <v>6639</v>
      </c>
      <c r="L355" s="5">
        <f>VLOOKUP(D:D,[1]Munka2!$A:$B,2,FALSE)</f>
        <v>1</v>
      </c>
      <c r="M355" s="5">
        <f>_xlfn.IFNA(Táblázat1[[#This Row],[Kész2020]],0)</f>
        <v>1</v>
      </c>
      <c r="N355" s="5">
        <f>IF(Táblázat1[[#This Row],[Karb./akt.év]]-Táblázat1[[#This Row],[Kész2020_2]]&lt;0,0,Táblázat1[[#This Row],[Karb./akt.év]]-Táblázat1[[#This Row],[Kész2020_2]])</f>
        <v>1</v>
      </c>
    </row>
    <row r="356" spans="1:14" hidden="1" x14ac:dyDescent="0.25">
      <c r="A356" s="17" t="s">
        <v>6</v>
      </c>
      <c r="B356" s="17" t="s">
        <v>699</v>
      </c>
      <c r="C356" s="17" t="s">
        <v>1737</v>
      </c>
      <c r="D356" s="17" t="s">
        <v>2474</v>
      </c>
      <c r="E356" s="17" t="s">
        <v>4301</v>
      </c>
      <c r="F356" s="17" t="s">
        <v>3755</v>
      </c>
      <c r="G356" s="17" t="s">
        <v>5653</v>
      </c>
      <c r="H356" t="s">
        <v>7476</v>
      </c>
      <c r="I356" s="1">
        <v>2</v>
      </c>
      <c r="J356" s="1">
        <v>2</v>
      </c>
      <c r="K356" t="s">
        <v>6640</v>
      </c>
      <c r="L356" s="5">
        <f>VLOOKUP(D:D,[1]Munka2!$A:$B,2,FALSE)</f>
        <v>1</v>
      </c>
      <c r="M356" s="5">
        <f>_xlfn.IFNA(Táblázat1[[#This Row],[Kész2020]],0)</f>
        <v>1</v>
      </c>
      <c r="N356" s="5">
        <f>IF(Táblázat1[[#This Row],[Karb./akt.év]]-Táblázat1[[#This Row],[Kész2020_2]]&lt;0,0,Táblázat1[[#This Row],[Karb./akt.év]]-Táblázat1[[#This Row],[Kész2020_2]])</f>
        <v>1</v>
      </c>
    </row>
    <row r="357" spans="1:14" hidden="1" x14ac:dyDescent="0.25">
      <c r="A357" s="17" t="s">
        <v>6</v>
      </c>
      <c r="B357" s="17" t="s">
        <v>1073</v>
      </c>
      <c r="C357" s="17" t="s">
        <v>1735</v>
      </c>
      <c r="D357" s="17" t="s">
        <v>2863</v>
      </c>
      <c r="E357" s="17" t="s">
        <v>3880</v>
      </c>
      <c r="F357" s="17" t="s">
        <v>3755</v>
      </c>
      <c r="G357" s="17" t="s">
        <v>6003</v>
      </c>
      <c r="H357" t="s">
        <v>7476</v>
      </c>
      <c r="I357" s="1">
        <v>2</v>
      </c>
      <c r="J357" s="1">
        <v>2</v>
      </c>
      <c r="K357" t="s">
        <v>6640</v>
      </c>
      <c r="L357" s="5">
        <f>VLOOKUP(D:D,[1]Munka2!$A:$B,2,FALSE)</f>
        <v>1</v>
      </c>
      <c r="M357" s="5">
        <f>_xlfn.IFNA(Táblázat1[[#This Row],[Kész2020]],0)</f>
        <v>1</v>
      </c>
      <c r="N357" s="5">
        <f>IF(Táblázat1[[#This Row],[Karb./akt.év]]-Táblázat1[[#This Row],[Kész2020_2]]&lt;0,0,Táblázat1[[#This Row],[Karb./akt.év]]-Táblázat1[[#This Row],[Kész2020_2]])</f>
        <v>1</v>
      </c>
    </row>
    <row r="358" spans="1:14" hidden="1" x14ac:dyDescent="0.25">
      <c r="A358" s="17" t="s">
        <v>6</v>
      </c>
      <c r="B358" s="17" t="s">
        <v>951</v>
      </c>
      <c r="C358" s="17" t="s">
        <v>1736</v>
      </c>
      <c r="D358" s="17" t="s">
        <v>2737</v>
      </c>
      <c r="E358" s="17" t="s">
        <v>3650</v>
      </c>
      <c r="F358" s="17" t="s">
        <v>3651</v>
      </c>
      <c r="G358" s="17" t="s">
        <v>5881</v>
      </c>
      <c r="H358" t="s">
        <v>7476</v>
      </c>
      <c r="I358" s="1">
        <v>2</v>
      </c>
      <c r="J358" s="1">
        <v>2</v>
      </c>
      <c r="K358" t="s">
        <v>6639</v>
      </c>
      <c r="L358" s="5">
        <f>VLOOKUP(D:D,[1]Munka2!$A:$B,2,FALSE)</f>
        <v>1</v>
      </c>
      <c r="M358" s="5">
        <f>_xlfn.IFNA(Táblázat1[[#This Row],[Kész2020]],0)</f>
        <v>1</v>
      </c>
      <c r="N358" s="5">
        <f>IF(Táblázat1[[#This Row],[Karb./akt.év]]-Táblázat1[[#This Row],[Kész2020_2]]&lt;0,0,Táblázat1[[#This Row],[Karb./akt.év]]-Táblázat1[[#This Row],[Kész2020_2]])</f>
        <v>1</v>
      </c>
    </row>
    <row r="359" spans="1:14" hidden="1" x14ac:dyDescent="0.25">
      <c r="A359" s="17" t="s">
        <v>6</v>
      </c>
      <c r="B359" s="17" t="s">
        <v>844</v>
      </c>
      <c r="C359" s="17" t="s">
        <v>1737</v>
      </c>
      <c r="D359" s="17" t="s">
        <v>2622</v>
      </c>
      <c r="E359" s="17" t="s">
        <v>4413</v>
      </c>
      <c r="F359" s="17" t="s">
        <v>4414</v>
      </c>
      <c r="G359" s="17" t="s">
        <v>5784</v>
      </c>
      <c r="H359" t="s">
        <v>7476</v>
      </c>
      <c r="I359" s="1">
        <v>2</v>
      </c>
      <c r="J359" s="1">
        <v>2</v>
      </c>
      <c r="K359" t="s">
        <v>6640</v>
      </c>
      <c r="L359" s="5">
        <f>VLOOKUP(D:D,[1]Munka2!$A:$B,2,FALSE)</f>
        <v>1</v>
      </c>
      <c r="M359" s="5">
        <f>_xlfn.IFNA(Táblázat1[[#This Row],[Kész2020]],0)</f>
        <v>1</v>
      </c>
      <c r="N359" s="5">
        <f>IF(Táblázat1[[#This Row],[Karb./akt.év]]-Táblázat1[[#This Row],[Kész2020_2]]&lt;0,0,Táblázat1[[#This Row],[Karb./akt.év]]-Táblázat1[[#This Row],[Kész2020_2]])</f>
        <v>1</v>
      </c>
    </row>
    <row r="360" spans="1:14" hidden="1" x14ac:dyDescent="0.25">
      <c r="A360" s="17" t="s">
        <v>6</v>
      </c>
      <c r="B360" s="17" t="s">
        <v>589</v>
      </c>
      <c r="C360" s="17" t="s">
        <v>1737</v>
      </c>
      <c r="D360" s="17" t="s">
        <v>2363</v>
      </c>
      <c r="E360" s="17" t="s">
        <v>3754</v>
      </c>
      <c r="F360" s="17" t="s">
        <v>3755</v>
      </c>
      <c r="G360" s="17" t="s">
        <v>5553</v>
      </c>
      <c r="H360" t="s">
        <v>7476</v>
      </c>
      <c r="I360" s="1">
        <v>2</v>
      </c>
      <c r="J360" s="1">
        <v>2</v>
      </c>
      <c r="K360" t="s">
        <v>6640</v>
      </c>
      <c r="L360" s="5">
        <f>VLOOKUP(D:D,[1]Munka2!$A:$B,2,FALSE)</f>
        <v>1</v>
      </c>
      <c r="M360" s="5">
        <f>_xlfn.IFNA(Táblázat1[[#This Row],[Kész2020]],0)</f>
        <v>1</v>
      </c>
      <c r="N360" s="5">
        <f>IF(Táblázat1[[#This Row],[Karb./akt.év]]-Táblázat1[[#This Row],[Kész2020_2]]&lt;0,0,Táblázat1[[#This Row],[Karb./akt.év]]-Táblázat1[[#This Row],[Kész2020_2]])</f>
        <v>1</v>
      </c>
    </row>
    <row r="361" spans="1:14" hidden="1" x14ac:dyDescent="0.25">
      <c r="A361" s="17" t="s">
        <v>6</v>
      </c>
      <c r="B361" s="17" t="s">
        <v>296</v>
      </c>
      <c r="C361" s="17" t="s">
        <v>1742</v>
      </c>
      <c r="D361" s="17" t="s">
        <v>2045</v>
      </c>
      <c r="E361" s="17" t="s">
        <v>3916</v>
      </c>
      <c r="F361" s="17" t="s">
        <v>3917</v>
      </c>
      <c r="G361" s="17" t="s">
        <v>5263</v>
      </c>
      <c r="H361" t="s">
        <v>7476</v>
      </c>
      <c r="I361" s="1">
        <v>2</v>
      </c>
      <c r="J361" s="1">
        <v>2</v>
      </c>
      <c r="K361" t="s">
        <v>6639</v>
      </c>
      <c r="L361" s="5">
        <f>VLOOKUP(D:D,[1]Munka2!$A:$B,2,FALSE)</f>
        <v>1</v>
      </c>
      <c r="M361" s="5">
        <f>_xlfn.IFNA(Táblázat1[[#This Row],[Kész2020]],0)</f>
        <v>1</v>
      </c>
      <c r="N361" s="5">
        <f>IF(Táblázat1[[#This Row],[Karb./akt.év]]-Táblázat1[[#This Row],[Kész2020_2]]&lt;0,0,Táblázat1[[#This Row],[Karb./akt.év]]-Táblázat1[[#This Row],[Kész2020_2]])</f>
        <v>1</v>
      </c>
    </row>
    <row r="362" spans="1:14" hidden="1" x14ac:dyDescent="0.25">
      <c r="A362" s="17" t="s">
        <v>6</v>
      </c>
      <c r="B362" s="17" t="s">
        <v>1087</v>
      </c>
      <c r="C362" s="17" t="s">
        <v>1742</v>
      </c>
      <c r="D362" s="17" t="s">
        <v>2877</v>
      </c>
      <c r="E362" s="17" t="s">
        <v>4061</v>
      </c>
      <c r="F362" s="17" t="s">
        <v>4062</v>
      </c>
      <c r="G362" s="17" t="s">
        <v>6016</v>
      </c>
      <c r="H362" t="s">
        <v>7476</v>
      </c>
      <c r="I362" s="1">
        <v>2</v>
      </c>
      <c r="J362" s="1">
        <v>2</v>
      </c>
      <c r="K362" t="s">
        <v>6636</v>
      </c>
      <c r="L362" s="5">
        <f>VLOOKUP(D:D,[1]Munka2!$A:$B,2,FALSE)</f>
        <v>1</v>
      </c>
      <c r="M362" s="5">
        <f>_xlfn.IFNA(Táblázat1[[#This Row],[Kész2020]],0)</f>
        <v>1</v>
      </c>
      <c r="N362" s="5">
        <f>IF(Táblázat1[[#This Row],[Karb./akt.év]]-Táblázat1[[#This Row],[Kész2020_2]]&lt;0,0,Táblázat1[[#This Row],[Karb./akt.év]]-Táblázat1[[#This Row],[Kész2020_2]])</f>
        <v>1</v>
      </c>
    </row>
    <row r="363" spans="1:14" hidden="1" x14ac:dyDescent="0.25">
      <c r="A363" s="17" t="s">
        <v>6</v>
      </c>
      <c r="B363" s="17" t="s">
        <v>742</v>
      </c>
      <c r="C363" s="17" t="s">
        <v>1736</v>
      </c>
      <c r="D363" s="17" t="s">
        <v>2519</v>
      </c>
      <c r="E363" s="17" t="s">
        <v>3754</v>
      </c>
      <c r="F363" s="17" t="s">
        <v>3755</v>
      </c>
      <c r="G363" s="17" t="s">
        <v>5688</v>
      </c>
      <c r="H363" t="s">
        <v>7476</v>
      </c>
      <c r="I363" s="1">
        <v>2</v>
      </c>
      <c r="J363" s="1">
        <v>2</v>
      </c>
      <c r="K363" t="s">
        <v>6640</v>
      </c>
      <c r="L363" s="5">
        <f>VLOOKUP(D:D,[1]Munka2!$A:$B,2,FALSE)</f>
        <v>1</v>
      </c>
      <c r="M363" s="5">
        <f>_xlfn.IFNA(Táblázat1[[#This Row],[Kész2020]],0)</f>
        <v>1</v>
      </c>
      <c r="N363" s="5">
        <f>IF(Táblázat1[[#This Row],[Karb./akt.év]]-Táblázat1[[#This Row],[Kész2020_2]]&lt;0,0,Táblázat1[[#This Row],[Karb./akt.év]]-Táblázat1[[#This Row],[Kész2020_2]])</f>
        <v>1</v>
      </c>
    </row>
    <row r="364" spans="1:14" x14ac:dyDescent="0.25">
      <c r="A364" s="17" t="s">
        <v>6</v>
      </c>
      <c r="B364" s="17" t="s">
        <v>1532</v>
      </c>
      <c r="C364" s="17" t="s">
        <v>1754</v>
      </c>
      <c r="D364" s="17" t="s">
        <v>3376</v>
      </c>
      <c r="E364" s="17" t="s">
        <v>3792</v>
      </c>
      <c r="F364" s="17" t="s">
        <v>3793</v>
      </c>
      <c r="G364" s="17" t="s">
        <v>6439</v>
      </c>
      <c r="H364" t="s">
        <v>7476</v>
      </c>
      <c r="I364" s="1">
        <v>2</v>
      </c>
      <c r="J364" s="1">
        <v>2</v>
      </c>
      <c r="K364" t="s">
        <v>6639</v>
      </c>
      <c r="L364" s="5" t="e">
        <f>VLOOKUP(D:D,[1]Munka2!$A:$B,2,FALSE)</f>
        <v>#N/A</v>
      </c>
      <c r="M364" s="5">
        <f>_xlfn.IFNA(Táblázat1[[#This Row],[Kész2020]],0)</f>
        <v>0</v>
      </c>
      <c r="N364" s="5">
        <f>IF(Táblázat1[[#This Row],[Karb./akt.év]]-Táblázat1[[#This Row],[Kész2020_2]]&lt;0,0,Táblázat1[[#This Row],[Karb./akt.év]]-Táblázat1[[#This Row],[Kész2020_2]])</f>
        <v>2</v>
      </c>
    </row>
    <row r="365" spans="1:14" x14ac:dyDescent="0.25">
      <c r="A365" s="17" t="s">
        <v>6</v>
      </c>
      <c r="B365" s="17" t="s">
        <v>1475</v>
      </c>
      <c r="C365" s="17" t="s">
        <v>1735</v>
      </c>
      <c r="D365" s="17" t="s">
        <v>3310</v>
      </c>
      <c r="E365" s="17" t="s">
        <v>3792</v>
      </c>
      <c r="F365" s="17" t="s">
        <v>3793</v>
      </c>
      <c r="G365" s="17" t="s">
        <v>6384</v>
      </c>
      <c r="H365" t="s">
        <v>7476</v>
      </c>
      <c r="I365" s="1">
        <v>2</v>
      </c>
      <c r="J365" s="1">
        <v>2</v>
      </c>
      <c r="K365" t="s">
        <v>6639</v>
      </c>
      <c r="L365" s="5" t="e">
        <f>VLOOKUP(D:D,[1]Munka2!$A:$B,2,FALSE)</f>
        <v>#N/A</v>
      </c>
      <c r="M365" s="5">
        <f>_xlfn.IFNA(Táblázat1[[#This Row],[Kész2020]],0)</f>
        <v>0</v>
      </c>
      <c r="N365" s="5">
        <f>IF(Táblázat1[[#This Row],[Karb./akt.év]]-Táblázat1[[#This Row],[Kész2020_2]]&lt;0,0,Táblázat1[[#This Row],[Karb./akt.év]]-Táblázat1[[#This Row],[Kész2020_2]])</f>
        <v>2</v>
      </c>
    </row>
    <row r="366" spans="1:14" hidden="1" x14ac:dyDescent="0.25">
      <c r="A366" s="17" t="s">
        <v>6</v>
      </c>
      <c r="B366" s="17" t="s">
        <v>306</v>
      </c>
      <c r="C366" s="17" t="s">
        <v>1735</v>
      </c>
      <c r="D366" s="17" t="s">
        <v>2055</v>
      </c>
      <c r="E366" s="17" t="s">
        <v>3930</v>
      </c>
      <c r="F366" s="17" t="s">
        <v>3931</v>
      </c>
      <c r="G366" s="17" t="s">
        <v>5273</v>
      </c>
      <c r="H366" t="s">
        <v>7476</v>
      </c>
      <c r="I366" s="1">
        <v>2</v>
      </c>
      <c r="J366" s="1">
        <v>2</v>
      </c>
      <c r="K366" t="s">
        <v>7354</v>
      </c>
      <c r="L366" s="5">
        <f>VLOOKUP(D:D,[1]Munka2!$A:$B,2,FALSE)</f>
        <v>1</v>
      </c>
      <c r="M366" s="5">
        <f>_xlfn.IFNA(Táblázat1[[#This Row],[Kész2020]],0)</f>
        <v>1</v>
      </c>
      <c r="N366" s="5">
        <f>IF(Táblázat1[[#This Row],[Karb./akt.év]]-Táblázat1[[#This Row],[Kész2020_2]]&lt;0,0,Táblázat1[[#This Row],[Karb./akt.év]]-Táblázat1[[#This Row],[Kész2020_2]])</f>
        <v>1</v>
      </c>
    </row>
    <row r="367" spans="1:14" x14ac:dyDescent="0.25">
      <c r="A367" s="17" t="s">
        <v>6</v>
      </c>
      <c r="B367" s="17" t="s">
        <v>775</v>
      </c>
      <c r="C367" s="17" t="s">
        <v>1735</v>
      </c>
      <c r="D367" s="17" t="s">
        <v>2551</v>
      </c>
      <c r="E367" s="17" t="s">
        <v>4181</v>
      </c>
      <c r="F367" s="17" t="s">
        <v>4182</v>
      </c>
      <c r="G367" s="17" t="s">
        <v>5719</v>
      </c>
      <c r="H367" t="s">
        <v>7476</v>
      </c>
      <c r="I367" s="1">
        <v>2</v>
      </c>
      <c r="J367" s="1">
        <v>2</v>
      </c>
      <c r="K367" t="s">
        <v>6640</v>
      </c>
      <c r="L367" s="5" t="e">
        <f>VLOOKUP(D:D,[1]Munka2!$A:$B,2,FALSE)</f>
        <v>#N/A</v>
      </c>
      <c r="M367" s="5">
        <f>_xlfn.IFNA(Táblázat1[[#This Row],[Kész2020]],0)</f>
        <v>0</v>
      </c>
      <c r="N367" s="5">
        <f>IF(Táblázat1[[#This Row],[Karb./akt.év]]-Táblázat1[[#This Row],[Kész2020_2]]&lt;0,0,Táblázat1[[#This Row],[Karb./akt.év]]-Táblázat1[[#This Row],[Kész2020_2]])</f>
        <v>2</v>
      </c>
    </row>
    <row r="368" spans="1:14" hidden="1" x14ac:dyDescent="0.25">
      <c r="A368" s="17" t="s">
        <v>6</v>
      </c>
      <c r="B368" s="17" t="s">
        <v>6676</v>
      </c>
      <c r="C368" s="17" t="s">
        <v>1735</v>
      </c>
      <c r="D368" s="17" t="s">
        <v>6678</v>
      </c>
      <c r="E368" s="17" t="s">
        <v>3754</v>
      </c>
      <c r="F368" s="17" t="s">
        <v>3755</v>
      </c>
      <c r="G368" s="17" t="s">
        <v>6679</v>
      </c>
      <c r="H368" t="s">
        <v>7476</v>
      </c>
      <c r="I368" s="1">
        <v>2</v>
      </c>
      <c r="J368" s="1">
        <v>2</v>
      </c>
      <c r="K368" t="s">
        <v>6640</v>
      </c>
      <c r="L368" s="5">
        <f>VLOOKUP(D:D,[1]Munka2!$A:$B,2,FALSE)</f>
        <v>1</v>
      </c>
      <c r="M368" s="5">
        <f>_xlfn.IFNA(Táblázat1[[#This Row],[Kész2020]],0)</f>
        <v>1</v>
      </c>
      <c r="N368" s="5">
        <f>IF(Táblázat1[[#This Row],[Karb./akt.év]]-Táblázat1[[#This Row],[Kész2020_2]]&lt;0,0,Táblázat1[[#This Row],[Karb./akt.év]]-Táblázat1[[#This Row],[Kész2020_2]])</f>
        <v>1</v>
      </c>
    </row>
    <row r="369" spans="1:14" hidden="1" x14ac:dyDescent="0.25">
      <c r="A369" s="17" t="s">
        <v>6</v>
      </c>
      <c r="B369" s="17" t="s">
        <v>6711</v>
      </c>
      <c r="C369" s="17" t="s">
        <v>1736</v>
      </c>
      <c r="D369" s="17" t="s">
        <v>3001</v>
      </c>
      <c r="E369" s="17" t="s">
        <v>3881</v>
      </c>
      <c r="F369" s="17" t="s">
        <v>3755</v>
      </c>
      <c r="G369" s="17" t="s">
        <v>6124</v>
      </c>
      <c r="H369" t="s">
        <v>7476</v>
      </c>
      <c r="I369" s="1">
        <v>2</v>
      </c>
      <c r="J369" s="1">
        <v>2</v>
      </c>
      <c r="K369" t="s">
        <v>6640</v>
      </c>
      <c r="L369" s="5">
        <f>VLOOKUP(D:D,[1]Munka2!$A:$B,2,FALSE)</f>
        <v>1</v>
      </c>
      <c r="M369" s="5">
        <f>_xlfn.IFNA(Táblázat1[[#This Row],[Kész2020]],0)</f>
        <v>1</v>
      </c>
      <c r="N369" s="5">
        <f>IF(Táblázat1[[#This Row],[Karb./akt.év]]-Táblázat1[[#This Row],[Kész2020_2]]&lt;0,0,Táblázat1[[#This Row],[Karb./akt.év]]-Táblázat1[[#This Row],[Kész2020_2]])</f>
        <v>1</v>
      </c>
    </row>
    <row r="370" spans="1:14" hidden="1" x14ac:dyDescent="0.25">
      <c r="A370" s="17" t="s">
        <v>6</v>
      </c>
      <c r="B370" s="17" t="s">
        <v>1077</v>
      </c>
      <c r="C370" s="17" t="s">
        <v>1737</v>
      </c>
      <c r="D370" s="17" t="s">
        <v>2868</v>
      </c>
      <c r="E370" s="17" t="s">
        <v>3792</v>
      </c>
      <c r="F370" s="17" t="s">
        <v>3793</v>
      </c>
      <c r="G370" s="17" t="s">
        <v>6007</v>
      </c>
      <c r="H370" t="s">
        <v>7476</v>
      </c>
      <c r="I370" s="1">
        <v>2</v>
      </c>
      <c r="J370" s="1">
        <v>2</v>
      </c>
      <c r="K370" t="s">
        <v>6639</v>
      </c>
      <c r="L370" s="5">
        <f>VLOOKUP(D:D,[1]Munka2!$A:$B,2,FALSE)</f>
        <v>1</v>
      </c>
      <c r="M370" s="5">
        <f>_xlfn.IFNA(Táblázat1[[#This Row],[Kész2020]],0)</f>
        <v>1</v>
      </c>
      <c r="N370" s="5">
        <f>IF(Táblázat1[[#This Row],[Karb./akt.év]]-Táblázat1[[#This Row],[Kész2020_2]]&lt;0,0,Táblázat1[[#This Row],[Karb./akt.év]]-Táblázat1[[#This Row],[Kész2020_2]])</f>
        <v>1</v>
      </c>
    </row>
    <row r="371" spans="1:14" hidden="1" x14ac:dyDescent="0.25">
      <c r="A371" s="17" t="s">
        <v>6</v>
      </c>
      <c r="B371" s="17" t="s">
        <v>6735</v>
      </c>
      <c r="C371" s="17" t="s">
        <v>1737</v>
      </c>
      <c r="D371" s="17" t="s">
        <v>2926</v>
      </c>
      <c r="E371" s="17" t="s">
        <v>3792</v>
      </c>
      <c r="F371" s="17" t="s">
        <v>3793</v>
      </c>
      <c r="G371" s="17" t="s">
        <v>6059</v>
      </c>
      <c r="H371" t="s">
        <v>7476</v>
      </c>
      <c r="I371" s="1">
        <v>2</v>
      </c>
      <c r="J371" s="1">
        <v>2</v>
      </c>
      <c r="K371" t="s">
        <v>6639</v>
      </c>
      <c r="L371" s="5">
        <f>VLOOKUP(D:D,[1]Munka2!$A:$B,2,FALSE)</f>
        <v>1</v>
      </c>
      <c r="M371" s="5">
        <f>_xlfn.IFNA(Táblázat1[[#This Row],[Kész2020]],0)</f>
        <v>1</v>
      </c>
      <c r="N371" s="5">
        <f>IF(Táblázat1[[#This Row],[Karb./akt.év]]-Táblázat1[[#This Row],[Kész2020_2]]&lt;0,0,Táblázat1[[#This Row],[Karb./akt.év]]-Táblázat1[[#This Row],[Kész2020_2]])</f>
        <v>1</v>
      </c>
    </row>
    <row r="372" spans="1:14" hidden="1" x14ac:dyDescent="0.25">
      <c r="A372" s="17" t="s">
        <v>6</v>
      </c>
      <c r="B372" s="17" t="s">
        <v>6741</v>
      </c>
      <c r="C372" s="17" t="s">
        <v>1737</v>
      </c>
      <c r="D372" s="17" t="s">
        <v>3303</v>
      </c>
      <c r="E372" s="17" t="s">
        <v>4248</v>
      </c>
      <c r="F372" s="17" t="s">
        <v>4249</v>
      </c>
      <c r="G372" s="17" t="s">
        <v>6378</v>
      </c>
      <c r="H372" t="s">
        <v>7476</v>
      </c>
      <c r="I372" s="1">
        <v>2</v>
      </c>
      <c r="J372" s="1">
        <v>2</v>
      </c>
      <c r="K372" t="s">
        <v>6640</v>
      </c>
      <c r="L372" s="5">
        <f>VLOOKUP(D:D,[1]Munka2!$A:$B,2,FALSE)</f>
        <v>1</v>
      </c>
      <c r="M372" s="5">
        <f>_xlfn.IFNA(Táblázat1[[#This Row],[Kész2020]],0)</f>
        <v>1</v>
      </c>
      <c r="N372" s="5">
        <f>IF(Táblázat1[[#This Row],[Karb./akt.év]]-Táblázat1[[#This Row],[Kész2020_2]]&lt;0,0,Táblázat1[[#This Row],[Karb./akt.év]]-Táblázat1[[#This Row],[Kész2020_2]])</f>
        <v>1</v>
      </c>
    </row>
    <row r="373" spans="1:14" hidden="1" x14ac:dyDescent="0.25">
      <c r="A373" s="17" t="s">
        <v>6</v>
      </c>
      <c r="B373" s="17" t="s">
        <v>8106</v>
      </c>
      <c r="C373" s="17" t="s">
        <v>1735</v>
      </c>
      <c r="D373" s="17" t="s">
        <v>8123</v>
      </c>
      <c r="E373" s="17" t="s">
        <v>3741</v>
      </c>
      <c r="F373" s="17" t="s">
        <v>3742</v>
      </c>
      <c r="G373" s="17" t="s">
        <v>8148</v>
      </c>
      <c r="H373" t="s">
        <v>7476</v>
      </c>
      <c r="I373" s="1">
        <v>2</v>
      </c>
      <c r="J373" s="1">
        <v>2</v>
      </c>
      <c r="K373" t="s">
        <v>7354</v>
      </c>
      <c r="L373" s="5">
        <f>VLOOKUP(D:D,[1]Munka2!$A:$B,2,FALSE)</f>
        <v>1</v>
      </c>
      <c r="M373" s="5">
        <f>_xlfn.IFNA(Táblázat1[[#This Row],[Kész2020]],0)</f>
        <v>1</v>
      </c>
      <c r="N373" s="5">
        <f>IF(Táblázat1[[#This Row],[Karb./akt.év]]-Táblázat1[[#This Row],[Kész2020_2]]&lt;0,0,Táblázat1[[#This Row],[Karb./akt.év]]-Táblázat1[[#This Row],[Kész2020_2]])</f>
        <v>1</v>
      </c>
    </row>
    <row r="374" spans="1:14" hidden="1" x14ac:dyDescent="0.25">
      <c r="A374" s="17" t="s">
        <v>6</v>
      </c>
      <c r="B374" s="17" t="s">
        <v>654</v>
      </c>
      <c r="C374" s="17" t="s">
        <v>1737</v>
      </c>
      <c r="D374" s="17" t="s">
        <v>2429</v>
      </c>
      <c r="E374" s="17" t="s">
        <v>3794</v>
      </c>
      <c r="F374" s="17" t="s">
        <v>3795</v>
      </c>
      <c r="G374" s="17" t="s">
        <v>5613</v>
      </c>
      <c r="H374" t="s">
        <v>7476</v>
      </c>
      <c r="I374" s="1">
        <v>2</v>
      </c>
      <c r="J374" s="1">
        <v>2</v>
      </c>
      <c r="K374" t="s">
        <v>6638</v>
      </c>
      <c r="L374" s="5">
        <f>VLOOKUP(D:D,[1]Munka2!$A:$B,2,FALSE)</f>
        <v>1</v>
      </c>
      <c r="M374" s="5">
        <f>_xlfn.IFNA(Táblázat1[[#This Row],[Kész2020]],0)</f>
        <v>1</v>
      </c>
      <c r="N374" s="5">
        <f>IF(Táblázat1[[#This Row],[Karb./akt.év]]-Táblázat1[[#This Row],[Kész2020_2]]&lt;0,0,Táblázat1[[#This Row],[Karb./akt.év]]-Táblázat1[[#This Row],[Kész2020_2]])</f>
        <v>1</v>
      </c>
    </row>
    <row r="375" spans="1:14" hidden="1" x14ac:dyDescent="0.25">
      <c r="A375" s="17" t="s">
        <v>6</v>
      </c>
      <c r="B375" s="17" t="s">
        <v>6801</v>
      </c>
      <c r="C375" s="17" t="s">
        <v>1736</v>
      </c>
      <c r="D375" s="17" t="s">
        <v>2326</v>
      </c>
      <c r="E375" s="17" t="s">
        <v>3834</v>
      </c>
      <c r="F375" s="17" t="s">
        <v>3835</v>
      </c>
      <c r="G375" s="17" t="s">
        <v>5967</v>
      </c>
      <c r="H375" t="s">
        <v>7476</v>
      </c>
      <c r="I375" s="1">
        <v>2</v>
      </c>
      <c r="J375" s="1">
        <v>2</v>
      </c>
      <c r="K375" t="s">
        <v>6636</v>
      </c>
      <c r="L375" s="5">
        <f>VLOOKUP(D:D,[1]Munka2!$A:$B,2,FALSE)</f>
        <v>1</v>
      </c>
      <c r="M375" s="5">
        <f>_xlfn.IFNA(Táblázat1[[#This Row],[Kész2020]],0)</f>
        <v>1</v>
      </c>
      <c r="N375" s="5">
        <f>IF(Táblázat1[[#This Row],[Karb./akt.év]]-Táblázat1[[#This Row],[Kész2020_2]]&lt;0,0,Táblázat1[[#This Row],[Karb./akt.év]]-Táblázat1[[#This Row],[Kész2020_2]])</f>
        <v>1</v>
      </c>
    </row>
    <row r="376" spans="1:14" hidden="1" x14ac:dyDescent="0.25">
      <c r="A376" s="17" t="s">
        <v>6</v>
      </c>
      <c r="B376" s="17" t="s">
        <v>33</v>
      </c>
      <c r="C376" s="17" t="s">
        <v>1737</v>
      </c>
      <c r="D376" s="17" t="s">
        <v>1771</v>
      </c>
      <c r="E376" s="17" t="s">
        <v>3601</v>
      </c>
      <c r="F376" s="17" t="s">
        <v>3602</v>
      </c>
      <c r="G376" s="17" t="s">
        <v>5010</v>
      </c>
      <c r="H376" t="s">
        <v>7476</v>
      </c>
      <c r="I376" s="1">
        <v>2</v>
      </c>
      <c r="J376" s="1">
        <v>2</v>
      </c>
      <c r="K376" t="s">
        <v>6638</v>
      </c>
      <c r="L376" s="5">
        <f>VLOOKUP(D:D,[1]Munka2!$A:$B,2,FALSE)</f>
        <v>1</v>
      </c>
      <c r="M376" s="5">
        <f>_xlfn.IFNA(Táblázat1[[#This Row],[Kész2020]],0)</f>
        <v>1</v>
      </c>
      <c r="N376" s="5">
        <f>IF(Táblázat1[[#This Row],[Karb./akt.év]]-Táblázat1[[#This Row],[Kész2020_2]]&lt;0,0,Táblázat1[[#This Row],[Karb./akt.év]]-Táblázat1[[#This Row],[Kész2020_2]])</f>
        <v>1</v>
      </c>
    </row>
    <row r="377" spans="1:14" hidden="1" x14ac:dyDescent="0.25">
      <c r="A377" s="17" t="s">
        <v>6</v>
      </c>
      <c r="B377" s="17" t="s">
        <v>398</v>
      </c>
      <c r="C377" s="17" t="s">
        <v>1736</v>
      </c>
      <c r="D377" s="17" t="s">
        <v>2153</v>
      </c>
      <c r="E377" s="17" t="s">
        <v>4021</v>
      </c>
      <c r="F377" s="17" t="s">
        <v>3835</v>
      </c>
      <c r="G377" s="17" t="s">
        <v>5366</v>
      </c>
      <c r="H377" t="s">
        <v>7476</v>
      </c>
      <c r="I377" s="1">
        <v>2</v>
      </c>
      <c r="J377" s="1">
        <v>2</v>
      </c>
      <c r="K377" t="s">
        <v>7014</v>
      </c>
      <c r="L377" s="5">
        <f>VLOOKUP(D:D,[1]Munka2!$A:$B,2,FALSE)</f>
        <v>1</v>
      </c>
      <c r="M377" s="5">
        <f>_xlfn.IFNA(Táblázat1[[#This Row],[Kész2020]],0)</f>
        <v>1</v>
      </c>
      <c r="N377" s="5">
        <f>IF(Táblázat1[[#This Row],[Karb./akt.év]]-Táblázat1[[#This Row],[Kész2020_2]]&lt;0,0,Táblázat1[[#This Row],[Karb./akt.év]]-Táblázat1[[#This Row],[Kész2020_2]])</f>
        <v>1</v>
      </c>
    </row>
    <row r="378" spans="1:14" hidden="1" x14ac:dyDescent="0.25">
      <c r="A378" s="17" t="s">
        <v>6</v>
      </c>
      <c r="B378" s="17" t="s">
        <v>399</v>
      </c>
      <c r="C378" s="17" t="s">
        <v>1735</v>
      </c>
      <c r="D378" s="17" t="s">
        <v>2154</v>
      </c>
      <c r="E378" s="17" t="s">
        <v>4021</v>
      </c>
      <c r="F378" s="17" t="s">
        <v>3835</v>
      </c>
      <c r="G378" s="17" t="s">
        <v>5366</v>
      </c>
      <c r="H378" t="s">
        <v>7476</v>
      </c>
      <c r="I378" s="1">
        <v>2</v>
      </c>
      <c r="J378" s="1">
        <v>2</v>
      </c>
      <c r="K378" t="s">
        <v>7014</v>
      </c>
      <c r="L378" s="5">
        <f>VLOOKUP(D:D,[1]Munka2!$A:$B,2,FALSE)</f>
        <v>1</v>
      </c>
      <c r="M378" s="5">
        <f>_xlfn.IFNA(Táblázat1[[#This Row],[Kész2020]],0)</f>
        <v>1</v>
      </c>
      <c r="N378" s="5">
        <f>IF(Táblázat1[[#This Row],[Karb./akt.év]]-Táblázat1[[#This Row],[Kész2020_2]]&lt;0,0,Táblázat1[[#This Row],[Karb./akt.év]]-Táblázat1[[#This Row],[Kész2020_2]])</f>
        <v>1</v>
      </c>
    </row>
    <row r="379" spans="1:14" hidden="1" x14ac:dyDescent="0.25">
      <c r="A379" s="17" t="s">
        <v>6</v>
      </c>
      <c r="B379" s="17" t="s">
        <v>703</v>
      </c>
      <c r="C379" s="17" t="s">
        <v>1737</v>
      </c>
      <c r="D379" s="17" t="s">
        <v>2479</v>
      </c>
      <c r="E379" s="17" t="s">
        <v>4308</v>
      </c>
      <c r="F379" s="17" t="s">
        <v>3664</v>
      </c>
      <c r="G379" s="17" t="s">
        <v>5657</v>
      </c>
      <c r="H379" t="s">
        <v>7476</v>
      </c>
      <c r="I379" s="1">
        <v>2</v>
      </c>
      <c r="J379" s="1">
        <v>2</v>
      </c>
      <c r="K379" t="s">
        <v>6638</v>
      </c>
      <c r="L379" s="5">
        <f>VLOOKUP(D:D,[1]Munka2!$A:$B,2,FALSE)</f>
        <v>1</v>
      </c>
      <c r="M379" s="5">
        <f>_xlfn.IFNA(Táblázat1[[#This Row],[Kész2020]],0)</f>
        <v>1</v>
      </c>
      <c r="N379" s="5">
        <f>IF(Táblázat1[[#This Row],[Karb./akt.év]]-Táblázat1[[#This Row],[Kész2020_2]]&lt;0,0,Táblázat1[[#This Row],[Karb./akt.év]]-Táblázat1[[#This Row],[Kész2020_2]])</f>
        <v>1</v>
      </c>
    </row>
    <row r="380" spans="1:14" hidden="1" x14ac:dyDescent="0.25">
      <c r="A380" s="17" t="s">
        <v>6</v>
      </c>
      <c r="B380" s="17" t="s">
        <v>6738</v>
      </c>
      <c r="C380" s="17" t="s">
        <v>1737</v>
      </c>
      <c r="D380" s="17" t="s">
        <v>3065</v>
      </c>
      <c r="E380" s="17" t="s">
        <v>4028</v>
      </c>
      <c r="F380" s="17" t="s">
        <v>4029</v>
      </c>
      <c r="G380" s="17" t="s">
        <v>6180</v>
      </c>
      <c r="H380" t="s">
        <v>7476</v>
      </c>
      <c r="I380" s="1">
        <v>2</v>
      </c>
      <c r="J380" s="1">
        <v>2</v>
      </c>
      <c r="K380" t="s">
        <v>6639</v>
      </c>
      <c r="L380" s="5">
        <f>VLOOKUP(D:D,[1]Munka2!$A:$B,2,FALSE)</f>
        <v>1</v>
      </c>
      <c r="M380" s="5">
        <f>_xlfn.IFNA(Táblázat1[[#This Row],[Kész2020]],0)</f>
        <v>1</v>
      </c>
      <c r="N380" s="5">
        <f>IF(Táblázat1[[#This Row],[Karb./akt.év]]-Táblázat1[[#This Row],[Kész2020_2]]&lt;0,0,Táblázat1[[#This Row],[Karb./akt.év]]-Táblázat1[[#This Row],[Kész2020_2]])</f>
        <v>1</v>
      </c>
    </row>
    <row r="381" spans="1:14" hidden="1" x14ac:dyDescent="0.25">
      <c r="A381" s="17" t="s">
        <v>6</v>
      </c>
      <c r="B381" s="17" t="s">
        <v>696</v>
      </c>
      <c r="C381" s="17" t="s">
        <v>1754</v>
      </c>
      <c r="D381" s="17" t="s">
        <v>2471</v>
      </c>
      <c r="E381" s="17" t="s">
        <v>4300</v>
      </c>
      <c r="F381" s="17" t="s">
        <v>3664</v>
      </c>
      <c r="G381" s="17" t="s">
        <v>5650</v>
      </c>
      <c r="H381" t="s">
        <v>7476</v>
      </c>
      <c r="I381" s="1">
        <v>2</v>
      </c>
      <c r="J381" s="1">
        <v>2</v>
      </c>
      <c r="K381" t="s">
        <v>6638</v>
      </c>
      <c r="L381" s="5">
        <f>VLOOKUP(D:D,[1]Munka2!$A:$B,2,FALSE)</f>
        <v>1</v>
      </c>
      <c r="M381" s="5">
        <f>_xlfn.IFNA(Táblázat1[[#This Row],[Kész2020]],0)</f>
        <v>1</v>
      </c>
      <c r="N381" s="5">
        <f>IF(Táblázat1[[#This Row],[Karb./akt.év]]-Táblázat1[[#This Row],[Kész2020_2]]&lt;0,0,Táblázat1[[#This Row],[Karb./akt.év]]-Táblázat1[[#This Row],[Kész2020_2]])</f>
        <v>1</v>
      </c>
    </row>
    <row r="382" spans="1:14" hidden="1" x14ac:dyDescent="0.25">
      <c r="A382" s="17" t="s">
        <v>6</v>
      </c>
      <c r="B382" s="17" t="s">
        <v>1406</v>
      </c>
      <c r="C382" s="17" t="s">
        <v>1737</v>
      </c>
      <c r="D382" s="17" t="s">
        <v>3233</v>
      </c>
      <c r="E382" s="17" t="s">
        <v>3893</v>
      </c>
      <c r="F382" s="17" t="s">
        <v>3664</v>
      </c>
      <c r="G382" s="17" t="s">
        <v>6311</v>
      </c>
      <c r="H382" t="s">
        <v>7476</v>
      </c>
      <c r="I382" s="1">
        <v>2</v>
      </c>
      <c r="J382" s="1">
        <v>2</v>
      </c>
      <c r="K382" t="s">
        <v>6638</v>
      </c>
      <c r="L382" s="5">
        <f>VLOOKUP(D:D,[1]Munka2!$A:$B,2,FALSE)</f>
        <v>1</v>
      </c>
      <c r="M382" s="5">
        <f>_xlfn.IFNA(Táblázat1[[#This Row],[Kész2020]],0)</f>
        <v>1</v>
      </c>
      <c r="N382" s="5">
        <f>IF(Táblázat1[[#This Row],[Karb./akt.év]]-Táblázat1[[#This Row],[Kész2020_2]]&lt;0,0,Táblázat1[[#This Row],[Karb./akt.év]]-Táblázat1[[#This Row],[Kész2020_2]])</f>
        <v>1</v>
      </c>
    </row>
    <row r="383" spans="1:14" hidden="1" x14ac:dyDescent="0.25">
      <c r="A383" s="17" t="s">
        <v>6</v>
      </c>
      <c r="B383" s="17" t="s">
        <v>180</v>
      </c>
      <c r="C383" s="17" t="s">
        <v>1737</v>
      </c>
      <c r="D383" s="17" t="s">
        <v>1921</v>
      </c>
      <c r="E383" s="17" t="s">
        <v>3794</v>
      </c>
      <c r="F383" s="17" t="s">
        <v>3795</v>
      </c>
      <c r="G383" s="17" t="s">
        <v>5152</v>
      </c>
      <c r="H383" t="s">
        <v>7476</v>
      </c>
      <c r="I383" s="1">
        <v>2</v>
      </c>
      <c r="J383" s="1">
        <v>2</v>
      </c>
      <c r="K383" t="s">
        <v>6638</v>
      </c>
      <c r="L383" s="5">
        <f>VLOOKUP(D:D,[1]Munka2!$A:$B,2,FALSE)</f>
        <v>1</v>
      </c>
      <c r="M383" s="5">
        <f>_xlfn.IFNA(Táblázat1[[#This Row],[Kész2020]],0)</f>
        <v>1</v>
      </c>
      <c r="N383" s="5">
        <f>IF(Táblázat1[[#This Row],[Karb./akt.év]]-Táblázat1[[#This Row],[Kész2020_2]]&lt;0,0,Táblázat1[[#This Row],[Karb./akt.év]]-Táblázat1[[#This Row],[Kész2020_2]])</f>
        <v>1</v>
      </c>
    </row>
    <row r="384" spans="1:14" hidden="1" x14ac:dyDescent="0.25">
      <c r="A384" s="17" t="s">
        <v>6</v>
      </c>
      <c r="B384" s="17" t="s">
        <v>6925</v>
      </c>
      <c r="C384" s="17" t="s">
        <v>1735</v>
      </c>
      <c r="D384" s="17" t="s">
        <v>6934</v>
      </c>
      <c r="E384" s="17" t="s">
        <v>3834</v>
      </c>
      <c r="F384" s="17" t="s">
        <v>3835</v>
      </c>
      <c r="G384" s="17" t="s">
        <v>6947</v>
      </c>
      <c r="H384" t="s">
        <v>7476</v>
      </c>
      <c r="I384" s="1">
        <v>2</v>
      </c>
      <c r="J384" s="1">
        <v>2</v>
      </c>
      <c r="K384" t="s">
        <v>7014</v>
      </c>
      <c r="L384" s="5">
        <f>VLOOKUP(D:D,[1]Munka2!$A:$B,2,FALSE)</f>
        <v>1</v>
      </c>
      <c r="M384" s="5">
        <f>_xlfn.IFNA(Táblázat1[[#This Row],[Kész2020]],0)</f>
        <v>1</v>
      </c>
      <c r="N384" s="5">
        <f>IF(Táblázat1[[#This Row],[Karb./akt.év]]-Táblázat1[[#This Row],[Kész2020_2]]&lt;0,0,Táblázat1[[#This Row],[Karb./akt.év]]-Táblázat1[[#This Row],[Kész2020_2]])</f>
        <v>1</v>
      </c>
    </row>
    <row r="385" spans="1:14" hidden="1" x14ac:dyDescent="0.25">
      <c r="A385" s="17" t="s">
        <v>6</v>
      </c>
      <c r="B385" s="17" t="s">
        <v>1414</v>
      </c>
      <c r="C385" s="17" t="s">
        <v>1735</v>
      </c>
      <c r="D385" s="17" t="s">
        <v>3242</v>
      </c>
      <c r="E385" s="17" t="s">
        <v>4879</v>
      </c>
      <c r="F385" s="17" t="s">
        <v>3664</v>
      </c>
      <c r="G385" s="17" t="s">
        <v>6317</v>
      </c>
      <c r="H385" t="s">
        <v>7476</v>
      </c>
      <c r="I385" s="1">
        <v>2</v>
      </c>
      <c r="J385" s="1">
        <v>2</v>
      </c>
      <c r="K385" t="s">
        <v>6638</v>
      </c>
      <c r="L385" s="5">
        <f>VLOOKUP(D:D,[1]Munka2!$A:$B,2,FALSE)</f>
        <v>1</v>
      </c>
      <c r="M385" s="5">
        <f>_xlfn.IFNA(Táblázat1[[#This Row],[Kész2020]],0)</f>
        <v>1</v>
      </c>
      <c r="N385" s="5">
        <f>IF(Táblázat1[[#This Row],[Karb./akt.év]]-Táblázat1[[#This Row],[Kész2020_2]]&lt;0,0,Táblázat1[[#This Row],[Karb./akt.év]]-Táblázat1[[#This Row],[Kész2020_2]])</f>
        <v>1</v>
      </c>
    </row>
    <row r="386" spans="1:14" hidden="1" x14ac:dyDescent="0.25">
      <c r="A386" s="17" t="s">
        <v>6</v>
      </c>
      <c r="B386" s="17" t="s">
        <v>75</v>
      </c>
      <c r="C386" s="17" t="s">
        <v>1737</v>
      </c>
      <c r="D386" s="17" t="s">
        <v>1813</v>
      </c>
      <c r="E386" s="17" t="s">
        <v>3663</v>
      </c>
      <c r="F386" s="17" t="s">
        <v>3664</v>
      </c>
      <c r="G386" s="17" t="s">
        <v>5049</v>
      </c>
      <c r="H386" t="s">
        <v>7476</v>
      </c>
      <c r="I386" s="1">
        <v>2</v>
      </c>
      <c r="J386" s="1">
        <v>2</v>
      </c>
      <c r="K386" t="s">
        <v>6638</v>
      </c>
      <c r="L386" s="5">
        <f>VLOOKUP(D:D,[1]Munka2!$A:$B,2,FALSE)</f>
        <v>1</v>
      </c>
      <c r="M386" s="5">
        <f>_xlfn.IFNA(Táblázat1[[#This Row],[Kész2020]],0)</f>
        <v>1</v>
      </c>
      <c r="N386" s="5">
        <f>IF(Táblázat1[[#This Row],[Karb./akt.év]]-Táblázat1[[#This Row],[Kész2020_2]]&lt;0,0,Táblázat1[[#This Row],[Karb./akt.év]]-Táblázat1[[#This Row],[Kész2020_2]])</f>
        <v>1</v>
      </c>
    </row>
    <row r="387" spans="1:14" hidden="1" x14ac:dyDescent="0.25">
      <c r="A387" s="17" t="s">
        <v>6</v>
      </c>
      <c r="B387" s="17" t="s">
        <v>1407</v>
      </c>
      <c r="C387" s="17" t="s">
        <v>1735</v>
      </c>
      <c r="D387" s="17" t="s">
        <v>3234</v>
      </c>
      <c r="E387" s="17" t="s">
        <v>3893</v>
      </c>
      <c r="F387" s="17" t="s">
        <v>3664</v>
      </c>
      <c r="G387" s="17" t="s">
        <v>6312</v>
      </c>
      <c r="H387" t="s">
        <v>7476</v>
      </c>
      <c r="I387" s="1">
        <v>2</v>
      </c>
      <c r="J387" s="1">
        <v>2</v>
      </c>
      <c r="K387" t="s">
        <v>6638</v>
      </c>
      <c r="L387" s="5">
        <f>VLOOKUP(D:D,[1]Munka2!$A:$B,2,FALSE)</f>
        <v>1</v>
      </c>
      <c r="M387" s="5">
        <f>_xlfn.IFNA(Táblázat1[[#This Row],[Kész2020]],0)</f>
        <v>1</v>
      </c>
      <c r="N387" s="5">
        <f>IF(Táblázat1[[#This Row],[Karb./akt.év]]-Táblázat1[[#This Row],[Kész2020_2]]&lt;0,0,Táblázat1[[#This Row],[Karb./akt.év]]-Táblázat1[[#This Row],[Kész2020_2]])</f>
        <v>1</v>
      </c>
    </row>
    <row r="388" spans="1:14" hidden="1" x14ac:dyDescent="0.25">
      <c r="A388" s="17" t="s">
        <v>6</v>
      </c>
      <c r="B388" s="17" t="s">
        <v>1465</v>
      </c>
      <c r="C388" s="17" t="s">
        <v>1736</v>
      </c>
      <c r="D388" s="17" t="s">
        <v>3298</v>
      </c>
      <c r="E388" s="17" t="s">
        <v>4308</v>
      </c>
      <c r="F388" s="17" t="s">
        <v>3664</v>
      </c>
      <c r="G388" s="17" t="s">
        <v>6373</v>
      </c>
      <c r="H388" t="s">
        <v>7476</v>
      </c>
      <c r="I388" s="1">
        <v>2</v>
      </c>
      <c r="J388" s="1">
        <v>2</v>
      </c>
      <c r="K388" t="s">
        <v>6638</v>
      </c>
      <c r="L388" s="5">
        <f>VLOOKUP(D:D,[1]Munka2!$A:$B,2,FALSE)</f>
        <v>1</v>
      </c>
      <c r="M388" s="5">
        <f>_xlfn.IFNA(Táblázat1[[#This Row],[Kész2020]],0)</f>
        <v>1</v>
      </c>
      <c r="N388" s="5">
        <f>IF(Táblázat1[[#This Row],[Karb./akt.év]]-Táblázat1[[#This Row],[Kész2020_2]]&lt;0,0,Táblázat1[[#This Row],[Karb./akt.év]]-Táblázat1[[#This Row],[Kész2020_2]])</f>
        <v>1</v>
      </c>
    </row>
    <row r="389" spans="1:14" hidden="1" x14ac:dyDescent="0.25">
      <c r="A389" s="17" t="s">
        <v>6</v>
      </c>
      <c r="B389" s="17" t="s">
        <v>641</v>
      </c>
      <c r="C389" s="17" t="s">
        <v>1737</v>
      </c>
      <c r="D389" s="17" t="s">
        <v>2415</v>
      </c>
      <c r="E389" s="17" t="s">
        <v>3671</v>
      </c>
      <c r="F389" s="17" t="s">
        <v>3672</v>
      </c>
      <c r="G389" s="17" t="s">
        <v>5600</v>
      </c>
      <c r="H389" t="s">
        <v>7476</v>
      </c>
      <c r="I389" s="1">
        <v>2</v>
      </c>
      <c r="J389" s="1">
        <v>2</v>
      </c>
      <c r="K389" t="s">
        <v>6638</v>
      </c>
      <c r="L389" s="5">
        <f>VLOOKUP(D:D,[1]Munka2!$A:$B,2,FALSE)</f>
        <v>1</v>
      </c>
      <c r="M389" s="5">
        <f>_xlfn.IFNA(Táblázat1[[#This Row],[Kész2020]],0)</f>
        <v>1</v>
      </c>
      <c r="N389" s="5">
        <f>IF(Táblázat1[[#This Row],[Karb./akt.év]]-Táblázat1[[#This Row],[Kész2020_2]]&lt;0,0,Táblázat1[[#This Row],[Karb./akt.év]]-Táblázat1[[#This Row],[Kész2020_2]])</f>
        <v>1</v>
      </c>
    </row>
    <row r="390" spans="1:14" x14ac:dyDescent="0.25">
      <c r="A390" s="17" t="s">
        <v>6</v>
      </c>
      <c r="B390" s="17" t="s">
        <v>1303</v>
      </c>
      <c r="C390" s="17" t="s">
        <v>1736</v>
      </c>
      <c r="D390" s="17" t="s">
        <v>3118</v>
      </c>
      <c r="E390" s="17" t="s">
        <v>4803</v>
      </c>
      <c r="F390" s="17" t="s">
        <v>4804</v>
      </c>
      <c r="G390" s="17" t="s">
        <v>6223</v>
      </c>
      <c r="H390" t="s">
        <v>7476</v>
      </c>
      <c r="I390" s="1">
        <v>2</v>
      </c>
      <c r="J390" s="1">
        <v>2</v>
      </c>
      <c r="K390" t="s">
        <v>6638</v>
      </c>
      <c r="L390" s="5" t="e">
        <f>VLOOKUP(D:D,[1]Munka2!$A:$B,2,FALSE)</f>
        <v>#N/A</v>
      </c>
      <c r="M390" s="5">
        <f>_xlfn.IFNA(Táblázat1[[#This Row],[Kész2020]],0)</f>
        <v>0</v>
      </c>
      <c r="N390" s="5">
        <f>IF(Táblázat1[[#This Row],[Karb./akt.év]]-Táblázat1[[#This Row],[Kész2020_2]]&lt;0,0,Táblázat1[[#This Row],[Karb./akt.év]]-Táblázat1[[#This Row],[Kész2020_2]])</f>
        <v>2</v>
      </c>
    </row>
    <row r="391" spans="1:14" x14ac:dyDescent="0.25">
      <c r="A391" s="17" t="s">
        <v>6</v>
      </c>
      <c r="B391" s="17" t="s">
        <v>1279</v>
      </c>
      <c r="C391" s="17" t="s">
        <v>1737</v>
      </c>
      <c r="D391" s="17" t="s">
        <v>3092</v>
      </c>
      <c r="E391" s="17" t="s">
        <v>4194</v>
      </c>
      <c r="F391" s="17" t="s">
        <v>4195</v>
      </c>
      <c r="G391" s="17" t="s">
        <v>6201</v>
      </c>
      <c r="H391" t="s">
        <v>7476</v>
      </c>
      <c r="I391" s="1">
        <v>2</v>
      </c>
      <c r="J391" s="1">
        <v>2</v>
      </c>
      <c r="K391" t="s">
        <v>6639</v>
      </c>
      <c r="L391" s="5" t="e">
        <f>VLOOKUP(D:D,[1]Munka2!$A:$B,2,FALSE)</f>
        <v>#N/A</v>
      </c>
      <c r="M391" s="5">
        <f>_xlfn.IFNA(Táblázat1[[#This Row],[Kész2020]],0)</f>
        <v>0</v>
      </c>
      <c r="N391" s="5">
        <f>IF(Táblázat1[[#This Row],[Karb./akt.év]]-Táblázat1[[#This Row],[Kész2020_2]]&lt;0,0,Táblázat1[[#This Row],[Karb./akt.év]]-Táblázat1[[#This Row],[Kész2020_2]])</f>
        <v>2</v>
      </c>
    </row>
    <row r="392" spans="1:14" hidden="1" x14ac:dyDescent="0.25">
      <c r="A392" s="17" t="s">
        <v>6</v>
      </c>
      <c r="B392" s="17" t="s">
        <v>1046</v>
      </c>
      <c r="C392" s="17" t="s">
        <v>1737</v>
      </c>
      <c r="D392" s="17" t="s">
        <v>2834</v>
      </c>
      <c r="E392" s="17" t="s">
        <v>3820</v>
      </c>
      <c r="F392" s="17" t="s">
        <v>3821</v>
      </c>
      <c r="G392" s="17" t="s">
        <v>5974</v>
      </c>
      <c r="H392" t="s">
        <v>7476</v>
      </c>
      <c r="I392" s="1">
        <v>2</v>
      </c>
      <c r="J392" s="1">
        <v>2</v>
      </c>
      <c r="K392" t="s">
        <v>6638</v>
      </c>
      <c r="L392" s="5">
        <f>VLOOKUP(D:D,[1]Munka2!$A:$B,2,FALSE)</f>
        <v>1</v>
      </c>
      <c r="M392" s="5">
        <f>_xlfn.IFNA(Táblázat1[[#This Row],[Kész2020]],0)</f>
        <v>1</v>
      </c>
      <c r="N392" s="5">
        <f>IF(Táblázat1[[#This Row],[Karb./akt.év]]-Táblázat1[[#This Row],[Kész2020_2]]&lt;0,0,Táblázat1[[#This Row],[Karb./akt.év]]-Táblázat1[[#This Row],[Kész2020_2]])</f>
        <v>1</v>
      </c>
    </row>
    <row r="393" spans="1:14" x14ac:dyDescent="0.25">
      <c r="A393" s="17" t="s">
        <v>6</v>
      </c>
      <c r="B393" s="17" t="s">
        <v>6829</v>
      </c>
      <c r="C393" s="17" t="s">
        <v>1736</v>
      </c>
      <c r="D393" s="17" t="s">
        <v>6862</v>
      </c>
      <c r="E393" s="17" t="s">
        <v>3794</v>
      </c>
      <c r="F393" s="17" t="s">
        <v>3795</v>
      </c>
      <c r="G393" s="17" t="s">
        <v>6906</v>
      </c>
      <c r="H393" t="s">
        <v>7476</v>
      </c>
      <c r="I393" s="1">
        <v>2</v>
      </c>
      <c r="J393" s="1">
        <v>2</v>
      </c>
      <c r="K393" t="s">
        <v>6638</v>
      </c>
      <c r="L393" s="5" t="e">
        <f>VLOOKUP(D:D,[1]Munka2!$A:$B,2,FALSE)</f>
        <v>#N/A</v>
      </c>
      <c r="M393" s="5">
        <f>_xlfn.IFNA(Táblázat1[[#This Row],[Kész2020]],0)</f>
        <v>0</v>
      </c>
      <c r="N393" s="5">
        <f>IF(Táblázat1[[#This Row],[Karb./akt.év]]-Táblázat1[[#This Row],[Kész2020_2]]&lt;0,0,Táblázat1[[#This Row],[Karb./akt.év]]-Táblázat1[[#This Row],[Kész2020_2]])</f>
        <v>2</v>
      </c>
    </row>
    <row r="394" spans="1:14" hidden="1" x14ac:dyDescent="0.25">
      <c r="A394" s="17" t="s">
        <v>6</v>
      </c>
      <c r="B394" s="17" t="s">
        <v>6840</v>
      </c>
      <c r="C394" s="17" t="s">
        <v>1736</v>
      </c>
      <c r="D394" s="17" t="s">
        <v>6872</v>
      </c>
      <c r="E394" s="17" t="s">
        <v>4269</v>
      </c>
      <c r="F394" s="17" t="s">
        <v>4270</v>
      </c>
      <c r="G394" s="17" t="s">
        <v>6912</v>
      </c>
      <c r="H394" t="s">
        <v>7476</v>
      </c>
      <c r="I394" s="1">
        <v>2</v>
      </c>
      <c r="J394" s="1">
        <v>2</v>
      </c>
      <c r="K394" t="s">
        <v>7014</v>
      </c>
      <c r="L394" s="5">
        <f>VLOOKUP(D:D,[1]Munka2!$A:$B,2,FALSE)</f>
        <v>1</v>
      </c>
      <c r="M394" s="5">
        <f>_xlfn.IFNA(Táblázat1[[#This Row],[Kész2020]],0)</f>
        <v>1</v>
      </c>
      <c r="N394" s="5">
        <f>IF(Táblázat1[[#This Row],[Karb./akt.év]]-Táblázat1[[#This Row],[Kész2020_2]]&lt;0,0,Táblázat1[[#This Row],[Karb./akt.év]]-Táblázat1[[#This Row],[Kész2020_2]])</f>
        <v>1</v>
      </c>
    </row>
    <row r="395" spans="1:14" x14ac:dyDescent="0.25">
      <c r="A395" s="17" t="s">
        <v>6</v>
      </c>
      <c r="B395" s="17" t="s">
        <v>561</v>
      </c>
      <c r="C395" s="17" t="s">
        <v>1737</v>
      </c>
      <c r="D395" s="17" t="s">
        <v>2332</v>
      </c>
      <c r="E395" s="17" t="s">
        <v>3773</v>
      </c>
      <c r="F395" s="17" t="s">
        <v>3774</v>
      </c>
      <c r="G395" s="17" t="s">
        <v>5524</v>
      </c>
      <c r="H395" t="s">
        <v>7476</v>
      </c>
      <c r="I395" s="1">
        <v>2</v>
      </c>
      <c r="J395" s="1">
        <v>2</v>
      </c>
      <c r="K395" t="s">
        <v>6636</v>
      </c>
      <c r="L395" s="5" t="e">
        <f>VLOOKUP(D:D,[1]Munka2!$A:$B,2,FALSE)</f>
        <v>#N/A</v>
      </c>
      <c r="M395" s="5">
        <f>_xlfn.IFNA(Táblázat1[[#This Row],[Kész2020]],0)</f>
        <v>0</v>
      </c>
      <c r="N395" s="5">
        <f>IF(Táblázat1[[#This Row],[Karb./akt.év]]-Táblázat1[[#This Row],[Kész2020_2]]&lt;0,0,Táblázat1[[#This Row],[Karb./akt.év]]-Táblázat1[[#This Row],[Kész2020_2]])</f>
        <v>2</v>
      </c>
    </row>
    <row r="396" spans="1:14" hidden="1" x14ac:dyDescent="0.25">
      <c r="A396" s="17" t="s">
        <v>6</v>
      </c>
      <c r="B396" s="17" t="s">
        <v>6831</v>
      </c>
      <c r="C396" s="17" t="s">
        <v>1736</v>
      </c>
      <c r="D396" s="17" t="s">
        <v>6864</v>
      </c>
      <c r="E396" s="17" t="s">
        <v>3695</v>
      </c>
      <c r="F396" s="17" t="s">
        <v>3696</v>
      </c>
      <c r="G396" s="17" t="s">
        <v>6908</v>
      </c>
      <c r="H396" t="s">
        <v>7476</v>
      </c>
      <c r="I396" s="1">
        <v>2</v>
      </c>
      <c r="J396" s="1">
        <v>2</v>
      </c>
      <c r="K396" t="s">
        <v>6638</v>
      </c>
      <c r="L396" s="5">
        <f>VLOOKUP(D:D,[1]Munka2!$A:$B,2,FALSE)</f>
        <v>1</v>
      </c>
      <c r="M396" s="5">
        <f>_xlfn.IFNA(Táblázat1[[#This Row],[Kész2020]],0)</f>
        <v>1</v>
      </c>
      <c r="N396" s="5">
        <f>IF(Táblázat1[[#This Row],[Karb./akt.év]]-Táblázat1[[#This Row],[Kész2020_2]]&lt;0,0,Táblázat1[[#This Row],[Karb./akt.év]]-Táblázat1[[#This Row],[Kész2020_2]])</f>
        <v>1</v>
      </c>
    </row>
    <row r="397" spans="1:14" x14ac:dyDescent="0.25">
      <c r="A397" s="17" t="s">
        <v>6</v>
      </c>
      <c r="B397" s="17" t="s">
        <v>684</v>
      </c>
      <c r="C397" s="17" t="s">
        <v>1736</v>
      </c>
      <c r="D397" s="17" t="s">
        <v>2459</v>
      </c>
      <c r="E397" s="17" t="s">
        <v>4294</v>
      </c>
      <c r="F397" s="17" t="s">
        <v>3664</v>
      </c>
      <c r="G397" s="17" t="s">
        <v>5640</v>
      </c>
      <c r="H397" t="s">
        <v>7476</v>
      </c>
      <c r="I397" s="1">
        <v>2</v>
      </c>
      <c r="J397" s="1">
        <v>2</v>
      </c>
      <c r="K397" t="s">
        <v>6638</v>
      </c>
      <c r="L397" s="5" t="e">
        <f>VLOOKUP(D:D,[1]Munka2!$A:$B,2,FALSE)</f>
        <v>#N/A</v>
      </c>
      <c r="M397" s="5">
        <f>_xlfn.IFNA(Táblázat1[[#This Row],[Kész2020]],0)</f>
        <v>0</v>
      </c>
      <c r="N397" s="5">
        <f>IF(Táblázat1[[#This Row],[Karb./akt.év]]-Táblázat1[[#This Row],[Kész2020_2]]&lt;0,0,Táblázat1[[#This Row],[Karb./akt.év]]-Táblázat1[[#This Row],[Kész2020_2]])</f>
        <v>2</v>
      </c>
    </row>
    <row r="398" spans="1:14" x14ac:dyDescent="0.25">
      <c r="A398" s="17" t="s">
        <v>6</v>
      </c>
      <c r="B398" s="17" t="s">
        <v>376</v>
      </c>
      <c r="C398" s="17" t="s">
        <v>1737</v>
      </c>
      <c r="D398" s="17" t="s">
        <v>2130</v>
      </c>
      <c r="E398" s="17" t="s">
        <v>4009</v>
      </c>
      <c r="F398" s="17" t="s">
        <v>4010</v>
      </c>
      <c r="G398" s="17" t="s">
        <v>5343</v>
      </c>
      <c r="H398" t="s">
        <v>7476</v>
      </c>
      <c r="I398" s="1">
        <v>2</v>
      </c>
      <c r="J398" s="1">
        <v>2</v>
      </c>
      <c r="K398" t="s">
        <v>6638</v>
      </c>
      <c r="L398" s="5" t="e">
        <f>VLOOKUP(D:D,[1]Munka2!$A:$B,2,FALSE)</f>
        <v>#N/A</v>
      </c>
      <c r="M398" s="5">
        <f>_xlfn.IFNA(Táblázat1[[#This Row],[Kész2020]],0)</f>
        <v>0</v>
      </c>
      <c r="N398" s="5">
        <f>IF(Táblázat1[[#This Row],[Karb./akt.év]]-Táblázat1[[#This Row],[Kész2020_2]]&lt;0,0,Táblázat1[[#This Row],[Karb./akt.év]]-Táblázat1[[#This Row],[Kész2020_2]])</f>
        <v>2</v>
      </c>
    </row>
    <row r="399" spans="1:14" hidden="1" x14ac:dyDescent="0.25">
      <c r="A399" s="17" t="s">
        <v>6</v>
      </c>
      <c r="B399" s="17" t="s">
        <v>522</v>
      </c>
      <c r="C399" s="17" t="s">
        <v>1737</v>
      </c>
      <c r="D399" s="17" t="s">
        <v>2287</v>
      </c>
      <c r="E399" s="17" t="s">
        <v>4117</v>
      </c>
      <c r="F399" s="17" t="s">
        <v>4118</v>
      </c>
      <c r="G399" s="17" t="s">
        <v>5483</v>
      </c>
      <c r="H399" t="s">
        <v>7476</v>
      </c>
      <c r="I399" s="1">
        <v>2</v>
      </c>
      <c r="J399" s="1">
        <v>2</v>
      </c>
      <c r="K399" t="s">
        <v>6636</v>
      </c>
      <c r="L399" s="5">
        <f>VLOOKUP(D:D,[1]Munka2!$A:$B,2,FALSE)</f>
        <v>1</v>
      </c>
      <c r="M399" s="5">
        <f>_xlfn.IFNA(Táblázat1[[#This Row],[Kész2020]],0)</f>
        <v>1</v>
      </c>
      <c r="N399" s="5">
        <f>IF(Táblázat1[[#This Row],[Karb./akt.év]]-Táblázat1[[#This Row],[Kész2020_2]]&lt;0,0,Táblázat1[[#This Row],[Karb./akt.év]]-Táblázat1[[#This Row],[Kész2020_2]])</f>
        <v>1</v>
      </c>
    </row>
    <row r="400" spans="1:14" hidden="1" x14ac:dyDescent="0.25">
      <c r="A400" s="17" t="s">
        <v>6</v>
      </c>
      <c r="B400" s="17" t="s">
        <v>1253</v>
      </c>
      <c r="C400" s="17" t="s">
        <v>1737</v>
      </c>
      <c r="D400" s="17" t="s">
        <v>3064</v>
      </c>
      <c r="E400" s="17" t="s">
        <v>4745</v>
      </c>
      <c r="F400" s="17" t="s">
        <v>4746</v>
      </c>
      <c r="G400" s="17" t="s">
        <v>6179</v>
      </c>
      <c r="H400" t="s">
        <v>7476</v>
      </c>
      <c r="I400" s="1">
        <v>2</v>
      </c>
      <c r="J400" s="1">
        <v>2</v>
      </c>
      <c r="K400" t="s">
        <v>7014</v>
      </c>
      <c r="L400" s="5">
        <f>VLOOKUP(D:D,[1]Munka2!$A:$B,2,FALSE)</f>
        <v>1</v>
      </c>
      <c r="M400" s="5">
        <f>_xlfn.IFNA(Táblázat1[[#This Row],[Kész2020]],0)</f>
        <v>1</v>
      </c>
      <c r="N400" s="5">
        <f>IF(Táblázat1[[#This Row],[Karb./akt.év]]-Táblázat1[[#This Row],[Kész2020_2]]&lt;0,0,Táblázat1[[#This Row],[Karb./akt.év]]-Táblázat1[[#This Row],[Kész2020_2]])</f>
        <v>1</v>
      </c>
    </row>
    <row r="401" spans="1:14" x14ac:dyDescent="0.25">
      <c r="A401" s="17" t="s">
        <v>6</v>
      </c>
      <c r="B401" s="17" t="s">
        <v>1655</v>
      </c>
      <c r="C401" s="17" t="s">
        <v>1736</v>
      </c>
      <c r="D401" s="17" t="s">
        <v>3512</v>
      </c>
      <c r="E401" s="17" t="s">
        <v>3834</v>
      </c>
      <c r="F401" s="17" t="s">
        <v>3835</v>
      </c>
      <c r="G401" s="17" t="s">
        <v>6552</v>
      </c>
      <c r="H401" t="s">
        <v>7476</v>
      </c>
      <c r="I401" s="1">
        <v>2</v>
      </c>
      <c r="J401" s="1">
        <v>2</v>
      </c>
      <c r="K401" t="s">
        <v>6636</v>
      </c>
      <c r="L401" s="5" t="e">
        <f>VLOOKUP(D:D,[1]Munka2!$A:$B,2,FALSE)</f>
        <v>#N/A</v>
      </c>
      <c r="M401" s="5">
        <f>_xlfn.IFNA(Táblázat1[[#This Row],[Kész2020]],0)</f>
        <v>0</v>
      </c>
      <c r="N401" s="5">
        <f>IF(Táblázat1[[#This Row],[Karb./akt.év]]-Táblázat1[[#This Row],[Kész2020_2]]&lt;0,0,Táblázat1[[#This Row],[Karb./akt.év]]-Táblázat1[[#This Row],[Kész2020_2]])</f>
        <v>2</v>
      </c>
    </row>
    <row r="402" spans="1:14" hidden="1" x14ac:dyDescent="0.25">
      <c r="A402" s="17" t="s">
        <v>6</v>
      </c>
      <c r="B402" s="17" t="s">
        <v>200</v>
      </c>
      <c r="C402" s="17" t="s">
        <v>1742</v>
      </c>
      <c r="D402" s="17" t="s">
        <v>1941</v>
      </c>
      <c r="E402" s="17" t="s">
        <v>3820</v>
      </c>
      <c r="F402" s="17" t="s">
        <v>3821</v>
      </c>
      <c r="G402" s="17" t="s">
        <v>5170</v>
      </c>
      <c r="H402" t="s">
        <v>7476</v>
      </c>
      <c r="I402" s="1">
        <v>2</v>
      </c>
      <c r="J402" s="1">
        <v>2</v>
      </c>
      <c r="K402" t="s">
        <v>6638</v>
      </c>
      <c r="L402" s="5">
        <f>VLOOKUP(D:D,[1]Munka2!$A:$B,2,FALSE)</f>
        <v>1</v>
      </c>
      <c r="M402" s="5">
        <f>_xlfn.IFNA(Táblázat1[[#This Row],[Kész2020]],0)</f>
        <v>1</v>
      </c>
      <c r="N402" s="5">
        <f>IF(Táblázat1[[#This Row],[Karb./akt.év]]-Táblázat1[[#This Row],[Kész2020_2]]&lt;0,0,Táblázat1[[#This Row],[Karb./akt.év]]-Táblázat1[[#This Row],[Kész2020_2]])</f>
        <v>1</v>
      </c>
    </row>
    <row r="403" spans="1:14" hidden="1" x14ac:dyDescent="0.25">
      <c r="A403" s="17" t="s">
        <v>6</v>
      </c>
      <c r="B403" s="17" t="s">
        <v>568</v>
      </c>
      <c r="C403" s="17" t="s">
        <v>1735</v>
      </c>
      <c r="D403" s="17" t="s">
        <v>2341</v>
      </c>
      <c r="E403" s="17" t="s">
        <v>4196</v>
      </c>
      <c r="F403" s="17" t="s">
        <v>4197</v>
      </c>
      <c r="G403" s="17" t="s">
        <v>5533</v>
      </c>
      <c r="H403" t="s">
        <v>7476</v>
      </c>
      <c r="I403" s="1">
        <v>2</v>
      </c>
      <c r="J403" s="1">
        <v>2</v>
      </c>
      <c r="K403" t="s">
        <v>6638</v>
      </c>
      <c r="L403" s="5">
        <f>VLOOKUP(D:D,[1]Munka2!$A:$B,2,FALSE)</f>
        <v>1</v>
      </c>
      <c r="M403" s="5">
        <f>_xlfn.IFNA(Táblázat1[[#This Row],[Kész2020]],0)</f>
        <v>1</v>
      </c>
      <c r="N403" s="5">
        <f>IF(Táblázat1[[#This Row],[Karb./akt.év]]-Táblázat1[[#This Row],[Kész2020_2]]&lt;0,0,Táblázat1[[#This Row],[Karb./akt.év]]-Táblázat1[[#This Row],[Kész2020_2]])</f>
        <v>1</v>
      </c>
    </row>
    <row r="404" spans="1:14" x14ac:dyDescent="0.25">
      <c r="A404" s="17" t="s">
        <v>6</v>
      </c>
      <c r="B404" s="17" t="s">
        <v>7454</v>
      </c>
      <c r="C404" s="17" t="s">
        <v>1735</v>
      </c>
      <c r="D404" s="17" t="s">
        <v>7463</v>
      </c>
      <c r="E404" s="17" t="s">
        <v>3773</v>
      </c>
      <c r="F404" s="17" t="s">
        <v>3774</v>
      </c>
      <c r="G404" s="17" t="s">
        <v>7474</v>
      </c>
      <c r="H404" t="s">
        <v>7476</v>
      </c>
      <c r="I404" s="1">
        <v>2</v>
      </c>
      <c r="J404" s="1">
        <v>2</v>
      </c>
      <c r="K404" t="s">
        <v>6636</v>
      </c>
      <c r="L404" s="5" t="e">
        <f>VLOOKUP(D:D,[1]Munka2!$A:$B,2,FALSE)</f>
        <v>#N/A</v>
      </c>
      <c r="M404" s="5">
        <f>_xlfn.IFNA(Táblázat1[[#This Row],[Kész2020]],0)</f>
        <v>0</v>
      </c>
      <c r="N404" s="5">
        <f>IF(Táblázat1[[#This Row],[Karb./akt.év]]-Táblázat1[[#This Row],[Kész2020_2]]&lt;0,0,Táblázat1[[#This Row],[Karb./akt.év]]-Táblázat1[[#This Row],[Kész2020_2]])</f>
        <v>2</v>
      </c>
    </row>
    <row r="405" spans="1:14" x14ac:dyDescent="0.25">
      <c r="A405" s="17" t="s">
        <v>6</v>
      </c>
      <c r="B405" s="17" t="s">
        <v>1276</v>
      </c>
      <c r="C405" s="17" t="s">
        <v>1743</v>
      </c>
      <c r="D405" s="17" t="s">
        <v>3089</v>
      </c>
      <c r="E405" s="17" t="s">
        <v>3736</v>
      </c>
      <c r="F405" s="17" t="s">
        <v>3737</v>
      </c>
      <c r="G405" s="17" t="s">
        <v>6198</v>
      </c>
      <c r="H405" t="s">
        <v>7476</v>
      </c>
      <c r="I405" s="1">
        <v>2</v>
      </c>
      <c r="J405" s="1">
        <v>2</v>
      </c>
      <c r="K405" t="s">
        <v>6638</v>
      </c>
      <c r="L405" s="5" t="e">
        <f>VLOOKUP(D:D,[1]Munka2!$A:$B,2,FALSE)</f>
        <v>#N/A</v>
      </c>
      <c r="M405" s="5">
        <f>_xlfn.IFNA(Táblázat1[[#This Row],[Kész2020]],0)</f>
        <v>0</v>
      </c>
      <c r="N405" s="5">
        <f>IF(Táblázat1[[#This Row],[Karb./akt.év]]-Táblázat1[[#This Row],[Kész2020_2]]&lt;0,0,Táblázat1[[#This Row],[Karb./akt.év]]-Táblázat1[[#This Row],[Kész2020_2]])</f>
        <v>2</v>
      </c>
    </row>
    <row r="406" spans="1:14" x14ac:dyDescent="0.25">
      <c r="A406" s="17" t="s">
        <v>6</v>
      </c>
      <c r="B406" s="17" t="s">
        <v>1265</v>
      </c>
      <c r="C406" s="17" t="s">
        <v>1735</v>
      </c>
      <c r="D406" s="17" t="s">
        <v>3077</v>
      </c>
      <c r="E406" s="17" t="s">
        <v>4194</v>
      </c>
      <c r="F406" s="17" t="s">
        <v>4195</v>
      </c>
      <c r="G406" s="17" t="s">
        <v>6191</v>
      </c>
      <c r="H406" t="s">
        <v>7476</v>
      </c>
      <c r="I406" s="1">
        <v>2</v>
      </c>
      <c r="J406" s="1">
        <v>2</v>
      </c>
      <c r="K406" t="s">
        <v>6639</v>
      </c>
      <c r="L406" s="5" t="e">
        <f>VLOOKUP(D:D,[1]Munka2!$A:$B,2,FALSE)</f>
        <v>#N/A</v>
      </c>
      <c r="M406" s="5">
        <f>_xlfn.IFNA(Táblázat1[[#This Row],[Kész2020]],0)</f>
        <v>0</v>
      </c>
      <c r="N406" s="5">
        <f>IF(Táblázat1[[#This Row],[Karb./akt.év]]-Táblázat1[[#This Row],[Kész2020_2]]&lt;0,0,Táblázat1[[#This Row],[Karb./akt.év]]-Táblázat1[[#This Row],[Kész2020_2]])</f>
        <v>2</v>
      </c>
    </row>
    <row r="407" spans="1:14" x14ac:dyDescent="0.25">
      <c r="A407" s="17" t="s">
        <v>6</v>
      </c>
      <c r="B407" s="17" t="s">
        <v>318</v>
      </c>
      <c r="C407" s="17" t="s">
        <v>1737</v>
      </c>
      <c r="D407" s="17" t="s">
        <v>2067</v>
      </c>
      <c r="E407" s="17" t="s">
        <v>3736</v>
      </c>
      <c r="F407" s="17" t="s">
        <v>3737</v>
      </c>
      <c r="G407" s="17" t="s">
        <v>5284</v>
      </c>
      <c r="H407" t="s">
        <v>7476</v>
      </c>
      <c r="I407" s="1">
        <v>2</v>
      </c>
      <c r="J407" s="1">
        <v>2</v>
      </c>
      <c r="K407" t="s">
        <v>6638</v>
      </c>
      <c r="L407" s="5" t="e">
        <f>VLOOKUP(D:D,[1]Munka2!$A:$B,2,FALSE)</f>
        <v>#N/A</v>
      </c>
      <c r="M407" s="5">
        <f>_xlfn.IFNA(Táblázat1[[#This Row],[Kész2020]],0)</f>
        <v>0</v>
      </c>
      <c r="N407" s="5">
        <f>IF(Táblázat1[[#This Row],[Karb./akt.év]]-Táblázat1[[#This Row],[Kész2020_2]]&lt;0,0,Táblázat1[[#This Row],[Karb./akt.év]]-Táblázat1[[#This Row],[Kész2020_2]])</f>
        <v>2</v>
      </c>
    </row>
    <row r="408" spans="1:14" hidden="1" x14ac:dyDescent="0.25">
      <c r="A408" s="17" t="s">
        <v>6</v>
      </c>
      <c r="B408" s="17" t="s">
        <v>1467</v>
      </c>
      <c r="C408" s="17" t="s">
        <v>1743</v>
      </c>
      <c r="D408" s="17" t="s">
        <v>3300</v>
      </c>
      <c r="E408" s="17" t="s">
        <v>3886</v>
      </c>
      <c r="F408" s="17" t="s">
        <v>3664</v>
      </c>
      <c r="G408" s="17" t="s">
        <v>6375</v>
      </c>
      <c r="H408" t="s">
        <v>7476</v>
      </c>
      <c r="I408" s="1">
        <v>2</v>
      </c>
      <c r="J408" s="1">
        <v>2</v>
      </c>
      <c r="K408" t="s">
        <v>6638</v>
      </c>
      <c r="L408" s="5">
        <f>VLOOKUP(D:D,[1]Munka2!$A:$B,2,FALSE)</f>
        <v>1</v>
      </c>
      <c r="M408" s="5">
        <f>_xlfn.IFNA(Táblázat1[[#This Row],[Kész2020]],0)</f>
        <v>1</v>
      </c>
      <c r="N408" s="5">
        <f>IF(Táblázat1[[#This Row],[Karb./akt.év]]-Táblázat1[[#This Row],[Kész2020_2]]&lt;0,0,Táblázat1[[#This Row],[Karb./akt.év]]-Táblázat1[[#This Row],[Kész2020_2]])</f>
        <v>1</v>
      </c>
    </row>
    <row r="409" spans="1:14" hidden="1" x14ac:dyDescent="0.25">
      <c r="A409" s="17" t="s">
        <v>6</v>
      </c>
      <c r="B409" s="17" t="s">
        <v>6729</v>
      </c>
      <c r="C409" s="17" t="s">
        <v>1737</v>
      </c>
      <c r="D409" s="17" t="s">
        <v>2015</v>
      </c>
      <c r="E409" s="17" t="s">
        <v>3893</v>
      </c>
      <c r="F409" s="17" t="s">
        <v>3664</v>
      </c>
      <c r="G409" s="17" t="s">
        <v>5235</v>
      </c>
      <c r="H409" t="s">
        <v>7476</v>
      </c>
      <c r="I409" s="1">
        <v>2</v>
      </c>
      <c r="J409" s="1">
        <v>2</v>
      </c>
      <c r="K409" t="s">
        <v>6638</v>
      </c>
      <c r="L409" s="5">
        <f>VLOOKUP(D:D,[1]Munka2!$A:$B,2,FALSE)</f>
        <v>1</v>
      </c>
      <c r="M409" s="5">
        <f>_xlfn.IFNA(Táblázat1[[#This Row],[Kész2020]],0)</f>
        <v>1</v>
      </c>
      <c r="N409" s="5">
        <f>IF(Táblázat1[[#This Row],[Karb./akt.év]]-Táblázat1[[#This Row],[Kész2020_2]]&lt;0,0,Táblázat1[[#This Row],[Karb./akt.év]]-Táblázat1[[#This Row],[Kész2020_2]])</f>
        <v>1</v>
      </c>
    </row>
    <row r="410" spans="1:14" hidden="1" x14ac:dyDescent="0.25">
      <c r="A410" s="17" t="s">
        <v>6</v>
      </c>
      <c r="B410" s="17" t="s">
        <v>1536</v>
      </c>
      <c r="C410" s="17" t="s">
        <v>1735</v>
      </c>
      <c r="D410" s="17" t="s">
        <v>3380</v>
      </c>
      <c r="E410" s="17" t="s">
        <v>3678</v>
      </c>
      <c r="F410" s="17" t="s">
        <v>3679</v>
      </c>
      <c r="G410" s="17" t="s">
        <v>6443</v>
      </c>
      <c r="H410" t="s">
        <v>7476</v>
      </c>
      <c r="I410" s="1">
        <v>2</v>
      </c>
      <c r="J410" s="1">
        <v>2</v>
      </c>
      <c r="K410" t="s">
        <v>6635</v>
      </c>
      <c r="L410" s="5">
        <f>VLOOKUP(D:D,[1]Munka2!$A:$B,2,FALSE)</f>
        <v>1</v>
      </c>
      <c r="M410" s="5">
        <f>_xlfn.IFNA(Táblázat1[[#This Row],[Kész2020]],0)</f>
        <v>1</v>
      </c>
      <c r="N410" s="5">
        <f>IF(Táblázat1[[#This Row],[Karb./akt.év]]-Táblázat1[[#This Row],[Kész2020_2]]&lt;0,0,Táblázat1[[#This Row],[Karb./akt.év]]-Táblázat1[[#This Row],[Kész2020_2]])</f>
        <v>1</v>
      </c>
    </row>
    <row r="411" spans="1:14" hidden="1" x14ac:dyDescent="0.25">
      <c r="A411" s="17" t="s">
        <v>6</v>
      </c>
      <c r="B411" s="17" t="s">
        <v>780</v>
      </c>
      <c r="C411" s="17" t="s">
        <v>1737</v>
      </c>
      <c r="D411" s="17" t="s">
        <v>2556</v>
      </c>
      <c r="E411" s="17" t="s">
        <v>3619</v>
      </c>
      <c r="F411" s="17" t="s">
        <v>3620</v>
      </c>
      <c r="G411" s="17" t="s">
        <v>5724</v>
      </c>
      <c r="H411" t="s">
        <v>7476</v>
      </c>
      <c r="I411" s="1">
        <v>2</v>
      </c>
      <c r="J411" s="1">
        <v>2</v>
      </c>
      <c r="K411" t="s">
        <v>6642</v>
      </c>
      <c r="L411" s="5">
        <f>VLOOKUP(D:D,[1]Munka2!$A:$B,2,FALSE)</f>
        <v>1</v>
      </c>
      <c r="M411" s="5">
        <f>_xlfn.IFNA(Táblázat1[[#This Row],[Kész2020]],0)</f>
        <v>1</v>
      </c>
      <c r="N411" s="5">
        <f>IF(Táblázat1[[#This Row],[Karb./akt.év]]-Táblázat1[[#This Row],[Kész2020_2]]&lt;0,0,Táblázat1[[#This Row],[Karb./akt.év]]-Táblázat1[[#This Row],[Kész2020_2]])</f>
        <v>1</v>
      </c>
    </row>
    <row r="412" spans="1:14" hidden="1" x14ac:dyDescent="0.25">
      <c r="A412" s="17" t="s">
        <v>6</v>
      </c>
      <c r="B412" s="17" t="s">
        <v>333</v>
      </c>
      <c r="C412" s="17" t="s">
        <v>1737</v>
      </c>
      <c r="D412" s="17" t="s">
        <v>2082</v>
      </c>
      <c r="E412" s="17" t="s">
        <v>3726</v>
      </c>
      <c r="F412" s="17" t="s">
        <v>3727</v>
      </c>
      <c r="G412" s="17" t="s">
        <v>5299</v>
      </c>
      <c r="H412" t="s">
        <v>7476</v>
      </c>
      <c r="I412" s="1">
        <v>2</v>
      </c>
      <c r="J412" s="1">
        <v>2</v>
      </c>
      <c r="K412" t="s">
        <v>6642</v>
      </c>
      <c r="L412" s="5">
        <f>VLOOKUP(D:D,[1]Munka2!$A:$B,2,FALSE)</f>
        <v>1</v>
      </c>
      <c r="M412" s="5">
        <f>_xlfn.IFNA(Táblázat1[[#This Row],[Kész2020]],0)</f>
        <v>1</v>
      </c>
      <c r="N412" s="5">
        <f>IF(Táblázat1[[#This Row],[Karb./akt.év]]-Táblázat1[[#This Row],[Kész2020_2]]&lt;0,0,Táblázat1[[#This Row],[Karb./akt.év]]-Táblázat1[[#This Row],[Kész2020_2]])</f>
        <v>1</v>
      </c>
    </row>
    <row r="413" spans="1:14" hidden="1" x14ac:dyDescent="0.25">
      <c r="A413" s="17" t="s">
        <v>6</v>
      </c>
      <c r="B413" s="17" t="s">
        <v>1153</v>
      </c>
      <c r="C413" s="17" t="s">
        <v>1737</v>
      </c>
      <c r="D413" s="17" t="s">
        <v>2951</v>
      </c>
      <c r="E413" s="17" t="s">
        <v>3738</v>
      </c>
      <c r="F413" s="17" t="s">
        <v>3739</v>
      </c>
      <c r="G413" s="17" t="s">
        <v>6081</v>
      </c>
      <c r="H413" t="s">
        <v>7476</v>
      </c>
      <c r="I413" s="1">
        <v>2</v>
      </c>
      <c r="J413" s="1">
        <v>2</v>
      </c>
      <c r="K413" t="s">
        <v>6642</v>
      </c>
      <c r="L413" s="5">
        <f>VLOOKUP(D:D,[1]Munka2!$A:$B,2,FALSE)</f>
        <v>1</v>
      </c>
      <c r="M413" s="5">
        <f>_xlfn.IFNA(Táblázat1[[#This Row],[Kész2020]],0)</f>
        <v>1</v>
      </c>
      <c r="N413" s="5">
        <f>IF(Táblázat1[[#This Row],[Karb./akt.év]]-Táblázat1[[#This Row],[Kész2020_2]]&lt;0,0,Táblázat1[[#This Row],[Karb./akt.év]]-Táblázat1[[#This Row],[Kész2020_2]])</f>
        <v>1</v>
      </c>
    </row>
    <row r="414" spans="1:14" x14ac:dyDescent="0.25">
      <c r="A414" s="17" t="s">
        <v>6</v>
      </c>
      <c r="B414" s="17" t="s">
        <v>1598</v>
      </c>
      <c r="C414" s="17" t="s">
        <v>1743</v>
      </c>
      <c r="D414" s="17" t="s">
        <v>3446</v>
      </c>
      <c r="E414" s="17" t="s">
        <v>4189</v>
      </c>
      <c r="F414" s="17" t="s">
        <v>3679</v>
      </c>
      <c r="G414" s="17" t="s">
        <v>6498</v>
      </c>
      <c r="H414" t="s">
        <v>7476</v>
      </c>
      <c r="I414" s="1">
        <v>2</v>
      </c>
      <c r="J414" s="1">
        <v>2</v>
      </c>
      <c r="K414" t="s">
        <v>6635</v>
      </c>
      <c r="L414" s="5" t="e">
        <f>VLOOKUP(D:D,[1]Munka2!$A:$B,2,FALSE)</f>
        <v>#N/A</v>
      </c>
      <c r="M414" s="5">
        <f>_xlfn.IFNA(Táblázat1[[#This Row],[Kész2020]],0)</f>
        <v>0</v>
      </c>
      <c r="N414" s="5">
        <f>IF(Táblázat1[[#This Row],[Karb./akt.év]]-Táblázat1[[#This Row],[Kész2020_2]]&lt;0,0,Táblázat1[[#This Row],[Karb./akt.év]]-Táblázat1[[#This Row],[Kész2020_2]])</f>
        <v>2</v>
      </c>
    </row>
    <row r="415" spans="1:14" x14ac:dyDescent="0.25">
      <c r="A415" s="17" t="s">
        <v>6</v>
      </c>
      <c r="B415" s="17" t="s">
        <v>210</v>
      </c>
      <c r="C415" s="17" t="s">
        <v>1735</v>
      </c>
      <c r="D415" s="17" t="s">
        <v>1951</v>
      </c>
      <c r="E415" s="17" t="s">
        <v>3822</v>
      </c>
      <c r="F415" s="17" t="s">
        <v>3823</v>
      </c>
      <c r="G415" s="17" t="s">
        <v>5180</v>
      </c>
      <c r="H415" t="s">
        <v>7476</v>
      </c>
      <c r="I415" s="1">
        <v>2</v>
      </c>
      <c r="J415" s="1">
        <v>2</v>
      </c>
      <c r="K415" t="s">
        <v>6784</v>
      </c>
      <c r="L415" s="5" t="e">
        <f>VLOOKUP(D:D,[1]Munka2!$A:$B,2,FALSE)</f>
        <v>#N/A</v>
      </c>
      <c r="M415" s="5">
        <f>_xlfn.IFNA(Táblázat1[[#This Row],[Kész2020]],0)</f>
        <v>0</v>
      </c>
      <c r="N415" s="5">
        <f>IF(Táblázat1[[#This Row],[Karb./akt.év]]-Táblázat1[[#This Row],[Kész2020_2]]&lt;0,0,Táblázat1[[#This Row],[Karb./akt.év]]-Táblázat1[[#This Row],[Kész2020_2]])</f>
        <v>2</v>
      </c>
    </row>
    <row r="416" spans="1:14" x14ac:dyDescent="0.25">
      <c r="A416" s="17" t="s">
        <v>6</v>
      </c>
      <c r="B416" s="17" t="s">
        <v>371</v>
      </c>
      <c r="C416" s="17" t="s">
        <v>1737</v>
      </c>
      <c r="D416" s="17" t="s">
        <v>2125</v>
      </c>
      <c r="E416" s="17" t="s">
        <v>3802</v>
      </c>
      <c r="F416" s="17" t="s">
        <v>3803</v>
      </c>
      <c r="G416" s="17" t="s">
        <v>5339</v>
      </c>
      <c r="H416" t="s">
        <v>7476</v>
      </c>
      <c r="I416" s="1">
        <v>2</v>
      </c>
      <c r="J416" s="1">
        <v>2</v>
      </c>
      <c r="K416" t="s">
        <v>6635</v>
      </c>
      <c r="L416" s="5" t="e">
        <f>VLOOKUP(D:D,[1]Munka2!$A:$B,2,FALSE)</f>
        <v>#N/A</v>
      </c>
      <c r="M416" s="5">
        <f>_xlfn.IFNA(Táblázat1[[#This Row],[Kész2020]],0)</f>
        <v>0</v>
      </c>
      <c r="N416" s="5">
        <f>IF(Táblázat1[[#This Row],[Karb./akt.év]]-Táblázat1[[#This Row],[Kész2020_2]]&lt;0,0,Táblázat1[[#This Row],[Karb./akt.év]]-Táblázat1[[#This Row],[Kész2020_2]])</f>
        <v>2</v>
      </c>
    </row>
    <row r="417" spans="1:14" hidden="1" x14ac:dyDescent="0.25">
      <c r="A417" s="17" t="s">
        <v>6</v>
      </c>
      <c r="B417" s="17" t="s">
        <v>1444</v>
      </c>
      <c r="C417" s="17" t="s">
        <v>1737</v>
      </c>
      <c r="D417" s="17" t="s">
        <v>3275</v>
      </c>
      <c r="E417" s="17" t="s">
        <v>4037</v>
      </c>
      <c r="F417" s="17" t="s">
        <v>4038</v>
      </c>
      <c r="G417" s="17" t="s">
        <v>6350</v>
      </c>
      <c r="H417" t="s">
        <v>7476</v>
      </c>
      <c r="I417" s="1">
        <v>2</v>
      </c>
      <c r="J417" s="1">
        <v>2</v>
      </c>
      <c r="K417" t="s">
        <v>6642</v>
      </c>
      <c r="L417" s="5">
        <f>VLOOKUP(D:D,[1]Munka2!$A:$B,2,FALSE)</f>
        <v>1</v>
      </c>
      <c r="M417" s="5">
        <f>_xlfn.IFNA(Táblázat1[[#This Row],[Kész2020]],0)</f>
        <v>1</v>
      </c>
      <c r="N417" s="5">
        <f>IF(Táblázat1[[#This Row],[Karb./akt.év]]-Táblázat1[[#This Row],[Kész2020_2]]&lt;0,0,Táblázat1[[#This Row],[Karb./akt.év]]-Táblázat1[[#This Row],[Kész2020_2]])</f>
        <v>1</v>
      </c>
    </row>
    <row r="418" spans="1:14" x14ac:dyDescent="0.25">
      <c r="A418" s="17" t="s">
        <v>6</v>
      </c>
      <c r="B418" s="17" t="s">
        <v>989</v>
      </c>
      <c r="C418" s="17" t="s">
        <v>1737</v>
      </c>
      <c r="D418" s="17" t="s">
        <v>2777</v>
      </c>
      <c r="E418" s="17" t="s">
        <v>3740</v>
      </c>
      <c r="F418" s="17" t="s">
        <v>3679</v>
      </c>
      <c r="G418" s="17" t="s">
        <v>5918</v>
      </c>
      <c r="H418" t="s">
        <v>7476</v>
      </c>
      <c r="I418" s="1">
        <v>2</v>
      </c>
      <c r="J418" s="1">
        <v>2</v>
      </c>
      <c r="K418" t="s">
        <v>6635</v>
      </c>
      <c r="L418" s="5" t="e">
        <f>VLOOKUP(D:D,[1]Munka2!$A:$B,2,FALSE)</f>
        <v>#N/A</v>
      </c>
      <c r="M418" s="5">
        <f>_xlfn.IFNA(Táblázat1[[#This Row],[Kész2020]],0)</f>
        <v>0</v>
      </c>
      <c r="N418" s="5">
        <f>IF(Táblázat1[[#This Row],[Karb./akt.év]]-Táblázat1[[#This Row],[Kész2020_2]]&lt;0,0,Táblázat1[[#This Row],[Karb./akt.év]]-Táblázat1[[#This Row],[Kész2020_2]])</f>
        <v>2</v>
      </c>
    </row>
    <row r="419" spans="1:14" x14ac:dyDescent="0.25">
      <c r="A419" s="17" t="s">
        <v>6</v>
      </c>
      <c r="B419" s="17" t="s">
        <v>387</v>
      </c>
      <c r="C419" s="17" t="s">
        <v>1735</v>
      </c>
      <c r="D419" s="17" t="s">
        <v>2143</v>
      </c>
      <c r="E419" s="17" t="s">
        <v>3840</v>
      </c>
      <c r="F419" s="17" t="s">
        <v>3841</v>
      </c>
      <c r="G419" s="17" t="s">
        <v>5355</v>
      </c>
      <c r="H419" t="s">
        <v>7476</v>
      </c>
      <c r="I419" s="1">
        <v>2</v>
      </c>
      <c r="J419" s="1">
        <v>2</v>
      </c>
      <c r="K419" t="s">
        <v>6635</v>
      </c>
      <c r="L419" s="5" t="e">
        <f>VLOOKUP(D:D,[1]Munka2!$A:$B,2,FALSE)</f>
        <v>#N/A</v>
      </c>
      <c r="M419" s="5">
        <f>_xlfn.IFNA(Táblázat1[[#This Row],[Kész2020]],0)</f>
        <v>0</v>
      </c>
      <c r="N419" s="5">
        <f>IF(Táblázat1[[#This Row],[Karb./akt.év]]-Táblázat1[[#This Row],[Kész2020_2]]&lt;0,0,Táblázat1[[#This Row],[Karb./akt.év]]-Táblázat1[[#This Row],[Kész2020_2]])</f>
        <v>2</v>
      </c>
    </row>
    <row r="420" spans="1:14" hidden="1" x14ac:dyDescent="0.25">
      <c r="A420" s="17" t="s">
        <v>6</v>
      </c>
      <c r="B420" s="17" t="s">
        <v>986</v>
      </c>
      <c r="C420" s="17" t="s">
        <v>1737</v>
      </c>
      <c r="D420" s="17" t="s">
        <v>2774</v>
      </c>
      <c r="E420" s="17" t="s">
        <v>3836</v>
      </c>
      <c r="F420" s="17" t="s">
        <v>3837</v>
      </c>
      <c r="G420" s="17" t="s">
        <v>5915</v>
      </c>
      <c r="H420" t="s">
        <v>7476</v>
      </c>
      <c r="I420" s="1">
        <v>2</v>
      </c>
      <c r="J420" s="1">
        <v>2</v>
      </c>
      <c r="K420" t="s">
        <v>8103</v>
      </c>
      <c r="L420" s="5">
        <f>VLOOKUP(D:D,[1]Munka2!$A:$B,2,FALSE)</f>
        <v>1</v>
      </c>
      <c r="M420" s="5">
        <f>_xlfn.IFNA(Táblázat1[[#This Row],[Kész2020]],0)</f>
        <v>1</v>
      </c>
      <c r="N420" s="5">
        <f>IF(Táblázat1[[#This Row],[Karb./akt.év]]-Táblázat1[[#This Row],[Kész2020_2]]&lt;0,0,Táblázat1[[#This Row],[Karb./akt.év]]-Táblázat1[[#This Row],[Kész2020_2]])</f>
        <v>1</v>
      </c>
    </row>
    <row r="421" spans="1:14" hidden="1" x14ac:dyDescent="0.25">
      <c r="A421" s="17" t="s">
        <v>6</v>
      </c>
      <c r="B421" s="17" t="s">
        <v>218</v>
      </c>
      <c r="C421" s="17" t="s">
        <v>1736</v>
      </c>
      <c r="D421" s="17" t="s">
        <v>1961</v>
      </c>
      <c r="E421" s="17" t="s">
        <v>3619</v>
      </c>
      <c r="F421" s="17" t="s">
        <v>3620</v>
      </c>
      <c r="G421" s="17" t="s">
        <v>5186</v>
      </c>
      <c r="H421" t="s">
        <v>7476</v>
      </c>
      <c r="I421" s="1">
        <v>2</v>
      </c>
      <c r="J421" s="1">
        <v>2</v>
      </c>
      <c r="K421" t="s">
        <v>6642</v>
      </c>
      <c r="L421" s="5">
        <f>VLOOKUP(D:D,[1]Munka2!$A:$B,2,FALSE)</f>
        <v>1</v>
      </c>
      <c r="M421" s="5">
        <f>_xlfn.IFNA(Táblázat1[[#This Row],[Kész2020]],0)</f>
        <v>1</v>
      </c>
      <c r="N421" s="5">
        <f>IF(Táblázat1[[#This Row],[Karb./akt.év]]-Táblázat1[[#This Row],[Kész2020_2]]&lt;0,0,Táblázat1[[#This Row],[Karb./akt.év]]-Táblázat1[[#This Row],[Kész2020_2]])</f>
        <v>1</v>
      </c>
    </row>
    <row r="422" spans="1:14" hidden="1" x14ac:dyDescent="0.25">
      <c r="A422" s="17" t="s">
        <v>6</v>
      </c>
      <c r="B422" s="17" t="s">
        <v>1641</v>
      </c>
      <c r="C422" s="17" t="s">
        <v>1737</v>
      </c>
      <c r="D422" s="17" t="s">
        <v>3495</v>
      </c>
      <c r="E422" s="17" t="s">
        <v>3890</v>
      </c>
      <c r="F422" s="17" t="s">
        <v>3891</v>
      </c>
      <c r="G422" s="17" t="s">
        <v>6535</v>
      </c>
      <c r="H422" t="s">
        <v>7476</v>
      </c>
      <c r="I422" s="1">
        <v>2</v>
      </c>
      <c r="J422" s="1">
        <v>2</v>
      </c>
      <c r="K422" t="s">
        <v>8103</v>
      </c>
      <c r="L422" s="5">
        <f>VLOOKUP(D:D,[1]Munka2!$A:$B,2,FALSE)</f>
        <v>1</v>
      </c>
      <c r="M422" s="5">
        <f>_xlfn.IFNA(Táblázat1[[#This Row],[Kész2020]],0)</f>
        <v>1</v>
      </c>
      <c r="N422" s="5">
        <f>IF(Táblázat1[[#This Row],[Karb./akt.év]]-Táblázat1[[#This Row],[Kész2020_2]]&lt;0,0,Táblázat1[[#This Row],[Karb./akt.év]]-Táblázat1[[#This Row],[Kész2020_2]])</f>
        <v>1</v>
      </c>
    </row>
    <row r="423" spans="1:14" x14ac:dyDescent="0.25">
      <c r="A423" s="17" t="s">
        <v>6</v>
      </c>
      <c r="B423" s="17" t="s">
        <v>6795</v>
      </c>
      <c r="C423" s="17" t="s">
        <v>1736</v>
      </c>
      <c r="D423" s="17" t="s">
        <v>6811</v>
      </c>
      <c r="E423" s="17" t="s">
        <v>3763</v>
      </c>
      <c r="F423" s="17" t="s">
        <v>3764</v>
      </c>
      <c r="G423" s="17" t="s">
        <v>5134</v>
      </c>
      <c r="H423" t="s">
        <v>7476</v>
      </c>
      <c r="I423" s="1">
        <v>2</v>
      </c>
      <c r="J423" s="1">
        <v>2</v>
      </c>
      <c r="K423" t="s">
        <v>8103</v>
      </c>
      <c r="L423" s="5" t="e">
        <f>VLOOKUP(D:D,[1]Munka2!$A:$B,2,FALSE)</f>
        <v>#N/A</v>
      </c>
      <c r="M423" s="5">
        <f>_xlfn.IFNA(Táblázat1[[#This Row],[Kész2020]],0)</f>
        <v>0</v>
      </c>
      <c r="N423" s="5">
        <f>IF(Táblázat1[[#This Row],[Karb./akt.év]]-Táblázat1[[#This Row],[Kész2020_2]]&lt;0,0,Táblázat1[[#This Row],[Karb./akt.év]]-Táblázat1[[#This Row],[Kész2020_2]])</f>
        <v>2</v>
      </c>
    </row>
    <row r="424" spans="1:14" hidden="1" x14ac:dyDescent="0.25">
      <c r="A424" s="17" t="s">
        <v>6</v>
      </c>
      <c r="B424" s="17" t="s">
        <v>1699</v>
      </c>
      <c r="C424" s="17" t="s">
        <v>1743</v>
      </c>
      <c r="D424" s="17" t="s">
        <v>3556</v>
      </c>
      <c r="E424" s="17" t="s">
        <v>3678</v>
      </c>
      <c r="F424" s="17" t="s">
        <v>3679</v>
      </c>
      <c r="G424" s="17" t="s">
        <v>6595</v>
      </c>
      <c r="H424" t="s">
        <v>7476</v>
      </c>
      <c r="I424" s="1">
        <v>2</v>
      </c>
      <c r="J424" s="1">
        <v>2</v>
      </c>
      <c r="K424" t="s">
        <v>6635</v>
      </c>
      <c r="L424" s="5">
        <f>VLOOKUP(D:D,[1]Munka2!$A:$B,2,FALSE)</f>
        <v>1</v>
      </c>
      <c r="M424" s="5">
        <f>_xlfn.IFNA(Táblázat1[[#This Row],[Kész2020]],0)</f>
        <v>1</v>
      </c>
      <c r="N424" s="5">
        <f>IF(Táblázat1[[#This Row],[Karb./akt.év]]-Táblázat1[[#This Row],[Kész2020_2]]&lt;0,0,Táblázat1[[#This Row],[Karb./akt.év]]-Táblázat1[[#This Row],[Kész2020_2]])</f>
        <v>1</v>
      </c>
    </row>
    <row r="425" spans="1:14" hidden="1" x14ac:dyDescent="0.25">
      <c r="A425" s="17" t="s">
        <v>6</v>
      </c>
      <c r="B425" s="17" t="s">
        <v>6844</v>
      </c>
      <c r="C425" s="17" t="s">
        <v>1736</v>
      </c>
      <c r="D425" s="17" t="s">
        <v>6874</v>
      </c>
      <c r="E425" s="17" t="s">
        <v>4037</v>
      </c>
      <c r="F425" s="17" t="s">
        <v>4038</v>
      </c>
      <c r="G425" s="17" t="s">
        <v>6915</v>
      </c>
      <c r="H425" t="s">
        <v>7476</v>
      </c>
      <c r="I425" s="1">
        <v>2</v>
      </c>
      <c r="J425" s="1">
        <v>2</v>
      </c>
      <c r="K425" t="s">
        <v>6642</v>
      </c>
      <c r="L425" s="5">
        <f>VLOOKUP(D:D,[1]Munka2!$A:$B,2,FALSE)</f>
        <v>1</v>
      </c>
      <c r="M425" s="5">
        <f>_xlfn.IFNA(Táblázat1[[#This Row],[Kész2020]],0)</f>
        <v>1</v>
      </c>
      <c r="N425" s="5">
        <f>IF(Táblázat1[[#This Row],[Karb./akt.év]]-Táblázat1[[#This Row],[Kész2020_2]]&lt;0,0,Táblázat1[[#This Row],[Karb./akt.év]]-Táblázat1[[#This Row],[Kész2020_2]])</f>
        <v>1</v>
      </c>
    </row>
    <row r="426" spans="1:14" x14ac:dyDescent="0.25">
      <c r="A426" s="17" t="s">
        <v>6</v>
      </c>
      <c r="B426" s="17" t="s">
        <v>6706</v>
      </c>
      <c r="C426" s="17" t="s">
        <v>1737</v>
      </c>
      <c r="D426" s="17" t="s">
        <v>2339</v>
      </c>
      <c r="E426" s="17" t="s">
        <v>4192</v>
      </c>
      <c r="F426" s="17" t="s">
        <v>4193</v>
      </c>
      <c r="G426" s="17" t="s">
        <v>5530</v>
      </c>
      <c r="H426" t="s">
        <v>7476</v>
      </c>
      <c r="I426" s="1">
        <v>2</v>
      </c>
      <c r="J426" s="1">
        <v>2</v>
      </c>
      <c r="K426" t="s">
        <v>6635</v>
      </c>
      <c r="L426" s="5" t="e">
        <f>VLOOKUP(D:D,[1]Munka2!$A:$B,2,FALSE)</f>
        <v>#N/A</v>
      </c>
      <c r="M426" s="5">
        <f>_xlfn.IFNA(Táblázat1[[#This Row],[Kész2020]],0)</f>
        <v>0</v>
      </c>
      <c r="N426" s="5">
        <f>IF(Táblázat1[[#This Row],[Karb./akt.év]]-Táblázat1[[#This Row],[Kész2020_2]]&lt;0,0,Táblázat1[[#This Row],[Karb./akt.év]]-Táblázat1[[#This Row],[Kész2020_2]])</f>
        <v>2</v>
      </c>
    </row>
    <row r="427" spans="1:14" hidden="1" x14ac:dyDescent="0.25">
      <c r="A427" s="17" t="s">
        <v>6</v>
      </c>
      <c r="B427" s="17" t="s">
        <v>1050</v>
      </c>
      <c r="C427" s="17" t="s">
        <v>1736</v>
      </c>
      <c r="D427" s="17" t="s">
        <v>2837</v>
      </c>
      <c r="E427" s="17" t="s">
        <v>3782</v>
      </c>
      <c r="F427" s="17" t="s">
        <v>3783</v>
      </c>
      <c r="G427" s="17" t="s">
        <v>5979</v>
      </c>
      <c r="H427" t="s">
        <v>7476</v>
      </c>
      <c r="I427" s="1">
        <v>2</v>
      </c>
      <c r="J427" s="1">
        <v>2</v>
      </c>
      <c r="K427" t="s">
        <v>8103</v>
      </c>
      <c r="L427" s="5">
        <f>VLOOKUP(D:D,[1]Munka2!$A:$B,2,FALSE)</f>
        <v>1</v>
      </c>
      <c r="M427" s="5">
        <f>_xlfn.IFNA(Táblázat1[[#This Row],[Kész2020]],0)</f>
        <v>1</v>
      </c>
      <c r="N427" s="5">
        <f>IF(Táblázat1[[#This Row],[Karb./akt.év]]-Táblázat1[[#This Row],[Kész2020_2]]&lt;0,0,Táblázat1[[#This Row],[Karb./akt.év]]-Táblázat1[[#This Row],[Kész2020_2]])</f>
        <v>1</v>
      </c>
    </row>
    <row r="428" spans="1:14" hidden="1" x14ac:dyDescent="0.25">
      <c r="A428" s="17" t="s">
        <v>6</v>
      </c>
      <c r="B428" s="17" t="s">
        <v>7015</v>
      </c>
      <c r="C428" s="17" t="s">
        <v>1737</v>
      </c>
      <c r="D428" s="17" t="s">
        <v>7016</v>
      </c>
      <c r="E428" s="17" t="s">
        <v>3619</v>
      </c>
      <c r="F428" s="17" t="s">
        <v>3620</v>
      </c>
      <c r="G428" s="17" t="s">
        <v>6583</v>
      </c>
      <c r="H428" t="s">
        <v>7476</v>
      </c>
      <c r="I428" s="1">
        <v>2</v>
      </c>
      <c r="J428" s="1">
        <v>2</v>
      </c>
      <c r="K428" t="s">
        <v>6642</v>
      </c>
      <c r="L428" s="5">
        <f>VLOOKUP(D:D,[1]Munka2!$A:$B,2,FALSE)</f>
        <v>1</v>
      </c>
      <c r="M428" s="5">
        <f>_xlfn.IFNA(Táblázat1[[#This Row],[Kész2020]],0)</f>
        <v>1</v>
      </c>
      <c r="N428" s="5">
        <f>IF(Táblázat1[[#This Row],[Karb./akt.év]]-Táblázat1[[#This Row],[Kész2020_2]]&lt;0,0,Táblázat1[[#This Row],[Karb./akt.év]]-Táblázat1[[#This Row],[Kész2020_2]])</f>
        <v>1</v>
      </c>
    </row>
    <row r="429" spans="1:14" hidden="1" x14ac:dyDescent="0.25">
      <c r="A429" s="17" t="s">
        <v>6</v>
      </c>
      <c r="B429" s="17" t="s">
        <v>1189</v>
      </c>
      <c r="C429" s="17" t="s">
        <v>1735</v>
      </c>
      <c r="D429" s="17" t="s">
        <v>2994</v>
      </c>
      <c r="E429" s="17" t="s">
        <v>3689</v>
      </c>
      <c r="F429" s="17" t="s">
        <v>3690</v>
      </c>
      <c r="G429" s="17" t="s">
        <v>6117</v>
      </c>
      <c r="H429" t="s">
        <v>7476</v>
      </c>
      <c r="I429" s="1">
        <v>2</v>
      </c>
      <c r="J429" s="1">
        <v>2</v>
      </c>
      <c r="K429" t="s">
        <v>6784</v>
      </c>
      <c r="L429" s="5">
        <f>VLOOKUP(D:D,[1]Munka2!$A:$B,2,FALSE)</f>
        <v>1</v>
      </c>
      <c r="M429" s="5">
        <f>_xlfn.IFNA(Táblázat1[[#This Row],[Kész2020]],0)</f>
        <v>1</v>
      </c>
      <c r="N429" s="5">
        <f>IF(Táblázat1[[#This Row],[Karb./akt.év]]-Táblázat1[[#This Row],[Kész2020_2]]&lt;0,0,Táblázat1[[#This Row],[Karb./akt.év]]-Táblázat1[[#This Row],[Kész2020_2]])</f>
        <v>1</v>
      </c>
    </row>
    <row r="430" spans="1:14" x14ac:dyDescent="0.25">
      <c r="A430" s="17" t="s">
        <v>6</v>
      </c>
      <c r="B430" s="17" t="s">
        <v>1217</v>
      </c>
      <c r="C430" s="17" t="s">
        <v>1743</v>
      </c>
      <c r="D430" s="17" t="s">
        <v>3024</v>
      </c>
      <c r="E430" s="17" t="s">
        <v>3605</v>
      </c>
      <c r="F430" s="17" t="s">
        <v>3606</v>
      </c>
      <c r="G430" s="17" t="s">
        <v>6146</v>
      </c>
      <c r="H430" t="s">
        <v>7476</v>
      </c>
      <c r="I430" s="1">
        <v>2</v>
      </c>
      <c r="J430" s="1">
        <v>2</v>
      </c>
      <c r="K430" t="s">
        <v>6635</v>
      </c>
      <c r="L430" s="5" t="e">
        <f>VLOOKUP(D:D,[1]Munka2!$A:$B,2,FALSE)</f>
        <v>#N/A</v>
      </c>
      <c r="M430" s="5">
        <f>_xlfn.IFNA(Táblázat1[[#This Row],[Kész2020]],0)</f>
        <v>0</v>
      </c>
      <c r="N430" s="5">
        <f>IF(Táblázat1[[#This Row],[Karb./akt.év]]-Táblázat1[[#This Row],[Kész2020_2]]&lt;0,0,Táblázat1[[#This Row],[Karb./akt.év]]-Táblázat1[[#This Row],[Kész2020_2]])</f>
        <v>2</v>
      </c>
    </row>
    <row r="431" spans="1:14" hidden="1" x14ac:dyDescent="0.25">
      <c r="A431" s="17" t="s">
        <v>6</v>
      </c>
      <c r="B431" s="17" t="s">
        <v>1355</v>
      </c>
      <c r="C431" s="17" t="s">
        <v>1735</v>
      </c>
      <c r="D431" s="17" t="s">
        <v>3172</v>
      </c>
      <c r="E431" s="17" t="s">
        <v>4818</v>
      </c>
      <c r="F431" s="17" t="s">
        <v>4819</v>
      </c>
      <c r="G431" s="17" t="s">
        <v>6267</v>
      </c>
      <c r="H431" t="s">
        <v>7476</v>
      </c>
      <c r="I431" s="1">
        <v>2</v>
      </c>
      <c r="J431" s="1">
        <v>2</v>
      </c>
      <c r="K431" t="s">
        <v>8103</v>
      </c>
      <c r="L431" s="5">
        <f>VLOOKUP(D:D,[1]Munka2!$A:$B,2,FALSE)</f>
        <v>1</v>
      </c>
      <c r="M431" s="5">
        <f>_xlfn.IFNA(Táblázat1[[#This Row],[Kész2020]],0)</f>
        <v>1</v>
      </c>
      <c r="N431" s="5">
        <f>IF(Táblázat1[[#This Row],[Karb./akt.év]]-Táblázat1[[#This Row],[Kész2020_2]]&lt;0,0,Táblázat1[[#This Row],[Karb./akt.év]]-Táblázat1[[#This Row],[Kész2020_2]])</f>
        <v>1</v>
      </c>
    </row>
    <row r="432" spans="1:14" hidden="1" x14ac:dyDescent="0.25">
      <c r="A432" s="17" t="s">
        <v>6</v>
      </c>
      <c r="B432" s="17" t="s">
        <v>1596</v>
      </c>
      <c r="C432" s="17" t="s">
        <v>1736</v>
      </c>
      <c r="D432" s="17" t="s">
        <v>3443</v>
      </c>
      <c r="E432" s="17" t="s">
        <v>3782</v>
      </c>
      <c r="F432" s="17" t="s">
        <v>3783</v>
      </c>
      <c r="G432" s="17" t="s">
        <v>6495</v>
      </c>
      <c r="H432" t="s">
        <v>7476</v>
      </c>
      <c r="I432" s="1">
        <v>2</v>
      </c>
      <c r="J432" s="1">
        <v>2</v>
      </c>
      <c r="K432" t="s">
        <v>8103</v>
      </c>
      <c r="L432" s="5">
        <f>VLOOKUP(D:D,[1]Munka2!$A:$B,2,FALSE)</f>
        <v>1</v>
      </c>
      <c r="M432" s="5">
        <f>_xlfn.IFNA(Táblázat1[[#This Row],[Kész2020]],0)</f>
        <v>1</v>
      </c>
      <c r="N432" s="5">
        <f>IF(Táblázat1[[#This Row],[Karb./akt.év]]-Táblázat1[[#This Row],[Kész2020_2]]&lt;0,0,Táblázat1[[#This Row],[Karb./akt.év]]-Táblázat1[[#This Row],[Kész2020_2]])</f>
        <v>1</v>
      </c>
    </row>
    <row r="433" spans="1:14" x14ac:dyDescent="0.25">
      <c r="A433" s="17" t="s">
        <v>6</v>
      </c>
      <c r="B433" s="17" t="s">
        <v>143</v>
      </c>
      <c r="C433" s="17" t="s">
        <v>1737</v>
      </c>
      <c r="D433" s="17" t="s">
        <v>1883</v>
      </c>
      <c r="E433" s="17" t="s">
        <v>3711</v>
      </c>
      <c r="F433" s="17" t="s">
        <v>3712</v>
      </c>
      <c r="G433" s="17" t="s">
        <v>5116</v>
      </c>
      <c r="H433" t="s">
        <v>7476</v>
      </c>
      <c r="I433" s="1">
        <v>2</v>
      </c>
      <c r="J433" s="1">
        <v>2</v>
      </c>
      <c r="K433" t="s">
        <v>6633</v>
      </c>
      <c r="L433" s="5" t="e">
        <f>VLOOKUP(D:D,[1]Munka2!$A:$B,2,FALSE)</f>
        <v>#N/A</v>
      </c>
      <c r="M433" s="5">
        <f>_xlfn.IFNA(Táblázat1[[#This Row],[Kész2020]],0)</f>
        <v>0</v>
      </c>
      <c r="N433" s="5">
        <f>IF(Táblázat1[[#This Row],[Karb./akt.év]]-Táblázat1[[#This Row],[Kész2020_2]]&lt;0,0,Táblázat1[[#This Row],[Karb./akt.év]]-Táblázat1[[#This Row],[Kész2020_2]])</f>
        <v>2</v>
      </c>
    </row>
    <row r="434" spans="1:14" hidden="1" x14ac:dyDescent="0.25">
      <c r="A434" s="17" t="s">
        <v>6</v>
      </c>
      <c r="B434" s="17" t="s">
        <v>365</v>
      </c>
      <c r="C434" s="17" t="s">
        <v>1737</v>
      </c>
      <c r="D434" s="17" t="s">
        <v>2120</v>
      </c>
      <c r="E434" s="17" t="s">
        <v>3995</v>
      </c>
      <c r="F434" s="17" t="s">
        <v>3996</v>
      </c>
      <c r="G434" s="17" t="s">
        <v>5332</v>
      </c>
      <c r="H434" t="s">
        <v>7476</v>
      </c>
      <c r="I434" s="1">
        <v>2</v>
      </c>
      <c r="J434" s="1">
        <v>2</v>
      </c>
      <c r="K434" t="s">
        <v>6784</v>
      </c>
      <c r="L434" s="5">
        <f>VLOOKUP(D:D,[1]Munka2!$A:$B,2,FALSE)</f>
        <v>1</v>
      </c>
      <c r="M434" s="5">
        <f>_xlfn.IFNA(Táblázat1[[#This Row],[Kész2020]],0)</f>
        <v>1</v>
      </c>
      <c r="N434" s="5">
        <f>IF(Táblázat1[[#This Row],[Karb./akt.év]]-Táblázat1[[#This Row],[Kész2020_2]]&lt;0,0,Táblázat1[[#This Row],[Karb./akt.év]]-Táblázat1[[#This Row],[Kész2020_2]])</f>
        <v>1</v>
      </c>
    </row>
    <row r="435" spans="1:14" hidden="1" x14ac:dyDescent="0.25">
      <c r="A435" s="17" t="s">
        <v>6</v>
      </c>
      <c r="B435" s="17" t="s">
        <v>6737</v>
      </c>
      <c r="C435" s="17" t="s">
        <v>1737</v>
      </c>
      <c r="D435" s="17" t="s">
        <v>3038</v>
      </c>
      <c r="E435" s="17" t="s">
        <v>4292</v>
      </c>
      <c r="F435" s="17" t="s">
        <v>4293</v>
      </c>
      <c r="G435" s="17" t="s">
        <v>6159</v>
      </c>
      <c r="H435" t="s">
        <v>7476</v>
      </c>
      <c r="I435" s="1">
        <v>2</v>
      </c>
      <c r="J435" s="1">
        <v>2</v>
      </c>
      <c r="K435" t="s">
        <v>6642</v>
      </c>
      <c r="L435" s="5">
        <f>VLOOKUP(D:D,[1]Munka2!$A:$B,2,FALSE)</f>
        <v>1</v>
      </c>
      <c r="M435" s="5">
        <f>_xlfn.IFNA(Táblázat1[[#This Row],[Kész2020]],0)</f>
        <v>1</v>
      </c>
      <c r="N435" s="5">
        <f>IF(Táblázat1[[#This Row],[Karb./akt.év]]-Táblázat1[[#This Row],[Kész2020_2]]&lt;0,0,Táblázat1[[#This Row],[Karb./akt.év]]-Táblázat1[[#This Row],[Kész2020_2]])</f>
        <v>1</v>
      </c>
    </row>
    <row r="436" spans="1:14" hidden="1" x14ac:dyDescent="0.25">
      <c r="A436" s="17" t="s">
        <v>6</v>
      </c>
      <c r="B436" s="17" t="s">
        <v>960</v>
      </c>
      <c r="C436" s="17" t="s">
        <v>1736</v>
      </c>
      <c r="D436" s="17" t="s">
        <v>2746</v>
      </c>
      <c r="E436" s="17" t="s">
        <v>3782</v>
      </c>
      <c r="F436" s="17" t="s">
        <v>3783</v>
      </c>
      <c r="G436" s="17" t="s">
        <v>5889</v>
      </c>
      <c r="H436" t="s">
        <v>7476</v>
      </c>
      <c r="I436" s="1">
        <v>2</v>
      </c>
      <c r="J436" s="1">
        <v>2</v>
      </c>
      <c r="K436" t="s">
        <v>8103</v>
      </c>
      <c r="L436" s="5">
        <f>VLOOKUP(D:D,[1]Munka2!$A:$B,2,FALSE)</f>
        <v>1</v>
      </c>
      <c r="M436" s="5">
        <f>_xlfn.IFNA(Táblázat1[[#This Row],[Kész2020]],0)</f>
        <v>1</v>
      </c>
      <c r="N436" s="5">
        <f>IF(Táblázat1[[#This Row],[Karb./akt.év]]-Táblázat1[[#This Row],[Kész2020_2]]&lt;0,0,Táblázat1[[#This Row],[Karb./akt.év]]-Táblázat1[[#This Row],[Kész2020_2]])</f>
        <v>1</v>
      </c>
    </row>
    <row r="437" spans="1:14" x14ac:dyDescent="0.25">
      <c r="A437" s="17" t="s">
        <v>6</v>
      </c>
      <c r="B437" s="17" t="s">
        <v>650</v>
      </c>
      <c r="C437" s="17" t="s">
        <v>1737</v>
      </c>
      <c r="D437" s="17" t="s">
        <v>2425</v>
      </c>
      <c r="E437" s="17" t="s">
        <v>4192</v>
      </c>
      <c r="F437" s="17" t="s">
        <v>4193</v>
      </c>
      <c r="G437" s="17" t="s">
        <v>5608</v>
      </c>
      <c r="H437" t="s">
        <v>7476</v>
      </c>
      <c r="I437" s="1">
        <v>2</v>
      </c>
      <c r="J437" s="1">
        <v>2</v>
      </c>
      <c r="K437" t="s">
        <v>6635</v>
      </c>
      <c r="L437" s="5" t="e">
        <f>VLOOKUP(D:D,[1]Munka2!$A:$B,2,FALSE)</f>
        <v>#N/A</v>
      </c>
      <c r="M437" s="5">
        <f>_xlfn.IFNA(Táblázat1[[#This Row],[Kész2020]],0)</f>
        <v>0</v>
      </c>
      <c r="N437" s="5">
        <f>IF(Táblázat1[[#This Row],[Karb./akt.év]]-Táblázat1[[#This Row],[Kész2020_2]]&lt;0,0,Táblázat1[[#This Row],[Karb./akt.év]]-Táblázat1[[#This Row],[Kész2020_2]])</f>
        <v>2</v>
      </c>
    </row>
    <row r="438" spans="1:14" hidden="1" x14ac:dyDescent="0.25">
      <c r="A438" s="17" t="s">
        <v>6</v>
      </c>
      <c r="B438" s="17" t="s">
        <v>106</v>
      </c>
      <c r="C438" s="17" t="s">
        <v>1736</v>
      </c>
      <c r="D438" s="17" t="s">
        <v>1845</v>
      </c>
      <c r="E438" s="17" t="s">
        <v>3625</v>
      </c>
      <c r="F438" s="17" t="s">
        <v>3626</v>
      </c>
      <c r="G438" s="17" t="s">
        <v>5077</v>
      </c>
      <c r="H438" t="s">
        <v>7476</v>
      </c>
      <c r="I438" s="1">
        <v>2</v>
      </c>
      <c r="J438" s="1">
        <v>2</v>
      </c>
      <c r="K438" t="s">
        <v>6642</v>
      </c>
      <c r="L438" s="5">
        <f>VLOOKUP(D:D,[1]Munka2!$A:$B,2,FALSE)</f>
        <v>1</v>
      </c>
      <c r="M438" s="5">
        <f>_xlfn.IFNA(Táblázat1[[#This Row],[Kész2020]],0)</f>
        <v>1</v>
      </c>
      <c r="N438" s="5">
        <f>IF(Táblázat1[[#This Row],[Karb./akt.év]]-Táblázat1[[#This Row],[Kész2020_2]]&lt;0,0,Táblázat1[[#This Row],[Karb./akt.év]]-Táblázat1[[#This Row],[Kész2020_2]])</f>
        <v>1</v>
      </c>
    </row>
    <row r="439" spans="1:14" x14ac:dyDescent="0.25">
      <c r="A439" s="17" t="s">
        <v>6</v>
      </c>
      <c r="B439" s="17" t="s">
        <v>962</v>
      </c>
      <c r="C439" s="17" t="s">
        <v>1736</v>
      </c>
      <c r="D439" s="17" t="s">
        <v>2748</v>
      </c>
      <c r="E439" s="17" t="s">
        <v>4543</v>
      </c>
      <c r="F439" s="17" t="s">
        <v>4544</v>
      </c>
      <c r="G439" s="17" t="s">
        <v>5891</v>
      </c>
      <c r="H439" t="s">
        <v>7476</v>
      </c>
      <c r="I439" s="1">
        <v>2</v>
      </c>
      <c r="J439" s="1">
        <v>2</v>
      </c>
      <c r="K439" t="s">
        <v>6635</v>
      </c>
      <c r="L439" s="5" t="e">
        <f>VLOOKUP(D:D,[1]Munka2!$A:$B,2,FALSE)</f>
        <v>#N/A</v>
      </c>
      <c r="M439" s="5">
        <f>_xlfn.IFNA(Táblázat1[[#This Row],[Kész2020]],0)</f>
        <v>0</v>
      </c>
      <c r="N439" s="5">
        <f>IF(Táblázat1[[#This Row],[Karb./akt.év]]-Táblázat1[[#This Row],[Kész2020_2]]&lt;0,0,Táblázat1[[#This Row],[Karb./akt.év]]-Táblázat1[[#This Row],[Kész2020_2]])</f>
        <v>2</v>
      </c>
    </row>
    <row r="440" spans="1:14" hidden="1" x14ac:dyDescent="0.25">
      <c r="A440" s="17" t="s">
        <v>6</v>
      </c>
      <c r="B440" s="17" t="s">
        <v>55</v>
      </c>
      <c r="C440" s="17" t="s">
        <v>1742</v>
      </c>
      <c r="D440" s="17" t="s">
        <v>1793</v>
      </c>
      <c r="E440" s="17" t="s">
        <v>3609</v>
      </c>
      <c r="F440" s="17" t="s">
        <v>3610</v>
      </c>
      <c r="G440" s="17" t="s">
        <v>5031</v>
      </c>
      <c r="H440" t="s">
        <v>7476</v>
      </c>
      <c r="I440" s="1">
        <v>2</v>
      </c>
      <c r="J440" s="1">
        <v>2</v>
      </c>
      <c r="K440" t="s">
        <v>6784</v>
      </c>
      <c r="L440" s="5">
        <f>VLOOKUP(D:D,[1]Munka2!$A:$B,2,FALSE)</f>
        <v>1</v>
      </c>
      <c r="M440" s="5">
        <f>_xlfn.IFNA(Táblázat1[[#This Row],[Kész2020]],0)</f>
        <v>1</v>
      </c>
      <c r="N440" s="5">
        <f>IF(Táblázat1[[#This Row],[Karb./akt.év]]-Táblázat1[[#This Row],[Kész2020_2]]&lt;0,0,Táblázat1[[#This Row],[Karb./akt.év]]-Táblázat1[[#This Row],[Kész2020_2]])</f>
        <v>1</v>
      </c>
    </row>
    <row r="441" spans="1:14" hidden="1" x14ac:dyDescent="0.25">
      <c r="A441" s="17" t="s">
        <v>6</v>
      </c>
      <c r="B441" s="17" t="s">
        <v>1421</v>
      </c>
      <c r="C441" s="17" t="s">
        <v>1735</v>
      </c>
      <c r="D441" s="17" t="s">
        <v>3251</v>
      </c>
      <c r="E441" s="17" t="s">
        <v>3840</v>
      </c>
      <c r="F441" s="17" t="s">
        <v>3841</v>
      </c>
      <c r="G441" s="17" t="s">
        <v>6325</v>
      </c>
      <c r="H441" t="s">
        <v>7476</v>
      </c>
      <c r="I441" s="1">
        <v>2</v>
      </c>
      <c r="J441" s="1">
        <v>2</v>
      </c>
      <c r="K441" t="s">
        <v>6635</v>
      </c>
      <c r="L441" s="5">
        <f>VLOOKUP(D:D,[1]Munka2!$A:$B,2,FALSE)</f>
        <v>1</v>
      </c>
      <c r="M441" s="5">
        <f>_xlfn.IFNA(Táblázat1[[#This Row],[Kész2020]],0)</f>
        <v>1</v>
      </c>
      <c r="N441" s="5">
        <f>IF(Táblázat1[[#This Row],[Karb./akt.év]]-Táblázat1[[#This Row],[Kész2020_2]]&lt;0,0,Táblázat1[[#This Row],[Karb./akt.év]]-Táblázat1[[#This Row],[Kész2020_2]])</f>
        <v>1</v>
      </c>
    </row>
    <row r="442" spans="1:14" hidden="1" x14ac:dyDescent="0.25">
      <c r="A442" s="17" t="s">
        <v>6</v>
      </c>
      <c r="B442" s="17" t="s">
        <v>494</v>
      </c>
      <c r="C442" s="17" t="s">
        <v>1736</v>
      </c>
      <c r="D442" s="17" t="s">
        <v>2253</v>
      </c>
      <c r="E442" s="17" t="s">
        <v>3840</v>
      </c>
      <c r="F442" s="17" t="s">
        <v>3841</v>
      </c>
      <c r="G442" s="17" t="s">
        <v>5454</v>
      </c>
      <c r="H442" t="s">
        <v>7476</v>
      </c>
      <c r="I442" s="1">
        <v>2</v>
      </c>
      <c r="J442" s="1">
        <v>2</v>
      </c>
      <c r="K442" t="s">
        <v>6635</v>
      </c>
      <c r="L442" s="5">
        <f>VLOOKUP(D:D,[1]Munka2!$A:$B,2,FALSE)</f>
        <v>1</v>
      </c>
      <c r="M442" s="5">
        <f>_xlfn.IFNA(Táblázat1[[#This Row],[Kész2020]],0)</f>
        <v>1</v>
      </c>
      <c r="N442" s="5">
        <f>IF(Táblázat1[[#This Row],[Karb./akt.év]]-Táblázat1[[#This Row],[Kész2020_2]]&lt;0,0,Táblázat1[[#This Row],[Karb./akt.év]]-Táblázat1[[#This Row],[Kész2020_2]])</f>
        <v>1</v>
      </c>
    </row>
    <row r="443" spans="1:14" hidden="1" x14ac:dyDescent="0.25">
      <c r="A443" s="17" t="s">
        <v>6</v>
      </c>
      <c r="B443" s="17" t="s">
        <v>1324</v>
      </c>
      <c r="C443" s="17" t="s">
        <v>1742</v>
      </c>
      <c r="D443" s="17" t="s">
        <v>3140</v>
      </c>
      <c r="E443" s="17" t="s">
        <v>3804</v>
      </c>
      <c r="F443" s="17" t="s">
        <v>3805</v>
      </c>
      <c r="G443" s="17" t="s">
        <v>6244</v>
      </c>
      <c r="H443" t="s">
        <v>7476</v>
      </c>
      <c r="I443" s="1">
        <v>2</v>
      </c>
      <c r="J443" s="1">
        <v>2</v>
      </c>
      <c r="K443" t="s">
        <v>6635</v>
      </c>
      <c r="L443" s="5">
        <f>VLOOKUP(D:D,[1]Munka2!$A:$B,2,FALSE)</f>
        <v>1</v>
      </c>
      <c r="M443" s="5">
        <f>_xlfn.IFNA(Táblázat1[[#This Row],[Kész2020]],0)</f>
        <v>1</v>
      </c>
      <c r="N443" s="5">
        <f>IF(Táblázat1[[#This Row],[Karb./akt.év]]-Táblázat1[[#This Row],[Kész2020_2]]&lt;0,0,Táblázat1[[#This Row],[Karb./akt.év]]-Táblázat1[[#This Row],[Kész2020_2]])</f>
        <v>1</v>
      </c>
    </row>
    <row r="444" spans="1:14" hidden="1" x14ac:dyDescent="0.25">
      <c r="A444" s="17" t="s">
        <v>6</v>
      </c>
      <c r="B444" s="17" t="s">
        <v>842</v>
      </c>
      <c r="C444" s="17" t="s">
        <v>1735</v>
      </c>
      <c r="D444" s="17" t="s">
        <v>2620</v>
      </c>
      <c r="E444" s="17" t="s">
        <v>3804</v>
      </c>
      <c r="F444" s="17" t="s">
        <v>3805</v>
      </c>
      <c r="G444" s="17" t="s">
        <v>5783</v>
      </c>
      <c r="H444" t="s">
        <v>7476</v>
      </c>
      <c r="I444" s="1">
        <v>2</v>
      </c>
      <c r="J444" s="1">
        <v>2</v>
      </c>
      <c r="K444" t="s">
        <v>6635</v>
      </c>
      <c r="L444" s="5">
        <f>VLOOKUP(D:D,[1]Munka2!$A:$B,2,FALSE)</f>
        <v>1</v>
      </c>
      <c r="M444" s="5">
        <f>_xlfn.IFNA(Táblázat1[[#This Row],[Kész2020]],0)</f>
        <v>1</v>
      </c>
      <c r="N444" s="5">
        <f>IF(Táblázat1[[#This Row],[Karb./akt.év]]-Táblázat1[[#This Row],[Kész2020_2]]&lt;0,0,Táblázat1[[#This Row],[Karb./akt.év]]-Táblázat1[[#This Row],[Kész2020_2]])</f>
        <v>1</v>
      </c>
    </row>
    <row r="445" spans="1:14" hidden="1" x14ac:dyDescent="0.25">
      <c r="A445" s="17" t="s">
        <v>6</v>
      </c>
      <c r="B445" s="17" t="s">
        <v>8187</v>
      </c>
      <c r="C445" s="17" t="s">
        <v>1735</v>
      </c>
      <c r="D445" s="17" t="s">
        <v>8195</v>
      </c>
      <c r="E445" s="17" t="s">
        <v>3689</v>
      </c>
      <c r="F445" s="17" t="s">
        <v>3690</v>
      </c>
      <c r="G445" s="17" t="s">
        <v>8199</v>
      </c>
      <c r="H445" t="s">
        <v>7476</v>
      </c>
      <c r="I445" s="1" t="e">
        <v>#N/A</v>
      </c>
      <c r="J445" s="1" t="e">
        <v>#N/A</v>
      </c>
      <c r="K445" t="e">
        <v>#N/A</v>
      </c>
      <c r="L445" s="5" t="e">
        <f>VLOOKUP(D:D,[1]Munka2!$A:$B,2,FALSE)</f>
        <v>#N/A</v>
      </c>
      <c r="M445" s="5">
        <f>_xlfn.IFNA(Táblázat1[[#This Row],[Kész2020]],0)</f>
        <v>0</v>
      </c>
      <c r="N445" s="5" t="e">
        <f>IF(Táblázat1[[#This Row],[Karb./akt.év]]-Táblázat1[[#This Row],[Kész2020_2]]&lt;0,0,Táblázat1[[#This Row],[Karb./akt.év]]-Táblázat1[[#This Row],[Kész2020_2]])</f>
        <v>#N/A</v>
      </c>
    </row>
    <row r="446" spans="1:14" x14ac:dyDescent="0.25">
      <c r="A446" s="17" t="s">
        <v>6</v>
      </c>
      <c r="B446" s="17" t="s">
        <v>422</v>
      </c>
      <c r="C446" s="17" t="s">
        <v>1735</v>
      </c>
      <c r="D446" s="17" t="s">
        <v>2177</v>
      </c>
      <c r="E446" s="17" t="s">
        <v>3678</v>
      </c>
      <c r="F446" s="17" t="s">
        <v>3679</v>
      </c>
      <c r="G446" s="17" t="s">
        <v>5387</v>
      </c>
      <c r="H446" t="s">
        <v>7476</v>
      </c>
      <c r="I446" s="1">
        <v>2</v>
      </c>
      <c r="J446" s="1">
        <v>2</v>
      </c>
      <c r="K446" t="s">
        <v>6635</v>
      </c>
      <c r="L446" s="5" t="e">
        <f>VLOOKUP(D:D,[1]Munka2!$A:$B,2,FALSE)</f>
        <v>#N/A</v>
      </c>
      <c r="M446" s="5">
        <f>_xlfn.IFNA(Táblázat1[[#This Row],[Kész2020]],0)</f>
        <v>0</v>
      </c>
      <c r="N446" s="5">
        <f>IF(Táblázat1[[#This Row],[Karb./akt.év]]-Táblázat1[[#This Row],[Kész2020_2]]&lt;0,0,Táblázat1[[#This Row],[Karb./akt.év]]-Táblázat1[[#This Row],[Kész2020_2]])</f>
        <v>2</v>
      </c>
    </row>
    <row r="447" spans="1:14" hidden="1" x14ac:dyDescent="0.25">
      <c r="A447" s="17" t="s">
        <v>6</v>
      </c>
      <c r="B447" s="17" t="s">
        <v>575</v>
      </c>
      <c r="C447" s="17" t="s">
        <v>1735</v>
      </c>
      <c r="D447" s="17" t="s">
        <v>2348</v>
      </c>
      <c r="E447" s="17" t="s">
        <v>4073</v>
      </c>
      <c r="F447" s="17" t="s">
        <v>4074</v>
      </c>
      <c r="G447" s="17" t="s">
        <v>5540</v>
      </c>
      <c r="H447" t="s">
        <v>7476</v>
      </c>
      <c r="I447" s="1">
        <v>2</v>
      </c>
      <c r="J447" s="1">
        <v>2</v>
      </c>
      <c r="K447" t="s">
        <v>8103</v>
      </c>
      <c r="L447" s="5">
        <f>VLOOKUP(D:D,[1]Munka2!$A:$B,2,FALSE)</f>
        <v>1</v>
      </c>
      <c r="M447" s="5">
        <f>_xlfn.IFNA(Táblázat1[[#This Row],[Kész2020]],0)</f>
        <v>1</v>
      </c>
      <c r="N447" s="5">
        <f>IF(Táblázat1[[#This Row],[Karb./akt.év]]-Táblázat1[[#This Row],[Kész2020_2]]&lt;0,0,Táblázat1[[#This Row],[Karb./akt.év]]-Táblázat1[[#This Row],[Kész2020_2]])</f>
        <v>1</v>
      </c>
    </row>
    <row r="448" spans="1:14" hidden="1" x14ac:dyDescent="0.25">
      <c r="A448" s="17" t="s">
        <v>6</v>
      </c>
      <c r="B448" s="17" t="s">
        <v>136</v>
      </c>
      <c r="C448" s="17" t="s">
        <v>1736</v>
      </c>
      <c r="D448" s="17" t="s">
        <v>1876</v>
      </c>
      <c r="E448" s="17" t="s">
        <v>3625</v>
      </c>
      <c r="F448" s="17" t="s">
        <v>3626</v>
      </c>
      <c r="G448" s="17" t="s">
        <v>5108</v>
      </c>
      <c r="H448" t="s">
        <v>7476</v>
      </c>
      <c r="I448" s="1">
        <v>2</v>
      </c>
      <c r="J448" s="1">
        <v>2</v>
      </c>
      <c r="K448" t="s">
        <v>6642</v>
      </c>
      <c r="L448" s="5">
        <f>VLOOKUP(D:D,[1]Munka2!$A:$B,2,FALSE)</f>
        <v>1</v>
      </c>
      <c r="M448" s="5">
        <f>_xlfn.IFNA(Táblázat1[[#This Row],[Kész2020]],0)</f>
        <v>1</v>
      </c>
      <c r="N448" s="5">
        <f>IF(Táblázat1[[#This Row],[Karb./akt.év]]-Táblázat1[[#This Row],[Kész2020_2]]&lt;0,0,Táblázat1[[#This Row],[Karb./akt.év]]-Táblázat1[[#This Row],[Kész2020_2]])</f>
        <v>1</v>
      </c>
    </row>
    <row r="449" spans="1:14" hidden="1" x14ac:dyDescent="0.25">
      <c r="A449" s="17" t="s">
        <v>6</v>
      </c>
      <c r="B449" s="17" t="s">
        <v>754</v>
      </c>
      <c r="C449" s="17" t="s">
        <v>1735</v>
      </c>
      <c r="D449" s="17" t="s">
        <v>2529</v>
      </c>
      <c r="E449" s="17" t="s">
        <v>3836</v>
      </c>
      <c r="F449" s="17" t="s">
        <v>3837</v>
      </c>
      <c r="G449" s="17" t="s">
        <v>5700</v>
      </c>
      <c r="H449" t="s">
        <v>7476</v>
      </c>
      <c r="I449" s="1">
        <v>2</v>
      </c>
      <c r="J449" s="1">
        <v>2</v>
      </c>
      <c r="K449" t="s">
        <v>8103</v>
      </c>
      <c r="L449" s="5">
        <f>VLOOKUP(D:D,[1]Munka2!$A:$B,2,FALSE)</f>
        <v>1</v>
      </c>
      <c r="M449" s="5">
        <f>_xlfn.IFNA(Táblázat1[[#This Row],[Kész2020]],0)</f>
        <v>1</v>
      </c>
      <c r="N449" s="5">
        <f>IF(Táblázat1[[#This Row],[Karb./akt.év]]-Táblázat1[[#This Row],[Kész2020_2]]&lt;0,0,Táblázat1[[#This Row],[Karb./akt.év]]-Táblázat1[[#This Row],[Kész2020_2]])</f>
        <v>1</v>
      </c>
    </row>
    <row r="450" spans="1:14" x14ac:dyDescent="0.25">
      <c r="A450" s="17" t="s">
        <v>6</v>
      </c>
      <c r="B450" s="17" t="s">
        <v>979</v>
      </c>
      <c r="C450" s="17" t="s">
        <v>1735</v>
      </c>
      <c r="D450" s="17" t="s">
        <v>2765</v>
      </c>
      <c r="E450" s="17" t="s">
        <v>3652</v>
      </c>
      <c r="F450" s="17" t="s">
        <v>3653</v>
      </c>
      <c r="G450" s="17" t="s">
        <v>5906</v>
      </c>
      <c r="H450" t="s">
        <v>7476</v>
      </c>
      <c r="I450" s="1">
        <v>2</v>
      </c>
      <c r="J450" s="1">
        <v>2</v>
      </c>
      <c r="K450" t="s">
        <v>6635</v>
      </c>
      <c r="L450" s="5" t="e">
        <f>VLOOKUP(D:D,[1]Munka2!$A:$B,2,FALSE)</f>
        <v>#N/A</v>
      </c>
      <c r="M450" s="5">
        <f>_xlfn.IFNA(Táblázat1[[#This Row],[Kész2020]],0)</f>
        <v>0</v>
      </c>
      <c r="N450" s="5">
        <f>IF(Táblázat1[[#This Row],[Karb./akt.év]]-Táblázat1[[#This Row],[Kész2020_2]]&lt;0,0,Táblázat1[[#This Row],[Karb./akt.év]]-Táblázat1[[#This Row],[Kész2020_2]])</f>
        <v>2</v>
      </c>
    </row>
    <row r="451" spans="1:14" hidden="1" x14ac:dyDescent="0.25">
      <c r="A451" s="17" t="s">
        <v>6</v>
      </c>
      <c r="B451" s="17" t="s">
        <v>224</v>
      </c>
      <c r="C451" s="17" t="s">
        <v>1737</v>
      </c>
      <c r="D451" s="17" t="s">
        <v>1968</v>
      </c>
      <c r="E451" s="17" t="s">
        <v>3836</v>
      </c>
      <c r="F451" s="17" t="s">
        <v>3837</v>
      </c>
      <c r="G451" s="17" t="s">
        <v>5192</v>
      </c>
      <c r="H451" t="s">
        <v>7476</v>
      </c>
      <c r="I451" s="1">
        <v>2</v>
      </c>
      <c r="J451" s="1">
        <v>2</v>
      </c>
      <c r="K451" t="s">
        <v>8103</v>
      </c>
      <c r="L451" s="5">
        <f>VLOOKUP(D:D,[1]Munka2!$A:$B,2,FALSE)</f>
        <v>1</v>
      </c>
      <c r="M451" s="5">
        <f>_xlfn.IFNA(Táblázat1[[#This Row],[Kész2020]],0)</f>
        <v>1</v>
      </c>
      <c r="N451" s="5">
        <f>IF(Táblázat1[[#This Row],[Karb./akt.év]]-Táblázat1[[#This Row],[Kész2020_2]]&lt;0,0,Táblázat1[[#This Row],[Karb./akt.év]]-Táblázat1[[#This Row],[Kész2020_2]])</f>
        <v>1</v>
      </c>
    </row>
    <row r="452" spans="1:14" hidden="1" x14ac:dyDescent="0.25">
      <c r="A452" s="17" t="s">
        <v>6</v>
      </c>
      <c r="B452" s="17" t="s">
        <v>6736</v>
      </c>
      <c r="C452" s="17" t="s">
        <v>1737</v>
      </c>
      <c r="D452" s="17" t="s">
        <v>2957</v>
      </c>
      <c r="E452" s="17" t="s">
        <v>3711</v>
      </c>
      <c r="F452" s="17" t="s">
        <v>3712</v>
      </c>
      <c r="G452" s="17" t="s">
        <v>6087</v>
      </c>
      <c r="H452" t="s">
        <v>7476</v>
      </c>
      <c r="I452" s="1">
        <v>2</v>
      </c>
      <c r="J452" s="1">
        <v>2</v>
      </c>
      <c r="K452" t="s">
        <v>6633</v>
      </c>
      <c r="L452" s="5">
        <f>VLOOKUP(D:D,[1]Munka2!$A:$B,2,FALSE)</f>
        <v>1</v>
      </c>
      <c r="M452" s="5">
        <f>_xlfn.IFNA(Táblázat1[[#This Row],[Kész2020]],0)</f>
        <v>1</v>
      </c>
      <c r="N452" s="5">
        <f>IF(Táblázat1[[#This Row],[Karb./akt.év]]-Táblázat1[[#This Row],[Kész2020_2]]&lt;0,0,Táblázat1[[#This Row],[Karb./akt.év]]-Táblázat1[[#This Row],[Kész2020_2]])</f>
        <v>1</v>
      </c>
    </row>
    <row r="453" spans="1:14" hidden="1" x14ac:dyDescent="0.25">
      <c r="A453" s="17" t="s">
        <v>6</v>
      </c>
      <c r="B453" s="17" t="s">
        <v>1517</v>
      </c>
      <c r="C453" s="17" t="s">
        <v>1743</v>
      </c>
      <c r="D453" s="17" t="s">
        <v>3358</v>
      </c>
      <c r="E453" s="17" t="s">
        <v>3691</v>
      </c>
      <c r="F453" s="17" t="s">
        <v>3692</v>
      </c>
      <c r="G453" s="17" t="s">
        <v>6422</v>
      </c>
      <c r="H453" t="s">
        <v>7476</v>
      </c>
      <c r="I453" s="1">
        <v>2</v>
      </c>
      <c r="J453" s="1">
        <v>2</v>
      </c>
      <c r="K453" t="s">
        <v>6642</v>
      </c>
      <c r="L453" s="5">
        <f>VLOOKUP(D:D,[1]Munka2!$A:$B,2,FALSE)</f>
        <v>1</v>
      </c>
      <c r="M453" s="5">
        <f>_xlfn.IFNA(Táblázat1[[#This Row],[Kész2020]],0)</f>
        <v>1</v>
      </c>
      <c r="N453" s="5">
        <f>IF(Táblázat1[[#This Row],[Karb./akt.év]]-Táblázat1[[#This Row],[Kész2020_2]]&lt;0,0,Táblázat1[[#This Row],[Karb./akt.év]]-Táblázat1[[#This Row],[Kész2020_2]])</f>
        <v>1</v>
      </c>
    </row>
    <row r="454" spans="1:14" hidden="1" x14ac:dyDescent="0.25">
      <c r="A454" s="17" t="s">
        <v>6</v>
      </c>
      <c r="B454" s="17" t="s">
        <v>308</v>
      </c>
      <c r="C454" s="17" t="s">
        <v>1737</v>
      </c>
      <c r="D454" s="17" t="s">
        <v>2057</v>
      </c>
      <c r="E454" s="17" t="s">
        <v>3932</v>
      </c>
      <c r="F454" s="17" t="s">
        <v>3933</v>
      </c>
      <c r="G454" s="17" t="s">
        <v>5275</v>
      </c>
      <c r="H454" t="s">
        <v>7476</v>
      </c>
      <c r="I454" s="1">
        <v>2</v>
      </c>
      <c r="J454" s="1">
        <v>2</v>
      </c>
      <c r="K454" t="s">
        <v>6634</v>
      </c>
      <c r="L454" s="5">
        <f>VLOOKUP(D:D,[1]Munka2!$A:$B,2,FALSE)</f>
        <v>1</v>
      </c>
      <c r="M454" s="5">
        <f>_xlfn.IFNA(Táblázat1[[#This Row],[Kész2020]],0)</f>
        <v>1</v>
      </c>
      <c r="N454" s="5">
        <f>IF(Táblázat1[[#This Row],[Karb./akt.év]]-Táblázat1[[#This Row],[Kész2020_2]]&lt;0,0,Táblázat1[[#This Row],[Karb./akt.év]]-Táblázat1[[#This Row],[Kész2020_2]])</f>
        <v>1</v>
      </c>
    </row>
    <row r="455" spans="1:14" hidden="1" x14ac:dyDescent="0.25">
      <c r="A455" s="17" t="s">
        <v>6</v>
      </c>
      <c r="B455" s="17" t="s">
        <v>1600</v>
      </c>
      <c r="C455" s="17" t="s">
        <v>1743</v>
      </c>
      <c r="D455" s="17" t="s">
        <v>3450</v>
      </c>
      <c r="E455" s="17" t="s">
        <v>3890</v>
      </c>
      <c r="F455" s="17" t="s">
        <v>3891</v>
      </c>
      <c r="G455" s="17" t="s">
        <v>6502</v>
      </c>
      <c r="H455" t="s">
        <v>7476</v>
      </c>
      <c r="I455" s="1">
        <v>2</v>
      </c>
      <c r="J455" s="1">
        <v>2</v>
      </c>
      <c r="K455" t="s">
        <v>8103</v>
      </c>
      <c r="L455" s="5">
        <f>VLOOKUP(D:D,[1]Munka2!$A:$B,2,FALSE)</f>
        <v>1</v>
      </c>
      <c r="M455" s="5">
        <f>_xlfn.IFNA(Táblázat1[[#This Row],[Kész2020]],0)</f>
        <v>1</v>
      </c>
      <c r="N455" s="5">
        <f>IF(Táblázat1[[#This Row],[Karb./akt.év]]-Táblázat1[[#This Row],[Kész2020_2]]&lt;0,0,Táblázat1[[#This Row],[Karb./akt.év]]-Táblázat1[[#This Row],[Kész2020_2]])</f>
        <v>1</v>
      </c>
    </row>
    <row r="456" spans="1:14" hidden="1" x14ac:dyDescent="0.25">
      <c r="A456" s="17" t="s">
        <v>6</v>
      </c>
      <c r="B456" s="17" t="s">
        <v>6742</v>
      </c>
      <c r="C456" s="17" t="s">
        <v>1743</v>
      </c>
      <c r="D456" s="17" t="s">
        <v>6746</v>
      </c>
      <c r="E456" s="17" t="s">
        <v>3836</v>
      </c>
      <c r="F456" s="17" t="s">
        <v>3837</v>
      </c>
      <c r="G456" s="17" t="s">
        <v>6750</v>
      </c>
      <c r="H456" t="s">
        <v>7476</v>
      </c>
      <c r="I456" s="1">
        <v>2</v>
      </c>
      <c r="J456" s="1">
        <v>2</v>
      </c>
      <c r="K456" t="s">
        <v>8103</v>
      </c>
      <c r="L456" s="5">
        <f>VLOOKUP(D:D,[1]Munka2!$A:$B,2,FALSE)</f>
        <v>1</v>
      </c>
      <c r="M456" s="5">
        <f>_xlfn.IFNA(Táblázat1[[#This Row],[Kész2020]],0)</f>
        <v>1</v>
      </c>
      <c r="N456" s="5">
        <f>IF(Táblázat1[[#This Row],[Karb./akt.év]]-Táblázat1[[#This Row],[Kész2020_2]]&lt;0,0,Táblázat1[[#This Row],[Karb./akt.év]]-Táblázat1[[#This Row],[Kész2020_2]])</f>
        <v>1</v>
      </c>
    </row>
    <row r="457" spans="1:14" x14ac:dyDescent="0.25">
      <c r="A457" s="17" t="s">
        <v>6</v>
      </c>
      <c r="B457" s="17" t="s">
        <v>7025</v>
      </c>
      <c r="C457" s="17" t="s">
        <v>1735</v>
      </c>
      <c r="D457" s="17" t="s">
        <v>7062</v>
      </c>
      <c r="E457" s="17" t="s">
        <v>3842</v>
      </c>
      <c r="F457" s="17" t="s">
        <v>3843</v>
      </c>
      <c r="G457" s="17" t="s">
        <v>7101</v>
      </c>
      <c r="H457" t="s">
        <v>7476</v>
      </c>
      <c r="I457" s="1">
        <v>2</v>
      </c>
      <c r="J457" s="1">
        <v>2</v>
      </c>
      <c r="K457" t="s">
        <v>6633</v>
      </c>
      <c r="L457" s="5" t="e">
        <f>VLOOKUP(D:D,[1]Munka2!$A:$B,2,FALSE)</f>
        <v>#N/A</v>
      </c>
      <c r="M457" s="5">
        <f>_xlfn.IFNA(Táblázat1[[#This Row],[Kész2020]],0)</f>
        <v>0</v>
      </c>
      <c r="N457" s="5">
        <f>IF(Táblázat1[[#This Row],[Karb./akt.év]]-Táblázat1[[#This Row],[Kész2020_2]]&lt;0,0,Táblázat1[[#This Row],[Karb./akt.év]]-Táblázat1[[#This Row],[Kész2020_2]])</f>
        <v>2</v>
      </c>
    </row>
    <row r="458" spans="1:14" hidden="1" x14ac:dyDescent="0.25">
      <c r="A458" s="17" t="s">
        <v>6</v>
      </c>
      <c r="B458" s="17" t="s">
        <v>7026</v>
      </c>
      <c r="C458" s="17" t="s">
        <v>1743</v>
      </c>
      <c r="D458" s="17" t="s">
        <v>7063</v>
      </c>
      <c r="E458" s="17" t="s">
        <v>3678</v>
      </c>
      <c r="F458" s="17" t="s">
        <v>3679</v>
      </c>
      <c r="G458" s="17" t="s">
        <v>6595</v>
      </c>
      <c r="H458" t="s">
        <v>7476</v>
      </c>
      <c r="I458" s="1">
        <v>2</v>
      </c>
      <c r="J458" s="1">
        <v>2</v>
      </c>
      <c r="K458" t="s">
        <v>6635</v>
      </c>
      <c r="L458" s="5">
        <f>VLOOKUP(D:D,[1]Munka2!$A:$B,2,FALSE)</f>
        <v>1</v>
      </c>
      <c r="M458" s="5">
        <f>_xlfn.IFNA(Táblázat1[[#This Row],[Kész2020]],0)</f>
        <v>1</v>
      </c>
      <c r="N458" s="5">
        <f>IF(Táblázat1[[#This Row],[Karb./akt.év]]-Táblázat1[[#This Row],[Kész2020_2]]&lt;0,0,Táblázat1[[#This Row],[Karb./akt.év]]-Táblázat1[[#This Row],[Kész2020_2]])</f>
        <v>1</v>
      </c>
    </row>
    <row r="459" spans="1:14" hidden="1" x14ac:dyDescent="0.25">
      <c r="A459" s="17" t="s">
        <v>6</v>
      </c>
      <c r="B459" s="17" t="s">
        <v>7027</v>
      </c>
      <c r="C459" s="17" t="s">
        <v>1736</v>
      </c>
      <c r="D459" s="17" t="s">
        <v>2721</v>
      </c>
      <c r="E459" s="17" t="s">
        <v>3678</v>
      </c>
      <c r="F459" s="17" t="s">
        <v>3679</v>
      </c>
      <c r="G459" s="17" t="s">
        <v>6595</v>
      </c>
      <c r="H459" t="s">
        <v>7476</v>
      </c>
      <c r="I459" s="1">
        <v>2</v>
      </c>
      <c r="J459" s="1">
        <v>2</v>
      </c>
      <c r="K459" t="s">
        <v>6635</v>
      </c>
      <c r="L459" s="5">
        <f>VLOOKUP(D:D,[1]Munka2!$A:$B,2,FALSE)</f>
        <v>1</v>
      </c>
      <c r="M459" s="5">
        <f>_xlfn.IFNA(Táblázat1[[#This Row],[Kész2020]],0)</f>
        <v>1</v>
      </c>
      <c r="N459" s="5">
        <f>IF(Táblázat1[[#This Row],[Karb./akt.év]]-Táblázat1[[#This Row],[Kész2020_2]]&lt;0,0,Táblázat1[[#This Row],[Karb./akt.év]]-Táblázat1[[#This Row],[Kész2020_2]])</f>
        <v>1</v>
      </c>
    </row>
    <row r="460" spans="1:14" hidden="1" x14ac:dyDescent="0.25">
      <c r="A460" s="17" t="s">
        <v>6</v>
      </c>
      <c r="B460" s="17" t="s">
        <v>7028</v>
      </c>
      <c r="C460" s="17" t="s">
        <v>1736</v>
      </c>
      <c r="D460" s="17" t="s">
        <v>7064</v>
      </c>
      <c r="E460" s="17" t="s">
        <v>3678</v>
      </c>
      <c r="F460" s="17" t="s">
        <v>3679</v>
      </c>
      <c r="G460" s="17" t="s">
        <v>6595</v>
      </c>
      <c r="H460" t="s">
        <v>7476</v>
      </c>
      <c r="I460" s="1">
        <v>2</v>
      </c>
      <c r="J460" s="1">
        <v>2</v>
      </c>
      <c r="K460" t="s">
        <v>6635</v>
      </c>
      <c r="L460" s="5">
        <f>VLOOKUP(D:D,[1]Munka2!$A:$B,2,FALSE)</f>
        <v>1</v>
      </c>
      <c r="M460" s="5">
        <f>_xlfn.IFNA(Táblázat1[[#This Row],[Kész2020]],0)</f>
        <v>1</v>
      </c>
      <c r="N460" s="5">
        <f>IF(Táblázat1[[#This Row],[Karb./akt.év]]-Táblázat1[[#This Row],[Kész2020_2]]&lt;0,0,Táblázat1[[#This Row],[Karb./akt.év]]-Táblázat1[[#This Row],[Kész2020_2]])</f>
        <v>1</v>
      </c>
    </row>
    <row r="461" spans="1:14" x14ac:dyDescent="0.25">
      <c r="A461" s="17" t="s">
        <v>6</v>
      </c>
      <c r="B461" s="17" t="s">
        <v>7171</v>
      </c>
      <c r="C461" s="17" t="s">
        <v>1735</v>
      </c>
      <c r="D461" s="17" t="s">
        <v>7180</v>
      </c>
      <c r="E461" s="17" t="s">
        <v>7184</v>
      </c>
      <c r="F461" s="17" t="s">
        <v>3679</v>
      </c>
      <c r="G461" s="17" t="s">
        <v>7186</v>
      </c>
      <c r="H461" t="s">
        <v>7476</v>
      </c>
      <c r="I461" s="1">
        <v>2</v>
      </c>
      <c r="J461" s="1">
        <v>2</v>
      </c>
      <c r="K461" t="s">
        <v>6635</v>
      </c>
      <c r="L461" s="5" t="e">
        <f>VLOOKUP(D:D,[1]Munka2!$A:$B,2,FALSE)</f>
        <v>#N/A</v>
      </c>
      <c r="M461" s="5">
        <f>_xlfn.IFNA(Táblázat1[[#This Row],[Kész2020]],0)</f>
        <v>0</v>
      </c>
      <c r="N461" s="5">
        <f>IF(Táblázat1[[#This Row],[Karb./akt.év]]-Táblázat1[[#This Row],[Kész2020_2]]&lt;0,0,Táblázat1[[#This Row],[Karb./akt.év]]-Táblázat1[[#This Row],[Kész2020_2]])</f>
        <v>2</v>
      </c>
    </row>
    <row r="462" spans="1:14" hidden="1" x14ac:dyDescent="0.25">
      <c r="A462" s="17" t="s">
        <v>6</v>
      </c>
      <c r="B462" s="17" t="s">
        <v>7455</v>
      </c>
      <c r="C462" s="17" t="s">
        <v>1737</v>
      </c>
      <c r="D462" s="17" t="s">
        <v>7464</v>
      </c>
      <c r="E462" s="17" t="s">
        <v>3625</v>
      </c>
      <c r="F462" s="17" t="s">
        <v>3626</v>
      </c>
      <c r="G462" s="17" t="s">
        <v>6065</v>
      </c>
      <c r="H462" t="s">
        <v>7476</v>
      </c>
      <c r="I462" s="1">
        <v>2</v>
      </c>
      <c r="J462" s="1">
        <v>2</v>
      </c>
      <c r="K462" t="s">
        <v>6642</v>
      </c>
      <c r="L462" s="5">
        <f>VLOOKUP(D:D,[1]Munka2!$A:$B,2,FALSE)</f>
        <v>1</v>
      </c>
      <c r="M462" s="5">
        <f>_xlfn.IFNA(Táblázat1[[#This Row],[Kész2020]],0)</f>
        <v>1</v>
      </c>
      <c r="N462" s="5">
        <f>IF(Táblázat1[[#This Row],[Karb./akt.év]]-Táblázat1[[#This Row],[Kész2020_2]]&lt;0,0,Táblázat1[[#This Row],[Karb./akt.év]]-Táblázat1[[#This Row],[Kész2020_2]])</f>
        <v>1</v>
      </c>
    </row>
    <row r="463" spans="1:14" hidden="1" x14ac:dyDescent="0.25">
      <c r="A463" s="17" t="s">
        <v>6</v>
      </c>
      <c r="B463" s="17" t="s">
        <v>6809</v>
      </c>
      <c r="C463" s="17" t="s">
        <v>1737</v>
      </c>
      <c r="D463" s="17" t="s">
        <v>3317</v>
      </c>
      <c r="E463" s="17" t="s">
        <v>3680</v>
      </c>
      <c r="F463" s="17" t="s">
        <v>3681</v>
      </c>
      <c r="G463" s="17" t="s">
        <v>6390</v>
      </c>
      <c r="H463" t="s">
        <v>7476</v>
      </c>
      <c r="I463" s="1">
        <v>2</v>
      </c>
      <c r="J463" s="1">
        <v>2</v>
      </c>
      <c r="K463" t="s">
        <v>6637</v>
      </c>
      <c r="L463" s="5">
        <f>VLOOKUP(D:D,[1]Munka2!$A:$B,2,FALSE)</f>
        <v>1</v>
      </c>
      <c r="M463" s="5">
        <f>_xlfn.IFNA(Táblázat1[[#This Row],[Kész2020]],0)</f>
        <v>1</v>
      </c>
      <c r="N463" s="5">
        <f>IF(Táblázat1[[#This Row],[Karb./akt.év]]-Táblázat1[[#This Row],[Kész2020_2]]&lt;0,0,Táblázat1[[#This Row],[Karb./akt.év]]-Táblázat1[[#This Row],[Kész2020_2]])</f>
        <v>1</v>
      </c>
    </row>
    <row r="464" spans="1:14" hidden="1" x14ac:dyDescent="0.25">
      <c r="A464" s="17" t="s">
        <v>6</v>
      </c>
      <c r="B464" s="17" t="s">
        <v>1558</v>
      </c>
      <c r="C464" s="17" t="s">
        <v>1735</v>
      </c>
      <c r="D464" s="17" t="s">
        <v>3403</v>
      </c>
      <c r="E464" s="17" t="s">
        <v>3680</v>
      </c>
      <c r="F464" s="17" t="s">
        <v>3681</v>
      </c>
      <c r="G464" s="17" t="s">
        <v>6463</v>
      </c>
      <c r="H464" t="s">
        <v>7476</v>
      </c>
      <c r="I464" s="1">
        <v>2</v>
      </c>
      <c r="J464" s="1">
        <v>2</v>
      </c>
      <c r="K464" t="s">
        <v>6637</v>
      </c>
      <c r="L464" s="5">
        <f>VLOOKUP(D:D,[1]Munka2!$A:$B,2,FALSE)</f>
        <v>1</v>
      </c>
      <c r="M464" s="5">
        <f>_xlfn.IFNA(Táblázat1[[#This Row],[Kész2020]],0)</f>
        <v>1</v>
      </c>
      <c r="N464" s="5">
        <f>IF(Táblázat1[[#This Row],[Karb./akt.év]]-Táblázat1[[#This Row],[Kész2020_2]]&lt;0,0,Táblázat1[[#This Row],[Karb./akt.év]]-Táblázat1[[#This Row],[Kész2020_2]])</f>
        <v>1</v>
      </c>
    </row>
    <row r="465" spans="1:14" hidden="1" x14ac:dyDescent="0.25">
      <c r="A465" s="17" t="s">
        <v>6</v>
      </c>
      <c r="B465" s="17" t="s">
        <v>784</v>
      </c>
      <c r="C465" s="17" t="s">
        <v>1754</v>
      </c>
      <c r="D465" s="17" t="s">
        <v>2560</v>
      </c>
      <c r="E465" s="17" t="s">
        <v>3790</v>
      </c>
      <c r="F465" s="17" t="s">
        <v>3791</v>
      </c>
      <c r="G465" s="17" t="s">
        <v>5728</v>
      </c>
      <c r="H465" t="s">
        <v>7476</v>
      </c>
      <c r="I465" s="1">
        <v>2</v>
      </c>
      <c r="J465" s="1">
        <v>2</v>
      </c>
      <c r="K465" t="s">
        <v>6784</v>
      </c>
      <c r="L465" s="5">
        <f>VLOOKUP(D:D,[1]Munka2!$A:$B,2,FALSE)</f>
        <v>1</v>
      </c>
      <c r="M465" s="5">
        <f>_xlfn.IFNA(Táblázat1[[#This Row],[Kész2020]],0)</f>
        <v>1</v>
      </c>
      <c r="N465" s="5">
        <f>IF(Táblázat1[[#This Row],[Karb./akt.év]]-Táblázat1[[#This Row],[Kész2020_2]]&lt;0,0,Táblázat1[[#This Row],[Karb./akt.év]]-Táblázat1[[#This Row],[Kész2020_2]])</f>
        <v>1</v>
      </c>
    </row>
    <row r="466" spans="1:14" hidden="1" x14ac:dyDescent="0.25">
      <c r="A466" s="17" t="s">
        <v>6</v>
      </c>
      <c r="B466" s="17" t="s">
        <v>1447</v>
      </c>
      <c r="C466" s="17" t="s">
        <v>1737</v>
      </c>
      <c r="D466" s="17" t="s">
        <v>3279</v>
      </c>
      <c r="E466" s="17" t="s">
        <v>4890</v>
      </c>
      <c r="F466" s="17" t="s">
        <v>4891</v>
      </c>
      <c r="G466" s="17" t="s">
        <v>6353</v>
      </c>
      <c r="H466" t="s">
        <v>7476</v>
      </c>
      <c r="I466" s="1">
        <v>2</v>
      </c>
      <c r="J466" s="1">
        <v>2</v>
      </c>
      <c r="K466" t="s">
        <v>6784</v>
      </c>
      <c r="L466" s="5">
        <f>VLOOKUP(D:D,[1]Munka2!$A:$B,2,FALSE)</f>
        <v>1</v>
      </c>
      <c r="M466" s="5">
        <f>_xlfn.IFNA(Táblázat1[[#This Row],[Kész2020]],0)</f>
        <v>1</v>
      </c>
      <c r="N466" s="5">
        <f>IF(Táblázat1[[#This Row],[Karb./akt.év]]-Táblázat1[[#This Row],[Kész2020_2]]&lt;0,0,Táblázat1[[#This Row],[Karb./akt.év]]-Táblázat1[[#This Row],[Kész2020_2]])</f>
        <v>1</v>
      </c>
    </row>
    <row r="467" spans="1:14" hidden="1" x14ac:dyDescent="0.25">
      <c r="A467" s="17" t="s">
        <v>6</v>
      </c>
      <c r="B467" s="17" t="s">
        <v>1480</v>
      </c>
      <c r="C467" s="17" t="s">
        <v>1737</v>
      </c>
      <c r="D467" s="17" t="s">
        <v>3316</v>
      </c>
      <c r="E467" s="17" t="s">
        <v>3680</v>
      </c>
      <c r="F467" s="17" t="s">
        <v>3681</v>
      </c>
      <c r="G467" s="17" t="s">
        <v>6390</v>
      </c>
      <c r="H467" t="s">
        <v>7476</v>
      </c>
      <c r="I467" s="1">
        <v>2</v>
      </c>
      <c r="J467" s="1">
        <v>2</v>
      </c>
      <c r="K467" t="s">
        <v>6637</v>
      </c>
      <c r="L467" s="5">
        <f>VLOOKUP(D:D,[1]Munka2!$A:$B,2,FALSE)</f>
        <v>1</v>
      </c>
      <c r="M467" s="5">
        <f>_xlfn.IFNA(Táblázat1[[#This Row],[Kész2020]],0)</f>
        <v>1</v>
      </c>
      <c r="N467" s="5">
        <f>IF(Táblázat1[[#This Row],[Karb./akt.év]]-Táblázat1[[#This Row],[Kész2020_2]]&lt;0,0,Táblázat1[[#This Row],[Karb./akt.év]]-Táblázat1[[#This Row],[Kész2020_2]])</f>
        <v>1</v>
      </c>
    </row>
    <row r="468" spans="1:14" hidden="1" x14ac:dyDescent="0.25">
      <c r="A468" s="17" t="s">
        <v>6</v>
      </c>
      <c r="B468" s="17" t="s">
        <v>458</v>
      </c>
      <c r="C468" s="17" t="s">
        <v>1737</v>
      </c>
      <c r="D468" s="17" t="s">
        <v>2215</v>
      </c>
      <c r="E468" s="17" t="s">
        <v>4065</v>
      </c>
      <c r="F468" s="17" t="s">
        <v>3681</v>
      </c>
      <c r="G468" s="17" t="s">
        <v>5423</v>
      </c>
      <c r="H468" t="s">
        <v>7476</v>
      </c>
      <c r="I468" s="1">
        <v>2</v>
      </c>
      <c r="J468" s="1">
        <v>2</v>
      </c>
      <c r="K468" t="s">
        <v>6637</v>
      </c>
      <c r="L468" s="5">
        <f>VLOOKUP(D:D,[1]Munka2!$A:$B,2,FALSE)</f>
        <v>1</v>
      </c>
      <c r="M468" s="5">
        <f>_xlfn.IFNA(Táblázat1[[#This Row],[Kész2020]],0)</f>
        <v>1</v>
      </c>
      <c r="N468" s="5">
        <f>IF(Táblázat1[[#This Row],[Karb./akt.év]]-Táblázat1[[#This Row],[Kész2020_2]]&lt;0,0,Táblázat1[[#This Row],[Karb./akt.év]]-Táblázat1[[#This Row],[Kész2020_2]])</f>
        <v>1</v>
      </c>
    </row>
    <row r="469" spans="1:14" hidden="1" x14ac:dyDescent="0.25">
      <c r="A469" s="17" t="s">
        <v>6</v>
      </c>
      <c r="B469" s="17" t="s">
        <v>1579</v>
      </c>
      <c r="C469" s="17" t="s">
        <v>1737</v>
      </c>
      <c r="D469" s="17" t="s">
        <v>3426</v>
      </c>
      <c r="E469" s="17" t="s">
        <v>3928</v>
      </c>
      <c r="F469" s="17" t="s">
        <v>3929</v>
      </c>
      <c r="G469" s="17" t="s">
        <v>6481</v>
      </c>
      <c r="H469" t="s">
        <v>7476</v>
      </c>
      <c r="I469" s="1">
        <v>2</v>
      </c>
      <c r="J469" s="1">
        <v>2</v>
      </c>
      <c r="K469" t="s">
        <v>8102</v>
      </c>
      <c r="L469" s="5">
        <f>VLOOKUP(D:D,[1]Munka2!$A:$B,2,FALSE)</f>
        <v>1</v>
      </c>
      <c r="M469" s="5">
        <f>_xlfn.IFNA(Táblázat1[[#This Row],[Kész2020]],0)</f>
        <v>1</v>
      </c>
      <c r="N469" s="5">
        <f>IF(Táblázat1[[#This Row],[Karb./akt.év]]-Táblázat1[[#This Row],[Kész2020_2]]&lt;0,0,Táblázat1[[#This Row],[Karb./akt.év]]-Táblázat1[[#This Row],[Kész2020_2]])</f>
        <v>1</v>
      </c>
    </row>
    <row r="470" spans="1:14" hidden="1" x14ac:dyDescent="0.25">
      <c r="A470" s="17" t="s">
        <v>6</v>
      </c>
      <c r="B470" s="17" t="s">
        <v>6805</v>
      </c>
      <c r="C470" s="17" t="s">
        <v>1736</v>
      </c>
      <c r="D470" s="17" t="s">
        <v>6815</v>
      </c>
      <c r="E470" s="17" t="s">
        <v>3894</v>
      </c>
      <c r="F470" s="17" t="s">
        <v>3895</v>
      </c>
      <c r="G470" s="17" t="s">
        <v>6284</v>
      </c>
      <c r="H470" t="s">
        <v>7476</v>
      </c>
      <c r="I470" s="1">
        <v>2</v>
      </c>
      <c r="J470" s="1">
        <v>2</v>
      </c>
      <c r="K470" t="s">
        <v>7354</v>
      </c>
      <c r="L470" s="5">
        <f>VLOOKUP(D:D,[1]Munka2!$A:$B,2,FALSE)</f>
        <v>1</v>
      </c>
      <c r="M470" s="5">
        <f>_xlfn.IFNA(Táblázat1[[#This Row],[Kész2020]],0)</f>
        <v>1</v>
      </c>
      <c r="N470" s="5">
        <f>IF(Táblázat1[[#This Row],[Karb./akt.év]]-Táblázat1[[#This Row],[Kész2020_2]]&lt;0,0,Táblázat1[[#This Row],[Karb./akt.év]]-Táblázat1[[#This Row],[Kész2020_2]])</f>
        <v>1</v>
      </c>
    </row>
    <row r="471" spans="1:14" hidden="1" x14ac:dyDescent="0.25">
      <c r="A471" s="17" t="s">
        <v>6</v>
      </c>
      <c r="B471" s="17" t="s">
        <v>1488</v>
      </c>
      <c r="C471" s="17" t="s">
        <v>1735</v>
      </c>
      <c r="D471" s="17" t="s">
        <v>3325</v>
      </c>
      <c r="E471" s="17" t="s">
        <v>4869</v>
      </c>
      <c r="F471" s="17" t="s">
        <v>4870</v>
      </c>
      <c r="G471" s="17" t="s">
        <v>6396</v>
      </c>
      <c r="H471" t="s">
        <v>7476</v>
      </c>
      <c r="I471" s="1">
        <v>2</v>
      </c>
      <c r="J471" s="1">
        <v>2</v>
      </c>
      <c r="K471" t="s">
        <v>6637</v>
      </c>
      <c r="L471" s="5">
        <f>VLOOKUP(D:D,[1]Munka2!$A:$B,2,FALSE)</f>
        <v>1</v>
      </c>
      <c r="M471" s="5">
        <f>_xlfn.IFNA(Táblázat1[[#This Row],[Kész2020]],0)</f>
        <v>1</v>
      </c>
      <c r="N471" s="5">
        <f>IF(Táblázat1[[#This Row],[Karb./akt.év]]-Táblázat1[[#This Row],[Kész2020_2]]&lt;0,0,Táblázat1[[#This Row],[Karb./akt.év]]-Táblázat1[[#This Row],[Kész2020_2]])</f>
        <v>1</v>
      </c>
    </row>
    <row r="472" spans="1:14" hidden="1" x14ac:dyDescent="0.25">
      <c r="A472" s="17" t="s">
        <v>6</v>
      </c>
      <c r="B472" s="17" t="s">
        <v>6833</v>
      </c>
      <c r="C472" s="17" t="s">
        <v>1736</v>
      </c>
      <c r="D472" s="17" t="s">
        <v>6865</v>
      </c>
      <c r="E472" s="17" t="s">
        <v>4355</v>
      </c>
      <c r="F472" s="17" t="s">
        <v>4356</v>
      </c>
      <c r="G472" s="17" t="s">
        <v>5727</v>
      </c>
      <c r="H472" t="s">
        <v>7476</v>
      </c>
      <c r="I472" s="1">
        <v>2</v>
      </c>
      <c r="J472" s="1">
        <v>2</v>
      </c>
      <c r="K472" t="s">
        <v>6637</v>
      </c>
      <c r="L472" s="5">
        <f>VLOOKUP(D:D,[1]Munka2!$A:$B,2,FALSE)</f>
        <v>1</v>
      </c>
      <c r="M472" s="5">
        <f>_xlfn.IFNA(Táblázat1[[#This Row],[Kész2020]],0)</f>
        <v>1</v>
      </c>
      <c r="N472" s="5">
        <f>IF(Táblázat1[[#This Row],[Karb./akt.év]]-Táblázat1[[#This Row],[Kész2020_2]]&lt;0,0,Táblázat1[[#This Row],[Karb./akt.év]]-Táblázat1[[#This Row],[Kész2020_2]])</f>
        <v>1</v>
      </c>
    </row>
    <row r="473" spans="1:14" hidden="1" x14ac:dyDescent="0.25">
      <c r="A473" s="17" t="s">
        <v>6</v>
      </c>
      <c r="B473" s="17" t="s">
        <v>178</v>
      </c>
      <c r="C473" s="17" t="s">
        <v>1736</v>
      </c>
      <c r="D473" s="17" t="s">
        <v>1919</v>
      </c>
      <c r="E473" s="17" t="s">
        <v>3790</v>
      </c>
      <c r="F473" s="17" t="s">
        <v>3791</v>
      </c>
      <c r="G473" s="17" t="s">
        <v>5150</v>
      </c>
      <c r="H473" t="s">
        <v>7476</v>
      </c>
      <c r="I473" s="1">
        <v>2</v>
      </c>
      <c r="J473" s="1">
        <v>2</v>
      </c>
      <c r="K473" t="s">
        <v>6784</v>
      </c>
      <c r="L473" s="5">
        <f>VLOOKUP(D:D,[1]Munka2!$A:$B,2,FALSE)</f>
        <v>1</v>
      </c>
      <c r="M473" s="5">
        <f>_xlfn.IFNA(Táblázat1[[#This Row],[Kész2020]],0)</f>
        <v>1</v>
      </c>
      <c r="N473" s="5">
        <f>IF(Táblázat1[[#This Row],[Karb./akt.év]]-Táblázat1[[#This Row],[Kész2020_2]]&lt;0,0,Táblázat1[[#This Row],[Karb./akt.év]]-Táblázat1[[#This Row],[Kész2020_2]])</f>
        <v>1</v>
      </c>
    </row>
    <row r="474" spans="1:14" hidden="1" x14ac:dyDescent="0.25">
      <c r="A474" s="17" t="s">
        <v>6</v>
      </c>
      <c r="B474" s="17" t="s">
        <v>78</v>
      </c>
      <c r="C474" s="17" t="s">
        <v>1737</v>
      </c>
      <c r="D474" s="17" t="s">
        <v>1817</v>
      </c>
      <c r="E474" s="17" t="s">
        <v>3667</v>
      </c>
      <c r="F474" s="17" t="s">
        <v>3668</v>
      </c>
      <c r="G474" s="17" t="s">
        <v>5052</v>
      </c>
      <c r="H474" t="s">
        <v>7476</v>
      </c>
      <c r="I474" s="1">
        <v>2</v>
      </c>
      <c r="J474" s="1">
        <v>2</v>
      </c>
      <c r="K474" t="s">
        <v>6637</v>
      </c>
      <c r="L474" s="5">
        <f>VLOOKUP(D:D,[1]Munka2!$A:$B,2,FALSE)</f>
        <v>1</v>
      </c>
      <c r="M474" s="5">
        <f>_xlfn.IFNA(Táblázat1[[#This Row],[Kész2020]],0)</f>
        <v>1</v>
      </c>
      <c r="N474" s="5">
        <f>IF(Táblázat1[[#This Row],[Karb./akt.év]]-Táblázat1[[#This Row],[Kész2020_2]]&lt;0,0,Táblázat1[[#This Row],[Karb./akt.év]]-Táblázat1[[#This Row],[Kész2020_2]])</f>
        <v>1</v>
      </c>
    </row>
    <row r="475" spans="1:14" hidden="1" x14ac:dyDescent="0.25">
      <c r="A475" s="17" t="s">
        <v>6</v>
      </c>
      <c r="B475" s="17" t="s">
        <v>6828</v>
      </c>
      <c r="C475" s="17" t="s">
        <v>1736</v>
      </c>
      <c r="D475" s="17" t="s">
        <v>6861</v>
      </c>
      <c r="E475" s="17" t="s">
        <v>3661</v>
      </c>
      <c r="F475" s="17" t="s">
        <v>3662</v>
      </c>
      <c r="G475" s="17" t="s">
        <v>6905</v>
      </c>
      <c r="H475" t="s">
        <v>7476</v>
      </c>
      <c r="I475" s="1">
        <v>2</v>
      </c>
      <c r="J475" s="1">
        <v>2</v>
      </c>
      <c r="K475" t="s">
        <v>6637</v>
      </c>
      <c r="L475" s="5">
        <f>VLOOKUP(D:D,[1]Munka2!$A:$B,2,FALSE)</f>
        <v>2</v>
      </c>
      <c r="M475" s="5">
        <f>_xlfn.IFNA(Táblázat1[[#This Row],[Kész2020]],0)</f>
        <v>2</v>
      </c>
      <c r="N475" s="5">
        <f>IF(Táblázat1[[#This Row],[Karb./akt.év]]-Táblázat1[[#This Row],[Kész2020_2]]&lt;0,0,Táblázat1[[#This Row],[Karb./akt.év]]-Táblázat1[[#This Row],[Kész2020_2]])</f>
        <v>0</v>
      </c>
    </row>
    <row r="476" spans="1:14" hidden="1" x14ac:dyDescent="0.25">
      <c r="A476" s="17" t="s">
        <v>6</v>
      </c>
      <c r="B476" s="17" t="s">
        <v>1491</v>
      </c>
      <c r="C476" s="17" t="s">
        <v>1735</v>
      </c>
      <c r="D476" s="17" t="s">
        <v>3328</v>
      </c>
      <c r="E476" s="17" t="s">
        <v>3897</v>
      </c>
      <c r="F476" s="17" t="s">
        <v>3898</v>
      </c>
      <c r="G476" s="17" t="s">
        <v>6398</v>
      </c>
      <c r="H476" t="s">
        <v>7476</v>
      </c>
      <c r="I476" s="1">
        <v>2</v>
      </c>
      <c r="J476" s="1">
        <v>2</v>
      </c>
      <c r="K476" t="s">
        <v>6637</v>
      </c>
      <c r="L476" s="5">
        <f>VLOOKUP(D:D,[1]Munka2!$A:$B,2,FALSE)</f>
        <v>1</v>
      </c>
      <c r="M476" s="5">
        <f>_xlfn.IFNA(Táblázat1[[#This Row],[Kész2020]],0)</f>
        <v>1</v>
      </c>
      <c r="N476" s="5">
        <f>IF(Táblázat1[[#This Row],[Karb./akt.év]]-Táblázat1[[#This Row],[Kész2020_2]]&lt;0,0,Táblázat1[[#This Row],[Karb./akt.év]]-Táblázat1[[#This Row],[Kész2020_2]])</f>
        <v>1</v>
      </c>
    </row>
    <row r="477" spans="1:14" hidden="1" x14ac:dyDescent="0.25">
      <c r="A477" s="17" t="s">
        <v>6</v>
      </c>
      <c r="B477" s="17" t="s">
        <v>6802</v>
      </c>
      <c r="C477" s="17" t="s">
        <v>1736</v>
      </c>
      <c r="D477" s="17" t="s">
        <v>2841</v>
      </c>
      <c r="E477" s="17" t="s">
        <v>4190</v>
      </c>
      <c r="F477" s="17" t="s">
        <v>4191</v>
      </c>
      <c r="G477" s="17" t="s">
        <v>5983</v>
      </c>
      <c r="H477" t="s">
        <v>7476</v>
      </c>
      <c r="I477" s="1">
        <v>2</v>
      </c>
      <c r="J477" s="1">
        <v>2</v>
      </c>
      <c r="K477" t="s">
        <v>7354</v>
      </c>
      <c r="L477" s="5">
        <f>VLOOKUP(D:D,[1]Munka2!$A:$B,2,FALSE)</f>
        <v>2</v>
      </c>
      <c r="M477" s="5">
        <f>_xlfn.IFNA(Táblázat1[[#This Row],[Kész2020]],0)</f>
        <v>2</v>
      </c>
      <c r="N477" s="5">
        <f>IF(Táblázat1[[#This Row],[Karb./akt.év]]-Táblázat1[[#This Row],[Kész2020_2]]&lt;0,0,Táblázat1[[#This Row],[Karb./akt.év]]-Táblázat1[[#This Row],[Kész2020_2]])</f>
        <v>0</v>
      </c>
    </row>
    <row r="478" spans="1:14" hidden="1" x14ac:dyDescent="0.25">
      <c r="A478" s="17" t="s">
        <v>6</v>
      </c>
      <c r="B478" s="17" t="s">
        <v>82</v>
      </c>
      <c r="C478" s="17" t="s">
        <v>1743</v>
      </c>
      <c r="D478" s="17" t="s">
        <v>1821</v>
      </c>
      <c r="E478" s="17" t="s">
        <v>3667</v>
      </c>
      <c r="F478" s="17" t="s">
        <v>3668</v>
      </c>
      <c r="G478" s="17" t="s">
        <v>5055</v>
      </c>
      <c r="H478" t="s">
        <v>7476</v>
      </c>
      <c r="I478" s="1">
        <v>2</v>
      </c>
      <c r="J478" s="1">
        <v>2</v>
      </c>
      <c r="K478" t="s">
        <v>6637</v>
      </c>
      <c r="L478" s="5">
        <f>VLOOKUP(D:D,[1]Munka2!$A:$B,2,FALSE)</f>
        <v>1</v>
      </c>
      <c r="M478" s="5">
        <f>_xlfn.IFNA(Táblázat1[[#This Row],[Kész2020]],0)</f>
        <v>1</v>
      </c>
      <c r="N478" s="5">
        <f>IF(Táblázat1[[#This Row],[Karb./akt.év]]-Táblázat1[[#This Row],[Kész2020_2]]&lt;0,0,Táblázat1[[#This Row],[Karb./akt.év]]-Táblázat1[[#This Row],[Kész2020_2]])</f>
        <v>1</v>
      </c>
    </row>
    <row r="479" spans="1:14" hidden="1" x14ac:dyDescent="0.25">
      <c r="A479" s="17" t="s">
        <v>6</v>
      </c>
      <c r="B479" s="17" t="s">
        <v>1334</v>
      </c>
      <c r="C479" s="17" t="s">
        <v>1736</v>
      </c>
      <c r="D479" s="17" t="s">
        <v>3149</v>
      </c>
      <c r="E479" s="17" t="s">
        <v>4268</v>
      </c>
      <c r="F479" s="17" t="s">
        <v>3681</v>
      </c>
      <c r="G479" s="17" t="s">
        <v>6253</v>
      </c>
      <c r="H479" t="s">
        <v>7476</v>
      </c>
      <c r="I479" s="1">
        <v>2</v>
      </c>
      <c r="J479" s="1">
        <v>2</v>
      </c>
      <c r="K479" t="s">
        <v>6637</v>
      </c>
      <c r="L479" s="5">
        <f>VLOOKUP(D:D,[1]Munka2!$A:$B,2,FALSE)</f>
        <v>1</v>
      </c>
      <c r="M479" s="5">
        <f>_xlfn.IFNA(Táblázat1[[#This Row],[Kész2020]],0)</f>
        <v>1</v>
      </c>
      <c r="N479" s="5">
        <f>IF(Táblázat1[[#This Row],[Karb./akt.év]]-Táblázat1[[#This Row],[Kész2020_2]]&lt;0,0,Táblázat1[[#This Row],[Karb./akt.év]]-Táblázat1[[#This Row],[Kész2020_2]])</f>
        <v>1</v>
      </c>
    </row>
    <row r="480" spans="1:14" hidden="1" x14ac:dyDescent="0.25">
      <c r="A480" s="17" t="s">
        <v>6</v>
      </c>
      <c r="B480" s="17" t="s">
        <v>60</v>
      </c>
      <c r="C480" s="17" t="s">
        <v>1737</v>
      </c>
      <c r="D480" s="17" t="s">
        <v>1799</v>
      </c>
      <c r="E480" s="17" t="s">
        <v>3641</v>
      </c>
      <c r="F480" s="17" t="s">
        <v>3642</v>
      </c>
      <c r="G480" s="17" t="s">
        <v>5036</v>
      </c>
      <c r="H480" t="s">
        <v>7476</v>
      </c>
      <c r="I480" s="1">
        <v>2</v>
      </c>
      <c r="J480" s="1">
        <v>2</v>
      </c>
      <c r="K480" t="s">
        <v>7354</v>
      </c>
      <c r="L480" s="5">
        <f>VLOOKUP(D:D,[1]Munka2!$A:$B,2,FALSE)</f>
        <v>1</v>
      </c>
      <c r="M480" s="5">
        <f>_xlfn.IFNA(Táblázat1[[#This Row],[Kész2020]],0)</f>
        <v>1</v>
      </c>
      <c r="N480" s="5">
        <f>IF(Táblázat1[[#This Row],[Karb./akt.év]]-Táblázat1[[#This Row],[Kész2020_2]]&lt;0,0,Táblázat1[[#This Row],[Karb./akt.év]]-Táblázat1[[#This Row],[Kész2020_2]])</f>
        <v>1</v>
      </c>
    </row>
    <row r="481" spans="1:14" hidden="1" x14ac:dyDescent="0.25">
      <c r="A481" s="17" t="s">
        <v>6</v>
      </c>
      <c r="B481" s="17" t="s">
        <v>1181</v>
      </c>
      <c r="C481" s="17" t="s">
        <v>1737</v>
      </c>
      <c r="D481" s="17" t="s">
        <v>2983</v>
      </c>
      <c r="E481" s="17" t="s">
        <v>4380</v>
      </c>
      <c r="F481" s="17" t="s">
        <v>4381</v>
      </c>
      <c r="G481" s="17" t="s">
        <v>6106</v>
      </c>
      <c r="H481" t="s">
        <v>7476</v>
      </c>
      <c r="I481" s="1">
        <v>2</v>
      </c>
      <c r="J481" s="1">
        <v>2</v>
      </c>
      <c r="K481" t="s">
        <v>6637</v>
      </c>
      <c r="L481" s="5">
        <f>VLOOKUP(D:D,[1]Munka2!$A:$B,2,FALSE)</f>
        <v>1</v>
      </c>
      <c r="M481" s="5">
        <f>_xlfn.IFNA(Táblázat1[[#This Row],[Kész2020]],0)</f>
        <v>1</v>
      </c>
      <c r="N481" s="5">
        <f>IF(Táblázat1[[#This Row],[Karb./akt.év]]-Táblázat1[[#This Row],[Kész2020_2]]&lt;0,0,Táblázat1[[#This Row],[Karb./akt.év]]-Táblázat1[[#This Row],[Kész2020_2]])</f>
        <v>1</v>
      </c>
    </row>
    <row r="482" spans="1:14" hidden="1" x14ac:dyDescent="0.25">
      <c r="A482" s="17" t="s">
        <v>6</v>
      </c>
      <c r="B482" s="17" t="s">
        <v>764</v>
      </c>
      <c r="C482" s="17" t="s">
        <v>1736</v>
      </c>
      <c r="D482" s="17" t="s">
        <v>2539</v>
      </c>
      <c r="E482" s="17" t="s">
        <v>3641</v>
      </c>
      <c r="F482" s="17" t="s">
        <v>3642</v>
      </c>
      <c r="G482" s="17" t="s">
        <v>5709</v>
      </c>
      <c r="H482" t="s">
        <v>7476</v>
      </c>
      <c r="I482" s="1">
        <v>2</v>
      </c>
      <c r="J482" s="1">
        <v>2</v>
      </c>
      <c r="K482" t="s">
        <v>7354</v>
      </c>
      <c r="L482" s="5">
        <f>VLOOKUP(D:D,[1]Munka2!$A:$B,2,FALSE)</f>
        <v>1</v>
      </c>
      <c r="M482" s="5">
        <f>_xlfn.IFNA(Táblázat1[[#This Row],[Kész2020]],0)</f>
        <v>1</v>
      </c>
      <c r="N482" s="5">
        <f>IF(Táblázat1[[#This Row],[Karb./akt.év]]-Táblázat1[[#This Row],[Kész2020_2]]&lt;0,0,Táblázat1[[#This Row],[Karb./akt.év]]-Táblázat1[[#This Row],[Kész2020_2]])</f>
        <v>1</v>
      </c>
    </row>
    <row r="483" spans="1:14" hidden="1" x14ac:dyDescent="0.25">
      <c r="A483" s="17" t="s">
        <v>6</v>
      </c>
      <c r="B483" s="17" t="s">
        <v>1534</v>
      </c>
      <c r="C483" s="17" t="s">
        <v>1736</v>
      </c>
      <c r="D483" s="17" t="s">
        <v>3378</v>
      </c>
      <c r="E483" s="17" t="s">
        <v>3641</v>
      </c>
      <c r="F483" s="17" t="s">
        <v>3642</v>
      </c>
      <c r="G483" s="17" t="s">
        <v>6441</v>
      </c>
      <c r="H483" t="s">
        <v>7476</v>
      </c>
      <c r="I483" s="1">
        <v>2</v>
      </c>
      <c r="J483" s="1">
        <v>2</v>
      </c>
      <c r="K483" t="s">
        <v>7354</v>
      </c>
      <c r="L483" s="5">
        <f>VLOOKUP(D:D,[1]Munka2!$A:$B,2,FALSE)</f>
        <v>1</v>
      </c>
      <c r="M483" s="5">
        <f>_xlfn.IFNA(Táblázat1[[#This Row],[Kész2020]],0)</f>
        <v>1</v>
      </c>
      <c r="N483" s="5">
        <f>IF(Táblázat1[[#This Row],[Karb./akt.év]]-Táblázat1[[#This Row],[Kész2020_2]]&lt;0,0,Táblázat1[[#This Row],[Karb./akt.év]]-Táblázat1[[#This Row],[Kész2020_2]])</f>
        <v>1</v>
      </c>
    </row>
    <row r="484" spans="1:14" hidden="1" x14ac:dyDescent="0.25">
      <c r="A484" s="17" t="s">
        <v>6</v>
      </c>
      <c r="B484" s="17" t="s">
        <v>563</v>
      </c>
      <c r="C484" s="17" t="s">
        <v>1736</v>
      </c>
      <c r="D484" s="17" t="s">
        <v>2335</v>
      </c>
      <c r="E484" s="17" t="s">
        <v>3928</v>
      </c>
      <c r="F484" s="17" t="s">
        <v>3929</v>
      </c>
      <c r="G484" s="17" t="s">
        <v>5527</v>
      </c>
      <c r="H484" t="s">
        <v>7476</v>
      </c>
      <c r="I484" s="1">
        <v>2</v>
      </c>
      <c r="J484" s="1">
        <v>2</v>
      </c>
      <c r="K484" t="s">
        <v>8102</v>
      </c>
      <c r="L484" s="5">
        <f>VLOOKUP(D:D,[1]Munka2!$A:$B,2,FALSE)</f>
        <v>1</v>
      </c>
      <c r="M484" s="5">
        <f>_xlfn.IFNA(Táblázat1[[#This Row],[Kész2020]],0)</f>
        <v>1</v>
      </c>
      <c r="N484" s="5">
        <f>IF(Táblázat1[[#This Row],[Karb./akt.év]]-Táblázat1[[#This Row],[Kész2020_2]]&lt;0,0,Táblázat1[[#This Row],[Karb./akt.év]]-Táblázat1[[#This Row],[Kész2020_2]])</f>
        <v>1</v>
      </c>
    </row>
    <row r="485" spans="1:14" hidden="1" x14ac:dyDescent="0.25">
      <c r="A485" s="17" t="s">
        <v>6</v>
      </c>
      <c r="B485" s="17" t="s">
        <v>270</v>
      </c>
      <c r="C485" s="17" t="s">
        <v>1743</v>
      </c>
      <c r="D485" s="17" t="s">
        <v>2018</v>
      </c>
      <c r="E485" s="17" t="s">
        <v>3894</v>
      </c>
      <c r="F485" s="17" t="s">
        <v>3895</v>
      </c>
      <c r="G485" s="17" t="s">
        <v>5238</v>
      </c>
      <c r="H485" t="s">
        <v>7476</v>
      </c>
      <c r="I485" s="1">
        <v>2</v>
      </c>
      <c r="J485" s="1">
        <v>2</v>
      </c>
      <c r="K485" t="s">
        <v>7354</v>
      </c>
      <c r="L485" s="5">
        <f>VLOOKUP(D:D,[1]Munka2!$A:$B,2,FALSE)</f>
        <v>1</v>
      </c>
      <c r="M485" s="5">
        <f>_xlfn.IFNA(Táblázat1[[#This Row],[Kész2020]],0)</f>
        <v>1</v>
      </c>
      <c r="N485" s="5">
        <f>IF(Táblázat1[[#This Row],[Karb./akt.év]]-Táblázat1[[#This Row],[Kész2020_2]]&lt;0,0,Táblázat1[[#This Row],[Karb./akt.év]]-Táblázat1[[#This Row],[Kész2020_2]])</f>
        <v>1</v>
      </c>
    </row>
    <row r="486" spans="1:14" hidden="1" x14ac:dyDescent="0.25">
      <c r="A486" s="17" t="s">
        <v>6</v>
      </c>
      <c r="B486" s="17" t="s">
        <v>630</v>
      </c>
      <c r="C486" s="17" t="s">
        <v>1736</v>
      </c>
      <c r="D486" s="17" t="s">
        <v>2405</v>
      </c>
      <c r="E486" s="17" t="s">
        <v>3661</v>
      </c>
      <c r="F486" s="17" t="s">
        <v>3662</v>
      </c>
      <c r="G486" s="17" t="s">
        <v>5590</v>
      </c>
      <c r="H486" t="s">
        <v>7476</v>
      </c>
      <c r="I486" s="1">
        <v>2</v>
      </c>
      <c r="J486" s="1">
        <v>2</v>
      </c>
      <c r="K486" t="s">
        <v>6637</v>
      </c>
      <c r="L486" s="5">
        <f>VLOOKUP(D:D,[1]Munka2!$A:$B,2,FALSE)</f>
        <v>1</v>
      </c>
      <c r="M486" s="5">
        <f>_xlfn.IFNA(Táblázat1[[#This Row],[Kész2020]],0)</f>
        <v>1</v>
      </c>
      <c r="N486" s="5">
        <f>IF(Táblázat1[[#This Row],[Karb./akt.év]]-Táblázat1[[#This Row],[Kész2020_2]]&lt;0,0,Táblázat1[[#This Row],[Karb./akt.év]]-Táblázat1[[#This Row],[Kész2020_2]])</f>
        <v>1</v>
      </c>
    </row>
    <row r="487" spans="1:14" hidden="1" x14ac:dyDescent="0.25">
      <c r="A487" s="17" t="s">
        <v>6</v>
      </c>
      <c r="B487" s="17" t="s">
        <v>242</v>
      </c>
      <c r="C487" s="17" t="s">
        <v>1735</v>
      </c>
      <c r="D487" s="17" t="s">
        <v>1986</v>
      </c>
      <c r="E487" s="17" t="s">
        <v>3854</v>
      </c>
      <c r="F487" s="17" t="s">
        <v>3855</v>
      </c>
      <c r="G487" s="17" t="s">
        <v>5209</v>
      </c>
      <c r="H487" t="s">
        <v>7476</v>
      </c>
      <c r="I487" s="1">
        <v>2</v>
      </c>
      <c r="J487" s="1">
        <v>2</v>
      </c>
      <c r="K487" t="s">
        <v>6637</v>
      </c>
      <c r="L487" s="5">
        <f>VLOOKUP(D:D,[1]Munka2!$A:$B,2,FALSE)</f>
        <v>1</v>
      </c>
      <c r="M487" s="5">
        <f>_xlfn.IFNA(Táblázat1[[#This Row],[Kész2020]],0)</f>
        <v>1</v>
      </c>
      <c r="N487" s="5">
        <f>IF(Táblázat1[[#This Row],[Karb./akt.év]]-Táblázat1[[#This Row],[Kész2020_2]]&lt;0,0,Táblázat1[[#This Row],[Karb./akt.év]]-Táblázat1[[#This Row],[Kész2020_2]])</f>
        <v>1</v>
      </c>
    </row>
    <row r="488" spans="1:14" x14ac:dyDescent="0.25">
      <c r="A488" s="17" t="s">
        <v>6</v>
      </c>
      <c r="B488" s="17" t="s">
        <v>1319</v>
      </c>
      <c r="C488" s="17" t="s">
        <v>1735</v>
      </c>
      <c r="D488" s="17" t="s">
        <v>3134</v>
      </c>
      <c r="E488" s="17" t="s">
        <v>3659</v>
      </c>
      <c r="F488" s="17" t="s">
        <v>3660</v>
      </c>
      <c r="G488" s="17" t="s">
        <v>6238</v>
      </c>
      <c r="H488" t="s">
        <v>7476</v>
      </c>
      <c r="I488" s="1">
        <v>2</v>
      </c>
      <c r="J488" s="1">
        <v>2</v>
      </c>
      <c r="K488" t="s">
        <v>7354</v>
      </c>
      <c r="L488" s="5" t="e">
        <f>VLOOKUP(D:D,[1]Munka2!$A:$B,2,FALSE)</f>
        <v>#N/A</v>
      </c>
      <c r="M488" s="5">
        <f>_xlfn.IFNA(Táblázat1[[#This Row],[Kész2020]],0)</f>
        <v>0</v>
      </c>
      <c r="N488" s="5">
        <f>IF(Táblázat1[[#This Row],[Karb./akt.év]]-Táblázat1[[#This Row],[Kész2020_2]]&lt;0,0,Táblázat1[[#This Row],[Karb./akt.év]]-Táblázat1[[#This Row],[Kész2020_2]])</f>
        <v>2</v>
      </c>
    </row>
    <row r="489" spans="1:14" hidden="1" x14ac:dyDescent="0.25">
      <c r="A489" s="17" t="s">
        <v>6</v>
      </c>
      <c r="B489" s="17" t="s">
        <v>954</v>
      </c>
      <c r="C489" s="17" t="s">
        <v>1735</v>
      </c>
      <c r="D489" s="17" t="s">
        <v>2740</v>
      </c>
      <c r="E489" s="17" t="s">
        <v>4355</v>
      </c>
      <c r="F489" s="17" t="s">
        <v>4356</v>
      </c>
      <c r="G489" s="17" t="s">
        <v>5884</v>
      </c>
      <c r="H489" t="s">
        <v>7476</v>
      </c>
      <c r="I489" s="1">
        <v>2</v>
      </c>
      <c r="J489" s="1">
        <v>2</v>
      </c>
      <c r="K489" t="s">
        <v>6637</v>
      </c>
      <c r="L489" s="5">
        <f>VLOOKUP(D:D,[1]Munka2!$A:$B,2,FALSE)</f>
        <v>1</v>
      </c>
      <c r="M489" s="5">
        <f>_xlfn.IFNA(Táblázat1[[#This Row],[Kész2020]],0)</f>
        <v>1</v>
      </c>
      <c r="N489" s="5">
        <f>IF(Táblázat1[[#This Row],[Karb./akt.év]]-Táblázat1[[#This Row],[Kész2020_2]]&lt;0,0,Táblázat1[[#This Row],[Karb./akt.év]]-Táblázat1[[#This Row],[Kész2020_2]])</f>
        <v>1</v>
      </c>
    </row>
    <row r="490" spans="1:14" hidden="1" x14ac:dyDescent="0.25">
      <c r="A490" s="17" t="s">
        <v>6</v>
      </c>
      <c r="B490" s="17" t="s">
        <v>1229</v>
      </c>
      <c r="C490" s="17" t="s">
        <v>1735</v>
      </c>
      <c r="D490" s="17" t="s">
        <v>3036</v>
      </c>
      <c r="E490" s="17" t="s">
        <v>4012</v>
      </c>
      <c r="F490" s="17" t="s">
        <v>3681</v>
      </c>
      <c r="G490" s="17" t="s">
        <v>6158</v>
      </c>
      <c r="H490" t="s">
        <v>7476</v>
      </c>
      <c r="I490" s="1">
        <v>2</v>
      </c>
      <c r="J490" s="1">
        <v>2</v>
      </c>
      <c r="K490" t="s">
        <v>6637</v>
      </c>
      <c r="L490" s="5">
        <f>VLOOKUP(D:D,[1]Munka2!$A:$B,2,FALSE)</f>
        <v>1</v>
      </c>
      <c r="M490" s="5">
        <f>_xlfn.IFNA(Táblázat1[[#This Row],[Kész2020]],0)</f>
        <v>1</v>
      </c>
      <c r="N490" s="5">
        <f>IF(Táblázat1[[#This Row],[Karb./akt.év]]-Táblázat1[[#This Row],[Kész2020_2]]&lt;0,0,Táblázat1[[#This Row],[Karb./akt.év]]-Táblázat1[[#This Row],[Kész2020_2]])</f>
        <v>1</v>
      </c>
    </row>
    <row r="491" spans="1:14" hidden="1" x14ac:dyDescent="0.25">
      <c r="A491" s="17" t="s">
        <v>6</v>
      </c>
      <c r="B491" s="17" t="s">
        <v>1565</v>
      </c>
      <c r="C491" s="17" t="s">
        <v>1737</v>
      </c>
      <c r="D491" s="17" t="s">
        <v>3410</v>
      </c>
      <c r="E491" s="17" t="s">
        <v>4066</v>
      </c>
      <c r="F491" s="17" t="s">
        <v>3681</v>
      </c>
      <c r="G491" s="17" t="s">
        <v>6469</v>
      </c>
      <c r="H491" t="s">
        <v>7476</v>
      </c>
      <c r="I491" s="1">
        <v>2</v>
      </c>
      <c r="J491" s="1">
        <v>2</v>
      </c>
      <c r="K491" t="s">
        <v>6637</v>
      </c>
      <c r="L491" s="5">
        <f>VLOOKUP(D:D,[1]Munka2!$A:$B,2,FALSE)</f>
        <v>1</v>
      </c>
      <c r="M491" s="5">
        <f>_xlfn.IFNA(Táblázat1[[#This Row],[Kész2020]],0)</f>
        <v>1</v>
      </c>
      <c r="N491" s="5">
        <f>IF(Táblázat1[[#This Row],[Karb./akt.év]]-Táblázat1[[#This Row],[Kész2020_2]]&lt;0,0,Táblázat1[[#This Row],[Karb./akt.év]]-Táblázat1[[#This Row],[Kész2020_2]])</f>
        <v>1</v>
      </c>
    </row>
    <row r="492" spans="1:14" x14ac:dyDescent="0.25">
      <c r="A492" s="17" t="s">
        <v>6</v>
      </c>
      <c r="B492" s="17" t="s">
        <v>816</v>
      </c>
      <c r="C492" s="17" t="s">
        <v>1737</v>
      </c>
      <c r="D492" s="17" t="s">
        <v>2593</v>
      </c>
      <c r="E492" s="17" t="s">
        <v>3659</v>
      </c>
      <c r="F492" s="17" t="s">
        <v>3660</v>
      </c>
      <c r="G492" s="17" t="s">
        <v>5755</v>
      </c>
      <c r="H492" t="s">
        <v>7476</v>
      </c>
      <c r="I492" s="1">
        <v>2</v>
      </c>
      <c r="J492" s="1">
        <v>2</v>
      </c>
      <c r="K492" t="s">
        <v>7354</v>
      </c>
      <c r="L492" s="5" t="e">
        <f>VLOOKUP(D:D,[1]Munka2!$A:$B,2,FALSE)</f>
        <v>#N/A</v>
      </c>
      <c r="M492" s="5">
        <f>_xlfn.IFNA(Táblázat1[[#This Row],[Kész2020]],0)</f>
        <v>0</v>
      </c>
      <c r="N492" s="5">
        <f>IF(Táblázat1[[#This Row],[Karb./akt.év]]-Táblázat1[[#This Row],[Kész2020_2]]&lt;0,0,Táblázat1[[#This Row],[Karb./akt.év]]-Táblázat1[[#This Row],[Kész2020_2]])</f>
        <v>2</v>
      </c>
    </row>
    <row r="493" spans="1:14" x14ac:dyDescent="0.25">
      <c r="A493" s="17" t="s">
        <v>6</v>
      </c>
      <c r="B493" s="17" t="s">
        <v>349</v>
      </c>
      <c r="C493" s="17" t="s">
        <v>1735</v>
      </c>
      <c r="D493" s="17" t="s">
        <v>2103</v>
      </c>
      <c r="E493" s="17" t="s">
        <v>3978</v>
      </c>
      <c r="F493" s="17" t="s">
        <v>3979</v>
      </c>
      <c r="G493" s="17" t="s">
        <v>5315</v>
      </c>
      <c r="H493" t="s">
        <v>7476</v>
      </c>
      <c r="I493" s="1">
        <v>2</v>
      </c>
      <c r="J493" s="1">
        <v>2</v>
      </c>
      <c r="K493" t="s">
        <v>6641</v>
      </c>
      <c r="L493" s="5" t="e">
        <f>VLOOKUP(D:D,[1]Munka2!$A:$B,2,FALSE)</f>
        <v>#N/A</v>
      </c>
      <c r="M493" s="5">
        <f>_xlfn.IFNA(Táblázat1[[#This Row],[Kész2020]],0)</f>
        <v>0</v>
      </c>
      <c r="N493" s="5">
        <f>IF(Táblázat1[[#This Row],[Karb./akt.év]]-Táblázat1[[#This Row],[Kész2020_2]]&lt;0,0,Táblázat1[[#This Row],[Karb./akt.év]]-Táblázat1[[#This Row],[Kész2020_2]])</f>
        <v>2</v>
      </c>
    </row>
    <row r="494" spans="1:14" x14ac:dyDescent="0.25">
      <c r="A494" s="17" t="s">
        <v>6</v>
      </c>
      <c r="B494" s="17" t="s">
        <v>852</v>
      </c>
      <c r="C494" s="17" t="s">
        <v>1735</v>
      </c>
      <c r="D494" s="17" t="s">
        <v>2632</v>
      </c>
      <c r="E494" s="17" t="s">
        <v>3875</v>
      </c>
      <c r="F494" s="17" t="s">
        <v>3876</v>
      </c>
      <c r="G494" s="17" t="s">
        <v>5791</v>
      </c>
      <c r="H494" t="s">
        <v>7476</v>
      </c>
      <c r="I494" s="1">
        <v>2</v>
      </c>
      <c r="J494" s="1">
        <v>2</v>
      </c>
      <c r="K494" t="s">
        <v>7354</v>
      </c>
      <c r="L494" s="5" t="e">
        <f>VLOOKUP(D:D,[1]Munka2!$A:$B,2,FALSE)</f>
        <v>#N/A</v>
      </c>
      <c r="M494" s="5">
        <f>_xlfn.IFNA(Táblázat1[[#This Row],[Kész2020]],0)</f>
        <v>0</v>
      </c>
      <c r="N494" s="5">
        <f>IF(Táblázat1[[#This Row],[Karb./akt.év]]-Táblázat1[[#This Row],[Kész2020_2]]&lt;0,0,Táblázat1[[#This Row],[Karb./akt.év]]-Táblázat1[[#This Row],[Kész2020_2]])</f>
        <v>2</v>
      </c>
    </row>
    <row r="495" spans="1:14" x14ac:dyDescent="0.25">
      <c r="A495" s="17" t="s">
        <v>6</v>
      </c>
      <c r="B495" s="17" t="s">
        <v>36</v>
      </c>
      <c r="C495" s="17" t="s">
        <v>1735</v>
      </c>
      <c r="D495" s="17" t="s">
        <v>1774</v>
      </c>
      <c r="E495" s="17" t="s">
        <v>3607</v>
      </c>
      <c r="F495" s="17" t="s">
        <v>3608</v>
      </c>
      <c r="G495" s="17" t="s">
        <v>5013</v>
      </c>
      <c r="H495" t="s">
        <v>7476</v>
      </c>
      <c r="I495" s="1">
        <v>2</v>
      </c>
      <c r="J495" s="1">
        <v>2</v>
      </c>
      <c r="K495" t="s">
        <v>6640</v>
      </c>
      <c r="L495" s="5" t="e">
        <f>VLOOKUP(D:D,[1]Munka2!$A:$B,2,FALSE)</f>
        <v>#N/A</v>
      </c>
      <c r="M495" s="5">
        <f>_xlfn.IFNA(Táblázat1[[#This Row],[Kész2020]],0)</f>
        <v>0</v>
      </c>
      <c r="N495" s="5">
        <f>IF(Táblázat1[[#This Row],[Karb./akt.év]]-Táblázat1[[#This Row],[Kész2020_2]]&lt;0,0,Táblázat1[[#This Row],[Karb./akt.év]]-Táblázat1[[#This Row],[Kész2020_2]])</f>
        <v>2</v>
      </c>
    </row>
    <row r="496" spans="1:14" hidden="1" x14ac:dyDescent="0.25">
      <c r="A496" s="17" t="s">
        <v>6</v>
      </c>
      <c r="B496" s="17" t="s">
        <v>1473</v>
      </c>
      <c r="C496" s="17" t="s">
        <v>1735</v>
      </c>
      <c r="D496" s="17" t="s">
        <v>3308</v>
      </c>
      <c r="E496" s="17" t="s">
        <v>3860</v>
      </c>
      <c r="F496" s="17" t="s">
        <v>3861</v>
      </c>
      <c r="G496" s="17" t="s">
        <v>6382</v>
      </c>
      <c r="H496" t="s">
        <v>7476</v>
      </c>
      <c r="I496" s="1">
        <v>2</v>
      </c>
      <c r="J496" s="1">
        <v>2</v>
      </c>
      <c r="K496" t="s">
        <v>7354</v>
      </c>
      <c r="L496" s="5">
        <f>VLOOKUP(D:D,[1]Munka2!$A:$B,2,FALSE)</f>
        <v>1</v>
      </c>
      <c r="M496" s="5">
        <f>_xlfn.IFNA(Táblázat1[[#This Row],[Kész2020]],0)</f>
        <v>1</v>
      </c>
      <c r="N496" s="5">
        <f>IF(Táblázat1[[#This Row],[Karb./akt.év]]-Táblázat1[[#This Row],[Kész2020_2]]&lt;0,0,Táblázat1[[#This Row],[Karb./akt.év]]-Táblázat1[[#This Row],[Kész2020_2]])</f>
        <v>1</v>
      </c>
    </row>
    <row r="497" spans="1:14" hidden="1" x14ac:dyDescent="0.25">
      <c r="A497" s="17" t="s">
        <v>6</v>
      </c>
      <c r="B497" s="17" t="s">
        <v>843</v>
      </c>
      <c r="C497" s="17" t="s">
        <v>1736</v>
      </c>
      <c r="D497" s="17" t="s">
        <v>2621</v>
      </c>
      <c r="E497" s="17" t="s">
        <v>3661</v>
      </c>
      <c r="F497" s="17" t="s">
        <v>3662</v>
      </c>
      <c r="G497" s="17" t="s">
        <v>5784</v>
      </c>
      <c r="H497" t="s">
        <v>7476</v>
      </c>
      <c r="I497" s="1">
        <v>2</v>
      </c>
      <c r="J497" s="1">
        <v>2</v>
      </c>
      <c r="K497" t="s">
        <v>6637</v>
      </c>
      <c r="L497" s="5">
        <f>VLOOKUP(D:D,[1]Munka2!$A:$B,2,FALSE)</f>
        <v>1</v>
      </c>
      <c r="M497" s="5">
        <f>_xlfn.IFNA(Táblázat1[[#This Row],[Kész2020]],0)</f>
        <v>1</v>
      </c>
      <c r="N497" s="5">
        <f>IF(Táblázat1[[#This Row],[Karb./akt.év]]-Táblázat1[[#This Row],[Kész2020_2]]&lt;0,0,Táblázat1[[#This Row],[Karb./akt.év]]-Táblázat1[[#This Row],[Kész2020_2]])</f>
        <v>1</v>
      </c>
    </row>
    <row r="498" spans="1:14" hidden="1" x14ac:dyDescent="0.25">
      <c r="A498" s="17" t="s">
        <v>6</v>
      </c>
      <c r="B498" s="17" t="s">
        <v>6740</v>
      </c>
      <c r="C498" s="17" t="s">
        <v>1737</v>
      </c>
      <c r="D498" s="17" t="s">
        <v>3249</v>
      </c>
      <c r="E498" s="17" t="s">
        <v>3838</v>
      </c>
      <c r="F498" s="17" t="s">
        <v>3839</v>
      </c>
      <c r="G498" s="17" t="s">
        <v>6323</v>
      </c>
      <c r="H498" t="s">
        <v>7476</v>
      </c>
      <c r="I498" s="1">
        <v>2</v>
      </c>
      <c r="J498" s="1">
        <v>2</v>
      </c>
      <c r="K498" t="s">
        <v>6784</v>
      </c>
      <c r="L498" s="5">
        <f>VLOOKUP(D:D,[1]Munka2!$A:$B,2,FALSE)</f>
        <v>1</v>
      </c>
      <c r="M498" s="5">
        <f>_xlfn.IFNA(Táblázat1[[#This Row],[Kész2020]],0)</f>
        <v>1</v>
      </c>
      <c r="N498" s="5">
        <f>IF(Táblázat1[[#This Row],[Karb./akt.év]]-Táblázat1[[#This Row],[Kész2020_2]]&lt;0,0,Táblázat1[[#This Row],[Karb./akt.év]]-Táblázat1[[#This Row],[Kész2020_2]])</f>
        <v>1</v>
      </c>
    </row>
    <row r="499" spans="1:14" hidden="1" x14ac:dyDescent="0.25">
      <c r="A499" s="17" t="s">
        <v>6</v>
      </c>
      <c r="B499" s="17" t="s">
        <v>1400</v>
      </c>
      <c r="C499" s="17" t="s">
        <v>1743</v>
      </c>
      <c r="D499" s="17" t="s">
        <v>3227</v>
      </c>
      <c r="E499" s="17" t="s">
        <v>3667</v>
      </c>
      <c r="F499" s="17" t="s">
        <v>3668</v>
      </c>
      <c r="G499" s="17" t="s">
        <v>6306</v>
      </c>
      <c r="H499" t="s">
        <v>7476</v>
      </c>
      <c r="I499" s="1">
        <v>2</v>
      </c>
      <c r="J499" s="1">
        <v>2</v>
      </c>
      <c r="K499" t="s">
        <v>6637</v>
      </c>
      <c r="L499" s="5">
        <f>VLOOKUP(D:D,[1]Munka2!$A:$B,2,FALSE)</f>
        <v>1</v>
      </c>
      <c r="M499" s="5">
        <f>_xlfn.IFNA(Táblázat1[[#This Row],[Kész2020]],0)</f>
        <v>1</v>
      </c>
      <c r="N499" s="5">
        <f>IF(Táblázat1[[#This Row],[Karb./akt.év]]-Táblázat1[[#This Row],[Kész2020_2]]&lt;0,0,Táblázat1[[#This Row],[Karb./akt.év]]-Táblázat1[[#This Row],[Kész2020_2]])</f>
        <v>1</v>
      </c>
    </row>
    <row r="500" spans="1:14" hidden="1" x14ac:dyDescent="0.25">
      <c r="A500" s="17" t="s">
        <v>6</v>
      </c>
      <c r="B500" s="17" t="s">
        <v>8107</v>
      </c>
      <c r="C500" s="17" t="s">
        <v>1743</v>
      </c>
      <c r="D500" s="17" t="s">
        <v>8124</v>
      </c>
      <c r="E500" s="17" t="s">
        <v>3641</v>
      </c>
      <c r="F500" s="17" t="s">
        <v>3642</v>
      </c>
      <c r="G500" s="17" t="s">
        <v>8149</v>
      </c>
      <c r="H500" t="s">
        <v>7476</v>
      </c>
      <c r="I500" s="1">
        <v>2</v>
      </c>
      <c r="J500" s="1">
        <v>1</v>
      </c>
      <c r="K500" t="s">
        <v>7354</v>
      </c>
      <c r="L500" s="5">
        <f>VLOOKUP(D:D,[1]Munka2!$A:$B,2,FALSE)</f>
        <v>1</v>
      </c>
      <c r="M500" s="5">
        <f>_xlfn.IFNA(Táblázat1[[#This Row],[Kész2020]],0)</f>
        <v>1</v>
      </c>
      <c r="N500" s="5">
        <f>IF(Táblázat1[[#This Row],[Karb./akt.év]]-Táblázat1[[#This Row],[Kész2020_2]]&lt;0,0,Táblázat1[[#This Row],[Karb./akt.év]]-Táblázat1[[#This Row],[Kész2020_2]])</f>
        <v>0</v>
      </c>
    </row>
    <row r="501" spans="1:14" hidden="1" x14ac:dyDescent="0.25">
      <c r="A501" s="17" t="s">
        <v>6</v>
      </c>
      <c r="B501" s="17" t="s">
        <v>8108</v>
      </c>
      <c r="C501" s="17" t="s">
        <v>1743</v>
      </c>
      <c r="D501" s="17" t="s">
        <v>8125</v>
      </c>
      <c r="E501" s="17" t="s">
        <v>3641</v>
      </c>
      <c r="F501" s="17" t="s">
        <v>3642</v>
      </c>
      <c r="G501" s="17" t="s">
        <v>8149</v>
      </c>
      <c r="H501" t="s">
        <v>7476</v>
      </c>
      <c r="I501" s="1">
        <v>2</v>
      </c>
      <c r="J501" s="1">
        <v>2</v>
      </c>
      <c r="K501" t="s">
        <v>7354</v>
      </c>
      <c r="L501" s="5">
        <f>VLOOKUP(D:D,[1]Munka2!$A:$B,2,FALSE)</f>
        <v>1</v>
      </c>
      <c r="M501" s="5">
        <f>_xlfn.IFNA(Táblázat1[[#This Row],[Kész2020]],0)</f>
        <v>1</v>
      </c>
      <c r="N501" s="5">
        <f>IF(Táblázat1[[#This Row],[Karb./akt.év]]-Táblázat1[[#This Row],[Kész2020_2]]&lt;0,0,Táblázat1[[#This Row],[Karb./akt.év]]-Táblázat1[[#This Row],[Kész2020_2]])</f>
        <v>1</v>
      </c>
    </row>
    <row r="502" spans="1:14" hidden="1" x14ac:dyDescent="0.25">
      <c r="A502" s="17" t="s">
        <v>6</v>
      </c>
      <c r="B502" s="17" t="s">
        <v>8109</v>
      </c>
      <c r="C502" s="17" t="s">
        <v>1736</v>
      </c>
      <c r="D502" s="17" t="s">
        <v>8126</v>
      </c>
      <c r="E502" s="17" t="s">
        <v>3641</v>
      </c>
      <c r="F502" s="17" t="s">
        <v>3642</v>
      </c>
      <c r="G502" s="17" t="s">
        <v>8149</v>
      </c>
      <c r="H502" t="s">
        <v>7476</v>
      </c>
      <c r="I502" s="1">
        <v>2</v>
      </c>
      <c r="J502" s="1">
        <v>2</v>
      </c>
      <c r="K502" t="s">
        <v>7354</v>
      </c>
      <c r="L502" s="5">
        <f>VLOOKUP(D:D,[1]Munka2!$A:$B,2,FALSE)</f>
        <v>1</v>
      </c>
      <c r="M502" s="5">
        <f>_xlfn.IFNA(Táblázat1[[#This Row],[Kész2020]],0)</f>
        <v>1</v>
      </c>
      <c r="N502" s="5">
        <f>IF(Táblázat1[[#This Row],[Karb./akt.év]]-Táblázat1[[#This Row],[Kész2020_2]]&lt;0,0,Táblázat1[[#This Row],[Karb./akt.év]]-Táblázat1[[#This Row],[Kész2020_2]])</f>
        <v>1</v>
      </c>
    </row>
    <row r="503" spans="1:14" hidden="1" x14ac:dyDescent="0.25">
      <c r="A503" s="17" t="s">
        <v>6</v>
      </c>
      <c r="B503" s="17" t="s">
        <v>8110</v>
      </c>
      <c r="C503" s="17" t="s">
        <v>1736</v>
      </c>
      <c r="D503" s="17" t="s">
        <v>7413</v>
      </c>
      <c r="E503" s="17" t="s">
        <v>3641</v>
      </c>
      <c r="F503" s="17" t="s">
        <v>3642</v>
      </c>
      <c r="G503" s="17" t="s">
        <v>8149</v>
      </c>
      <c r="H503" t="s">
        <v>7476</v>
      </c>
      <c r="I503" s="1">
        <v>2</v>
      </c>
      <c r="J503" s="1">
        <v>1</v>
      </c>
      <c r="K503" t="s">
        <v>7354</v>
      </c>
      <c r="L503" s="5">
        <f>VLOOKUP(D:D,[1]Munka2!$A:$B,2,FALSE)</f>
        <v>1</v>
      </c>
      <c r="M503" s="5">
        <f>_xlfn.IFNA(Táblázat1[[#This Row],[Kész2020]],0)</f>
        <v>1</v>
      </c>
      <c r="N503" s="5">
        <f>IF(Táblázat1[[#This Row],[Karb./akt.év]]-Táblázat1[[#This Row],[Kész2020_2]]&lt;0,0,Táblázat1[[#This Row],[Karb./akt.év]]-Táblázat1[[#This Row],[Kész2020_2]])</f>
        <v>0</v>
      </c>
    </row>
    <row r="504" spans="1:14" hidden="1" x14ac:dyDescent="0.25">
      <c r="A504" s="17" t="s">
        <v>6</v>
      </c>
      <c r="B504" s="17" t="s">
        <v>8188</v>
      </c>
      <c r="C504" s="17" t="s">
        <v>1735</v>
      </c>
      <c r="D504" s="17" t="s">
        <v>8196</v>
      </c>
      <c r="E504" s="17" t="s">
        <v>4577</v>
      </c>
      <c r="F504" s="17" t="s">
        <v>3681</v>
      </c>
      <c r="G504" s="17" t="s">
        <v>8200</v>
      </c>
      <c r="H504" t="s">
        <v>7476</v>
      </c>
      <c r="I504" s="1" t="e">
        <v>#N/A</v>
      </c>
      <c r="J504" s="1" t="e">
        <v>#N/A</v>
      </c>
      <c r="K504" t="e">
        <v>#N/A</v>
      </c>
      <c r="L504" s="5" t="e">
        <f>VLOOKUP(D:D,[1]Munka2!$A:$B,2,FALSE)</f>
        <v>#N/A</v>
      </c>
      <c r="M504" s="5">
        <f>_xlfn.IFNA(Táblázat1[[#This Row],[Kész2020]],0)</f>
        <v>0</v>
      </c>
      <c r="N504" s="5" t="e">
        <f>IF(Táblázat1[[#This Row],[Karb./akt.év]]-Táblázat1[[#This Row],[Kész2020_2]]&lt;0,0,Táblázat1[[#This Row],[Karb./akt.év]]-Táblázat1[[#This Row],[Kész2020_2]])</f>
        <v>#N/A</v>
      </c>
    </row>
    <row r="505" spans="1:14" hidden="1" x14ac:dyDescent="0.25">
      <c r="A505" s="17" t="s">
        <v>6</v>
      </c>
      <c r="B505" s="17" t="s">
        <v>1017</v>
      </c>
      <c r="C505" s="17" t="s">
        <v>1743</v>
      </c>
      <c r="D505" s="17" t="s">
        <v>7409</v>
      </c>
      <c r="E505" s="17" t="s">
        <v>3824</v>
      </c>
      <c r="F505" s="17" t="s">
        <v>3598</v>
      </c>
      <c r="G505" s="17" t="s">
        <v>5945</v>
      </c>
      <c r="H505" t="s">
        <v>7476</v>
      </c>
      <c r="I505" s="1">
        <v>2</v>
      </c>
      <c r="J505" s="1">
        <v>2</v>
      </c>
      <c r="K505" t="s">
        <v>6785</v>
      </c>
      <c r="L505" s="5">
        <f>VLOOKUP(D:D,[1]Munka2!$A:$B,2,FALSE)</f>
        <v>1</v>
      </c>
      <c r="M505" s="5">
        <f>_xlfn.IFNA(Táblázat1[[#This Row],[Kész2020]],0)</f>
        <v>1</v>
      </c>
      <c r="N505" s="5">
        <f>IF(Táblázat1[[#This Row],[Karb./akt.év]]-Táblázat1[[#This Row],[Kész2020_2]]&lt;0,0,Táblázat1[[#This Row],[Karb./akt.év]]-Táblázat1[[#This Row],[Kész2020_2]])</f>
        <v>1</v>
      </c>
    </row>
    <row r="506" spans="1:14" hidden="1" x14ac:dyDescent="0.25">
      <c r="A506" s="17" t="s">
        <v>6</v>
      </c>
      <c r="B506" s="17" t="s">
        <v>6798</v>
      </c>
      <c r="C506" s="17" t="s">
        <v>1737</v>
      </c>
      <c r="D506" s="17" t="s">
        <v>2131</v>
      </c>
      <c r="E506" s="17" t="s">
        <v>3757</v>
      </c>
      <c r="F506" s="17" t="s">
        <v>3598</v>
      </c>
      <c r="G506" s="17" t="s">
        <v>5345</v>
      </c>
      <c r="H506" t="s">
        <v>7476</v>
      </c>
      <c r="I506" s="1">
        <v>2</v>
      </c>
      <c r="J506" s="1">
        <v>2</v>
      </c>
      <c r="K506" t="s">
        <v>6785</v>
      </c>
      <c r="L506" s="5">
        <f>VLOOKUP(D:D,[1]Munka2!$A:$B,2,FALSE)</f>
        <v>1</v>
      </c>
      <c r="M506" s="5">
        <f>_xlfn.IFNA(Táblázat1[[#This Row],[Kész2020]],0)</f>
        <v>1</v>
      </c>
      <c r="N506" s="5">
        <f>IF(Táblázat1[[#This Row],[Karb./akt.év]]-Táblázat1[[#This Row],[Kész2020_2]]&lt;0,0,Táblázat1[[#This Row],[Karb./akt.év]]-Táblázat1[[#This Row],[Kész2020_2]])</f>
        <v>1</v>
      </c>
    </row>
    <row r="507" spans="1:14" x14ac:dyDescent="0.25">
      <c r="A507" s="17" t="s">
        <v>6</v>
      </c>
      <c r="B507" s="17" t="s">
        <v>1031</v>
      </c>
      <c r="C507" s="17" t="s">
        <v>1737</v>
      </c>
      <c r="D507" s="17" t="s">
        <v>2821</v>
      </c>
      <c r="E507" s="17" t="s">
        <v>3850</v>
      </c>
      <c r="F507" s="17" t="s">
        <v>3598</v>
      </c>
      <c r="G507" s="17" t="s">
        <v>5958</v>
      </c>
      <c r="H507" t="s">
        <v>7476</v>
      </c>
      <c r="I507" s="1">
        <v>2</v>
      </c>
      <c r="J507" s="1">
        <v>2</v>
      </c>
      <c r="K507" t="s">
        <v>7017</v>
      </c>
      <c r="L507" s="5" t="e">
        <f>VLOOKUP(D:D,[1]Munka2!$A:$B,2,FALSE)</f>
        <v>#N/A</v>
      </c>
      <c r="M507" s="5">
        <f>_xlfn.IFNA(Táblázat1[[#This Row],[Kész2020]],0)</f>
        <v>0</v>
      </c>
      <c r="N507" s="5">
        <f>IF(Táblázat1[[#This Row],[Karb./akt.év]]-Táblázat1[[#This Row],[Kész2020_2]]&lt;0,0,Táblázat1[[#This Row],[Karb./akt.év]]-Táblázat1[[#This Row],[Kész2020_2]])</f>
        <v>2</v>
      </c>
    </row>
    <row r="508" spans="1:14" hidden="1" x14ac:dyDescent="0.25">
      <c r="A508" s="17" t="s">
        <v>6</v>
      </c>
      <c r="B508" s="17" t="s">
        <v>393</v>
      </c>
      <c r="C508" s="17" t="s">
        <v>1737</v>
      </c>
      <c r="D508" s="17" t="s">
        <v>2148</v>
      </c>
      <c r="E508" s="17" t="s">
        <v>4016</v>
      </c>
      <c r="F508" s="17" t="s">
        <v>3598</v>
      </c>
      <c r="G508" s="17" t="s">
        <v>5361</v>
      </c>
      <c r="H508" t="s">
        <v>7476</v>
      </c>
      <c r="I508" s="1">
        <v>2</v>
      </c>
      <c r="J508" s="1">
        <v>2</v>
      </c>
      <c r="K508" t="s">
        <v>8101</v>
      </c>
      <c r="L508" s="5">
        <f>VLOOKUP(D:D,[1]Munka2!$A:$B,2,FALSE)</f>
        <v>1</v>
      </c>
      <c r="M508" s="5">
        <f>_xlfn.IFNA(Táblázat1[[#This Row],[Kész2020]],0)</f>
        <v>1</v>
      </c>
      <c r="N508" s="5">
        <f>IF(Táblázat1[[#This Row],[Karb./akt.év]]-Táblázat1[[#This Row],[Kész2020_2]]&lt;0,0,Táblázat1[[#This Row],[Karb./akt.év]]-Táblázat1[[#This Row],[Kész2020_2]])</f>
        <v>1</v>
      </c>
    </row>
    <row r="509" spans="1:14" hidden="1" x14ac:dyDescent="0.25">
      <c r="A509" s="17" t="s">
        <v>6</v>
      </c>
      <c r="B509" s="17" t="s">
        <v>145</v>
      </c>
      <c r="C509" s="17" t="s">
        <v>1737</v>
      </c>
      <c r="D509" s="17" t="s">
        <v>1885</v>
      </c>
      <c r="E509" s="17" t="s">
        <v>3746</v>
      </c>
      <c r="F509" s="17" t="s">
        <v>3598</v>
      </c>
      <c r="G509" s="17" t="s">
        <v>5118</v>
      </c>
      <c r="H509" t="s">
        <v>7476</v>
      </c>
      <c r="I509" s="1">
        <v>2</v>
      </c>
      <c r="J509" s="1">
        <v>2</v>
      </c>
      <c r="K509" t="s">
        <v>8101</v>
      </c>
      <c r="L509" s="5">
        <f>VLOOKUP(D:D,[1]Munka2!$A:$B,2,FALSE)</f>
        <v>1</v>
      </c>
      <c r="M509" s="5">
        <f>_xlfn.IFNA(Táblázat1[[#This Row],[Kész2020]],0)</f>
        <v>1</v>
      </c>
      <c r="N509" s="5">
        <f>IF(Táblázat1[[#This Row],[Karb./akt.év]]-Táblázat1[[#This Row],[Kész2020_2]]&lt;0,0,Táblázat1[[#This Row],[Karb./akt.év]]-Táblázat1[[#This Row],[Kész2020_2]])</f>
        <v>1</v>
      </c>
    </row>
    <row r="510" spans="1:14" x14ac:dyDescent="0.25">
      <c r="A510" s="17" t="s">
        <v>6</v>
      </c>
      <c r="B510" s="17" t="s">
        <v>7008</v>
      </c>
      <c r="C510" s="17" t="s">
        <v>1736</v>
      </c>
      <c r="D510" s="17" t="s">
        <v>3484</v>
      </c>
      <c r="E510" s="17" t="s">
        <v>3817</v>
      </c>
      <c r="F510" s="17" t="s">
        <v>3598</v>
      </c>
      <c r="G510" s="17" t="s">
        <v>5523</v>
      </c>
      <c r="H510" t="s">
        <v>7476</v>
      </c>
      <c r="I510" s="1">
        <v>2</v>
      </c>
      <c r="J510" s="1">
        <v>2</v>
      </c>
      <c r="K510" t="s">
        <v>6633</v>
      </c>
      <c r="L510" s="5" t="e">
        <f>VLOOKUP(D:D,[1]Munka2!$A:$B,2,FALSE)</f>
        <v>#N/A</v>
      </c>
      <c r="M510" s="5">
        <f>_xlfn.IFNA(Táblázat1[[#This Row],[Kész2020]],0)</f>
        <v>0</v>
      </c>
      <c r="N510" s="5">
        <f>IF(Táblázat1[[#This Row],[Karb./akt.év]]-Táblázat1[[#This Row],[Kész2020_2]]&lt;0,0,Táblázat1[[#This Row],[Karb./akt.év]]-Táblázat1[[#This Row],[Kész2020_2]])</f>
        <v>2</v>
      </c>
    </row>
    <row r="511" spans="1:14" hidden="1" x14ac:dyDescent="0.25">
      <c r="A511" s="17" t="s">
        <v>6</v>
      </c>
      <c r="B511" s="17" t="s">
        <v>1709</v>
      </c>
      <c r="C511" s="17" t="s">
        <v>1735</v>
      </c>
      <c r="D511" s="17" t="s">
        <v>3566</v>
      </c>
      <c r="E511" s="17" t="s">
        <v>4035</v>
      </c>
      <c r="F511" s="17" t="s">
        <v>3598</v>
      </c>
      <c r="G511" s="17" t="s">
        <v>6604</v>
      </c>
      <c r="H511" t="s">
        <v>7476</v>
      </c>
      <c r="I511" s="1">
        <v>2</v>
      </c>
      <c r="J511" s="1">
        <v>2</v>
      </c>
      <c r="K511" t="s">
        <v>6785</v>
      </c>
      <c r="L511" s="5">
        <f>VLOOKUP(D:D,[1]Munka2!$A:$B,2,FALSE)</f>
        <v>1</v>
      </c>
      <c r="M511" s="5">
        <f>_xlfn.IFNA(Táblázat1[[#This Row],[Kész2020]],0)</f>
        <v>1</v>
      </c>
      <c r="N511" s="5">
        <f>IF(Táblázat1[[#This Row],[Karb./akt.év]]-Táblázat1[[#This Row],[Kész2020_2]]&lt;0,0,Táblázat1[[#This Row],[Karb./akt.év]]-Táblázat1[[#This Row],[Kész2020_2]])</f>
        <v>1</v>
      </c>
    </row>
    <row r="512" spans="1:14" hidden="1" x14ac:dyDescent="0.25">
      <c r="A512" s="17" t="s">
        <v>6</v>
      </c>
      <c r="B512" s="17" t="s">
        <v>6708</v>
      </c>
      <c r="C512" s="17" t="s">
        <v>1736</v>
      </c>
      <c r="D512" s="17" t="s">
        <v>7407</v>
      </c>
      <c r="E512" s="17" t="s">
        <v>3879</v>
      </c>
      <c r="F512" s="17" t="s">
        <v>3598</v>
      </c>
      <c r="G512" s="17" t="s">
        <v>5761</v>
      </c>
      <c r="H512" t="s">
        <v>7476</v>
      </c>
      <c r="I512" s="1">
        <v>2</v>
      </c>
      <c r="J512" s="1">
        <v>2</v>
      </c>
      <c r="K512" t="s">
        <v>6641</v>
      </c>
      <c r="L512" s="5">
        <f>VLOOKUP(D:D,[1]Munka2!$A:$B,2,FALSE)</f>
        <v>1</v>
      </c>
      <c r="M512" s="5">
        <f>_xlfn.IFNA(Táblázat1[[#This Row],[Kész2020]],0)</f>
        <v>1</v>
      </c>
      <c r="N512" s="5">
        <f>IF(Táblázat1[[#This Row],[Karb./akt.év]]-Táblázat1[[#This Row],[Kész2020_2]]&lt;0,0,Táblázat1[[#This Row],[Karb./akt.év]]-Táblázat1[[#This Row],[Kész2020_2]])</f>
        <v>1</v>
      </c>
    </row>
    <row r="513" spans="1:14" x14ac:dyDescent="0.25">
      <c r="A513" s="17" t="s">
        <v>6</v>
      </c>
      <c r="B513" s="17" t="s">
        <v>6709</v>
      </c>
      <c r="C513" s="17" t="s">
        <v>1737</v>
      </c>
      <c r="D513" s="17" t="s">
        <v>8176</v>
      </c>
      <c r="E513" s="17" t="s">
        <v>3767</v>
      </c>
      <c r="F513" s="17" t="s">
        <v>3598</v>
      </c>
      <c r="G513" s="17" t="s">
        <v>5859</v>
      </c>
      <c r="H513" t="s">
        <v>7476</v>
      </c>
      <c r="I513" s="1">
        <v>2</v>
      </c>
      <c r="J513" s="1">
        <v>2</v>
      </c>
      <c r="K513" t="s">
        <v>8101</v>
      </c>
      <c r="L513" s="5" t="e">
        <f>VLOOKUP(D:D,[1]Munka2!$A:$B,2,FALSE)</f>
        <v>#N/A</v>
      </c>
      <c r="M513" s="5">
        <f>_xlfn.IFNA(Táblázat1[[#This Row],[Kész2020]],0)</f>
        <v>0</v>
      </c>
      <c r="N513" s="5">
        <f>IF(Táblázat1[[#This Row],[Karb./akt.év]]-Táblázat1[[#This Row],[Kész2020_2]]&lt;0,0,Táblázat1[[#This Row],[Karb./akt.év]]-Táblázat1[[#This Row],[Kész2020_2]])</f>
        <v>2</v>
      </c>
    </row>
    <row r="514" spans="1:14" hidden="1" x14ac:dyDescent="0.25">
      <c r="A514" s="17" t="s">
        <v>6</v>
      </c>
      <c r="B514" s="17" t="s">
        <v>6734</v>
      </c>
      <c r="C514" s="17" t="s">
        <v>1737</v>
      </c>
      <c r="D514" s="17" t="s">
        <v>2767</v>
      </c>
      <c r="E514" s="17" t="s">
        <v>4563</v>
      </c>
      <c r="F514" s="17" t="s">
        <v>3598</v>
      </c>
      <c r="G514" s="17" t="s">
        <v>5908</v>
      </c>
      <c r="H514" t="s">
        <v>7476</v>
      </c>
      <c r="I514" s="1">
        <v>2</v>
      </c>
      <c r="J514" s="1">
        <v>2</v>
      </c>
      <c r="K514" t="s">
        <v>6785</v>
      </c>
      <c r="L514" s="5">
        <f>VLOOKUP(D:D,[1]Munka2!$A:$B,2,FALSE)</f>
        <v>1</v>
      </c>
      <c r="M514" s="5">
        <f>_xlfn.IFNA(Táblázat1[[#This Row],[Kész2020]],0)</f>
        <v>1</v>
      </c>
      <c r="N514" s="5">
        <f>IF(Táblázat1[[#This Row],[Karb./akt.év]]-Táblázat1[[#This Row],[Kész2020_2]]&lt;0,0,Táblázat1[[#This Row],[Karb./akt.év]]-Táblázat1[[#This Row],[Kész2020_2]])</f>
        <v>1</v>
      </c>
    </row>
    <row r="515" spans="1:14" hidden="1" x14ac:dyDescent="0.25">
      <c r="A515" s="17" t="s">
        <v>6</v>
      </c>
      <c r="B515" s="17" t="s">
        <v>441</v>
      </c>
      <c r="C515" s="17" t="s">
        <v>1743</v>
      </c>
      <c r="D515" s="17" t="s">
        <v>2199</v>
      </c>
      <c r="E515" s="17" t="s">
        <v>4052</v>
      </c>
      <c r="F515" s="17" t="s">
        <v>3598</v>
      </c>
      <c r="G515" s="17" t="s">
        <v>5407</v>
      </c>
      <c r="H515" t="s">
        <v>7476</v>
      </c>
      <c r="I515" s="1">
        <v>2</v>
      </c>
      <c r="J515" s="1">
        <v>2</v>
      </c>
      <c r="K515" t="s">
        <v>7017</v>
      </c>
      <c r="L515" s="5">
        <f>VLOOKUP(D:D,[1]Munka2!$A:$B,2,FALSE)</f>
        <v>1</v>
      </c>
      <c r="M515" s="5">
        <f>_xlfn.IFNA(Táblázat1[[#This Row],[Kész2020]],0)</f>
        <v>1</v>
      </c>
      <c r="N515" s="5">
        <f>IF(Táblázat1[[#This Row],[Karb./akt.év]]-Táblázat1[[#This Row],[Kész2020_2]]&lt;0,0,Táblázat1[[#This Row],[Karb./akt.év]]-Táblázat1[[#This Row],[Kész2020_2]])</f>
        <v>1</v>
      </c>
    </row>
    <row r="516" spans="1:14" x14ac:dyDescent="0.25">
      <c r="A516" s="17" t="s">
        <v>6</v>
      </c>
      <c r="B516" s="17" t="s">
        <v>1030</v>
      </c>
      <c r="C516" s="17" t="s">
        <v>1743</v>
      </c>
      <c r="D516" s="17" t="s">
        <v>2820</v>
      </c>
      <c r="E516" s="17" t="s">
        <v>4063</v>
      </c>
      <c r="F516" s="17" t="s">
        <v>3598</v>
      </c>
      <c r="G516" s="17" t="s">
        <v>5958</v>
      </c>
      <c r="H516" t="s">
        <v>7476</v>
      </c>
      <c r="I516" s="1">
        <v>2</v>
      </c>
      <c r="J516" s="1">
        <v>2</v>
      </c>
      <c r="K516" t="s">
        <v>7017</v>
      </c>
      <c r="L516" s="5" t="e">
        <f>VLOOKUP(D:D,[1]Munka2!$A:$B,2,FALSE)</f>
        <v>#N/A</v>
      </c>
      <c r="M516" s="5">
        <f>_xlfn.IFNA(Táblázat1[[#This Row],[Kész2020]],0)</f>
        <v>0</v>
      </c>
      <c r="N516" s="5">
        <f>IF(Táblázat1[[#This Row],[Karb./akt.év]]-Táblázat1[[#This Row],[Kész2020_2]]&lt;0,0,Táblázat1[[#This Row],[Karb./akt.év]]-Táblázat1[[#This Row],[Kész2020_2]])</f>
        <v>2</v>
      </c>
    </row>
    <row r="517" spans="1:14" hidden="1" x14ac:dyDescent="0.25">
      <c r="A517" s="17" t="s">
        <v>6</v>
      </c>
      <c r="B517" s="17" t="s">
        <v>1075</v>
      </c>
      <c r="C517" s="17" t="s">
        <v>1743</v>
      </c>
      <c r="D517" s="17" t="s">
        <v>2866</v>
      </c>
      <c r="E517" s="17" t="s">
        <v>3757</v>
      </c>
      <c r="F517" s="17" t="s">
        <v>3598</v>
      </c>
      <c r="G517" s="17" t="s">
        <v>6005</v>
      </c>
      <c r="H517" t="s">
        <v>7476</v>
      </c>
      <c r="I517" s="1">
        <v>2</v>
      </c>
      <c r="J517" s="1">
        <v>2</v>
      </c>
      <c r="K517" t="s">
        <v>6785</v>
      </c>
      <c r="L517" s="5">
        <f>VLOOKUP(D:D,[1]Munka2!$A:$B,2,FALSE)</f>
        <v>1</v>
      </c>
      <c r="M517" s="5">
        <f>_xlfn.IFNA(Táblázat1[[#This Row],[Kész2020]],0)</f>
        <v>1</v>
      </c>
      <c r="N517" s="5">
        <f>IF(Táblázat1[[#This Row],[Karb./akt.év]]-Táblázat1[[#This Row],[Kész2020_2]]&lt;0,0,Táblázat1[[#This Row],[Karb./akt.év]]-Táblázat1[[#This Row],[Kész2020_2]])</f>
        <v>1</v>
      </c>
    </row>
    <row r="518" spans="1:14" x14ac:dyDescent="0.25">
      <c r="A518" s="17" t="s">
        <v>6</v>
      </c>
      <c r="B518" s="17" t="s">
        <v>92</v>
      </c>
      <c r="C518" s="17" t="s">
        <v>1742</v>
      </c>
      <c r="D518" s="17" t="s">
        <v>1832</v>
      </c>
      <c r="E518" s="17" t="s">
        <v>3677</v>
      </c>
      <c r="F518" s="17" t="s">
        <v>3598</v>
      </c>
      <c r="G518" s="17" t="s">
        <v>5063</v>
      </c>
      <c r="H518" t="s">
        <v>7476</v>
      </c>
      <c r="I518" s="1">
        <v>2</v>
      </c>
      <c r="J518" s="1">
        <v>2</v>
      </c>
      <c r="K518" t="s">
        <v>8101</v>
      </c>
      <c r="L518" s="5" t="e">
        <f>VLOOKUP(D:D,[1]Munka2!$A:$B,2,FALSE)</f>
        <v>#N/A</v>
      </c>
      <c r="M518" s="5">
        <f>_xlfn.IFNA(Táblázat1[[#This Row],[Kész2020]],0)</f>
        <v>0</v>
      </c>
      <c r="N518" s="5">
        <f>IF(Táblázat1[[#This Row],[Karb./akt.év]]-Táblázat1[[#This Row],[Kész2020_2]]&lt;0,0,Táblázat1[[#This Row],[Karb./akt.év]]-Táblázat1[[#This Row],[Kész2020_2]])</f>
        <v>2</v>
      </c>
    </row>
    <row r="519" spans="1:14" hidden="1" x14ac:dyDescent="0.25">
      <c r="A519" s="17" t="s">
        <v>6</v>
      </c>
      <c r="B519" s="17" t="s">
        <v>7213</v>
      </c>
      <c r="C519" s="17" t="s">
        <v>1736</v>
      </c>
      <c r="D519" s="17" t="s">
        <v>2887</v>
      </c>
      <c r="E519" s="17" t="s">
        <v>4617</v>
      </c>
      <c r="F519" s="17" t="s">
        <v>3598</v>
      </c>
      <c r="G519" s="17" t="s">
        <v>6024</v>
      </c>
      <c r="H519" t="s">
        <v>7476</v>
      </c>
      <c r="I519" s="1">
        <v>2</v>
      </c>
      <c r="J519" s="1">
        <v>2</v>
      </c>
      <c r="K519" t="s">
        <v>6785</v>
      </c>
      <c r="L519" s="5">
        <f>VLOOKUP(D:D,[1]Munka2!$A:$B,2,FALSE)</f>
        <v>1</v>
      </c>
      <c r="M519" s="5">
        <f>_xlfn.IFNA(Táblázat1[[#This Row],[Kész2020]],0)</f>
        <v>1</v>
      </c>
      <c r="N519" s="5">
        <f>IF(Táblázat1[[#This Row],[Karb./akt.év]]-Táblázat1[[#This Row],[Kész2020_2]]&lt;0,0,Táblázat1[[#This Row],[Karb./akt.év]]-Táblázat1[[#This Row],[Kész2020_2]])</f>
        <v>1</v>
      </c>
    </row>
    <row r="520" spans="1:14" hidden="1" x14ac:dyDescent="0.25">
      <c r="A520" s="17" t="s">
        <v>6</v>
      </c>
      <c r="B520" s="17" t="s">
        <v>155</v>
      </c>
      <c r="C520" s="17" t="s">
        <v>1736</v>
      </c>
      <c r="D520" s="17" t="s">
        <v>1895</v>
      </c>
      <c r="E520" s="17" t="s">
        <v>3758</v>
      </c>
      <c r="F520" s="17" t="s">
        <v>3598</v>
      </c>
      <c r="G520" s="17" t="s">
        <v>5127</v>
      </c>
      <c r="H520" t="s">
        <v>7476</v>
      </c>
      <c r="I520" s="1">
        <v>2</v>
      </c>
      <c r="J520" s="1">
        <v>2</v>
      </c>
      <c r="K520" t="s">
        <v>6785</v>
      </c>
      <c r="L520" s="5">
        <f>VLOOKUP(D:D,[1]Munka2!$A:$B,2,FALSE)</f>
        <v>1</v>
      </c>
      <c r="M520" s="5">
        <f>_xlfn.IFNA(Táblázat1[[#This Row],[Kész2020]],0)</f>
        <v>1</v>
      </c>
      <c r="N520" s="5">
        <f>IF(Táblázat1[[#This Row],[Karb./akt.év]]-Táblázat1[[#This Row],[Kész2020_2]]&lt;0,0,Táblázat1[[#This Row],[Karb./akt.év]]-Táblázat1[[#This Row],[Kész2020_2]])</f>
        <v>1</v>
      </c>
    </row>
    <row r="521" spans="1:14" hidden="1" x14ac:dyDescent="0.25">
      <c r="A521" s="17" t="s">
        <v>6</v>
      </c>
      <c r="B521" s="17" t="s">
        <v>6796</v>
      </c>
      <c r="C521" s="17" t="s">
        <v>1736</v>
      </c>
      <c r="D521" s="17" t="s">
        <v>6812</v>
      </c>
      <c r="E521" s="17" t="s">
        <v>3939</v>
      </c>
      <c r="F521" s="17" t="s">
        <v>3940</v>
      </c>
      <c r="G521" s="17" t="s">
        <v>5290</v>
      </c>
      <c r="H521" t="s">
        <v>7476</v>
      </c>
      <c r="I521" s="1">
        <v>2</v>
      </c>
      <c r="J521" s="1">
        <v>2</v>
      </c>
      <c r="K521" t="s">
        <v>6633</v>
      </c>
      <c r="L521" s="5">
        <f>VLOOKUP(D:D,[1]Munka2!$A:$B,2,FALSE)</f>
        <v>1</v>
      </c>
      <c r="M521" s="5">
        <f>_xlfn.IFNA(Táblázat1[[#This Row],[Kész2020]],0)</f>
        <v>1</v>
      </c>
      <c r="N521" s="5">
        <f>IF(Táblázat1[[#This Row],[Karb./akt.év]]-Táblázat1[[#This Row],[Kész2020_2]]&lt;0,0,Táblázat1[[#This Row],[Karb./akt.év]]-Táblázat1[[#This Row],[Kész2020_2]])</f>
        <v>1</v>
      </c>
    </row>
    <row r="522" spans="1:14" hidden="1" x14ac:dyDescent="0.25">
      <c r="A522" s="17" t="s">
        <v>6</v>
      </c>
      <c r="B522" s="17" t="s">
        <v>1346</v>
      </c>
      <c r="C522" s="17" t="s">
        <v>1743</v>
      </c>
      <c r="D522" s="17" t="s">
        <v>3165</v>
      </c>
      <c r="E522" s="17" t="s">
        <v>3988</v>
      </c>
      <c r="F522" s="17" t="s">
        <v>3989</v>
      </c>
      <c r="G522" s="17" t="s">
        <v>6261</v>
      </c>
      <c r="H522" t="s">
        <v>7476</v>
      </c>
      <c r="I522" s="1">
        <v>2</v>
      </c>
      <c r="J522" s="1">
        <v>2</v>
      </c>
      <c r="K522" t="s">
        <v>6636</v>
      </c>
      <c r="L522" s="5">
        <f>VLOOKUP(D:D,[1]Munka2!$A:$B,2,FALSE)</f>
        <v>1</v>
      </c>
      <c r="M522" s="5">
        <f>_xlfn.IFNA(Táblázat1[[#This Row],[Kész2020]],0)</f>
        <v>1</v>
      </c>
      <c r="N522" s="5">
        <f>IF(Táblázat1[[#This Row],[Karb./akt.év]]-Táblázat1[[#This Row],[Kész2020_2]]&lt;0,0,Táblázat1[[#This Row],[Karb./akt.év]]-Táblázat1[[#This Row],[Kész2020_2]])</f>
        <v>1</v>
      </c>
    </row>
    <row r="523" spans="1:14" x14ac:dyDescent="0.25">
      <c r="A523" s="17" t="s">
        <v>6</v>
      </c>
      <c r="B523" s="17" t="s">
        <v>127</v>
      </c>
      <c r="C523" s="17" t="s">
        <v>1735</v>
      </c>
      <c r="D523" s="17" t="s">
        <v>1866</v>
      </c>
      <c r="E523" s="17" t="s">
        <v>3717</v>
      </c>
      <c r="F523" s="17" t="s">
        <v>3718</v>
      </c>
      <c r="G523" s="17" t="s">
        <v>5098</v>
      </c>
      <c r="H523" t="s">
        <v>7476</v>
      </c>
      <c r="I523" s="1">
        <v>2</v>
      </c>
      <c r="J523" s="1">
        <v>2</v>
      </c>
      <c r="K523" t="s">
        <v>8102</v>
      </c>
      <c r="L523" s="5" t="e">
        <f>VLOOKUP(D:D,[1]Munka2!$A:$B,2,FALSE)</f>
        <v>#N/A</v>
      </c>
      <c r="M523" s="5">
        <f>_xlfn.IFNA(Táblázat1[[#This Row],[Kész2020]],0)</f>
        <v>0</v>
      </c>
      <c r="N523" s="5">
        <f>IF(Táblázat1[[#This Row],[Karb./akt.év]]-Táblázat1[[#This Row],[Kész2020_2]]&lt;0,0,Táblázat1[[#This Row],[Karb./akt.év]]-Táblázat1[[#This Row],[Kész2020_2]])</f>
        <v>2</v>
      </c>
    </row>
    <row r="524" spans="1:14" hidden="1" x14ac:dyDescent="0.25">
      <c r="A524" s="17" t="s">
        <v>6</v>
      </c>
      <c r="B524" s="17" t="s">
        <v>1298</v>
      </c>
      <c r="C524" s="17" t="s">
        <v>1736</v>
      </c>
      <c r="D524" s="17" t="s">
        <v>3112</v>
      </c>
      <c r="E524" s="17" t="s">
        <v>4049</v>
      </c>
      <c r="F524" s="17" t="s">
        <v>3718</v>
      </c>
      <c r="G524" s="17" t="s">
        <v>6217</v>
      </c>
      <c r="H524" t="s">
        <v>7476</v>
      </c>
      <c r="I524" s="1">
        <v>2</v>
      </c>
      <c r="J524" s="1">
        <v>2</v>
      </c>
      <c r="K524" t="s">
        <v>8102</v>
      </c>
      <c r="L524" s="5">
        <f>VLOOKUP(D:D,[1]Munka2!$A:$B,2,FALSE)</f>
        <v>1</v>
      </c>
      <c r="M524" s="5">
        <f>_xlfn.IFNA(Táblázat1[[#This Row],[Kész2020]],0)</f>
        <v>1</v>
      </c>
      <c r="N524" s="5">
        <f>IF(Táblázat1[[#This Row],[Karb./akt.év]]-Táblázat1[[#This Row],[Kész2020_2]]&lt;0,0,Táblázat1[[#This Row],[Karb./akt.év]]-Táblázat1[[#This Row],[Kész2020_2]])</f>
        <v>1</v>
      </c>
    </row>
    <row r="525" spans="1:14" hidden="1" x14ac:dyDescent="0.25">
      <c r="A525" s="17" t="s">
        <v>6</v>
      </c>
      <c r="B525" s="17" t="s">
        <v>565</v>
      </c>
      <c r="C525" s="17" t="s">
        <v>1737</v>
      </c>
      <c r="D525" s="17" t="s">
        <v>2337</v>
      </c>
      <c r="E525" s="17" t="s">
        <v>3743</v>
      </c>
      <c r="F525" s="17" t="s">
        <v>3744</v>
      </c>
      <c r="G525" s="17" t="s">
        <v>5528</v>
      </c>
      <c r="H525" t="s">
        <v>7476</v>
      </c>
      <c r="I525" s="1">
        <v>2</v>
      </c>
      <c r="J525" s="1">
        <v>2</v>
      </c>
      <c r="K525" t="s">
        <v>8102</v>
      </c>
      <c r="L525" s="5">
        <f>VLOOKUP(D:D,[1]Munka2!$A:$B,2,FALSE)</f>
        <v>1</v>
      </c>
      <c r="M525" s="5">
        <f>_xlfn.IFNA(Táblázat1[[#This Row],[Kész2020]],0)</f>
        <v>1</v>
      </c>
      <c r="N525" s="5">
        <f>IF(Táblázat1[[#This Row],[Karb./akt.év]]-Táblázat1[[#This Row],[Kész2020_2]]&lt;0,0,Táblázat1[[#This Row],[Karb./akt.év]]-Táblázat1[[#This Row],[Kész2020_2]])</f>
        <v>1</v>
      </c>
    </row>
    <row r="526" spans="1:14" hidden="1" x14ac:dyDescent="0.25">
      <c r="A526" s="17" t="s">
        <v>6</v>
      </c>
      <c r="B526" s="17" t="s">
        <v>1405</v>
      </c>
      <c r="C526" s="17" t="s">
        <v>1737</v>
      </c>
      <c r="D526" s="17" t="s">
        <v>3232</v>
      </c>
      <c r="E526" s="17" t="s">
        <v>3818</v>
      </c>
      <c r="F526" s="17" t="s">
        <v>3819</v>
      </c>
      <c r="G526" s="17" t="s">
        <v>6310</v>
      </c>
      <c r="H526" t="s">
        <v>7476</v>
      </c>
      <c r="I526" s="1">
        <v>2</v>
      </c>
      <c r="J526" s="1">
        <v>2</v>
      </c>
      <c r="K526" t="s">
        <v>6634</v>
      </c>
      <c r="L526" s="5">
        <f>VLOOKUP(D:D,[1]Munka2!$A:$B,2,FALSE)</f>
        <v>1</v>
      </c>
      <c r="M526" s="5">
        <f>_xlfn.IFNA(Táblázat1[[#This Row],[Kész2020]],0)</f>
        <v>1</v>
      </c>
      <c r="N526" s="5">
        <f>IF(Táblázat1[[#This Row],[Karb./akt.év]]-Táblázat1[[#This Row],[Kész2020_2]]&lt;0,0,Táblázat1[[#This Row],[Karb./akt.év]]-Táblázat1[[#This Row],[Kész2020_2]])</f>
        <v>1</v>
      </c>
    </row>
    <row r="527" spans="1:14" hidden="1" x14ac:dyDescent="0.25">
      <c r="A527" s="17" t="s">
        <v>6</v>
      </c>
      <c r="B527" s="17" t="s">
        <v>460</v>
      </c>
      <c r="C527" s="17" t="s">
        <v>1737</v>
      </c>
      <c r="D527" s="17" t="s">
        <v>2218</v>
      </c>
      <c r="E527" s="17" t="s">
        <v>4071</v>
      </c>
      <c r="F527" s="17" t="s">
        <v>4072</v>
      </c>
      <c r="G527" s="17" t="s">
        <v>5424</v>
      </c>
      <c r="H527" t="s">
        <v>7476</v>
      </c>
      <c r="I527" s="1">
        <v>2</v>
      </c>
      <c r="J527" s="1">
        <v>2</v>
      </c>
      <c r="K527" t="s">
        <v>6642</v>
      </c>
      <c r="L527" s="5">
        <f>VLOOKUP(D:D,[1]Munka2!$A:$B,2,FALSE)</f>
        <v>1</v>
      </c>
      <c r="M527" s="5">
        <f>_xlfn.IFNA(Táblázat1[[#This Row],[Kész2020]],0)</f>
        <v>1</v>
      </c>
      <c r="N527" s="5">
        <f>IF(Táblázat1[[#This Row],[Karb./akt.év]]-Táblázat1[[#This Row],[Kész2020_2]]&lt;0,0,Táblázat1[[#This Row],[Karb./akt.év]]-Táblázat1[[#This Row],[Kész2020_2]])</f>
        <v>1</v>
      </c>
    </row>
    <row r="528" spans="1:14" hidden="1" x14ac:dyDescent="0.25">
      <c r="A528" s="17" t="s">
        <v>6</v>
      </c>
      <c r="B528" s="17" t="s">
        <v>517</v>
      </c>
      <c r="C528" s="17" t="s">
        <v>1737</v>
      </c>
      <c r="D528" s="17" t="s">
        <v>2280</v>
      </c>
      <c r="E528" s="17" t="s">
        <v>4071</v>
      </c>
      <c r="F528" s="17" t="s">
        <v>4072</v>
      </c>
      <c r="G528" s="17" t="s">
        <v>5477</v>
      </c>
      <c r="H528" t="s">
        <v>7476</v>
      </c>
      <c r="I528" s="1">
        <v>2</v>
      </c>
      <c r="J528" s="1">
        <v>2</v>
      </c>
      <c r="K528" t="s">
        <v>6642</v>
      </c>
      <c r="L528" s="5">
        <f>VLOOKUP(D:D,[1]Munka2!$A:$B,2,FALSE)</f>
        <v>1</v>
      </c>
      <c r="M528" s="5">
        <f>_xlfn.IFNA(Táblázat1[[#This Row],[Kész2020]],0)</f>
        <v>1</v>
      </c>
      <c r="N528" s="5">
        <f>IF(Táblázat1[[#This Row],[Karb./akt.év]]-Táblázat1[[#This Row],[Kész2020_2]]&lt;0,0,Táblázat1[[#This Row],[Karb./akt.év]]-Táblázat1[[#This Row],[Kész2020_2]])</f>
        <v>1</v>
      </c>
    </row>
    <row r="529" spans="1:14" hidden="1" x14ac:dyDescent="0.25">
      <c r="A529" s="17" t="s">
        <v>6</v>
      </c>
      <c r="B529" s="17" t="s">
        <v>388</v>
      </c>
      <c r="C529" s="17" t="s">
        <v>1737</v>
      </c>
      <c r="D529" s="17" t="s">
        <v>2144</v>
      </c>
      <c r="E529" s="17" t="s">
        <v>3775</v>
      </c>
      <c r="F529" s="17" t="s">
        <v>3776</v>
      </c>
      <c r="G529" s="17" t="s">
        <v>5356</v>
      </c>
      <c r="H529" t="s">
        <v>7476</v>
      </c>
      <c r="I529" s="1">
        <v>2</v>
      </c>
      <c r="J529" s="1">
        <v>2</v>
      </c>
      <c r="K529" t="s">
        <v>6634</v>
      </c>
      <c r="L529" s="5">
        <f>VLOOKUP(D:D,[1]Munka2!$A:$B,2,FALSE)</f>
        <v>1</v>
      </c>
      <c r="M529" s="5">
        <f>_xlfn.IFNA(Táblázat1[[#This Row],[Kész2020]],0)</f>
        <v>1</v>
      </c>
      <c r="N529" s="5">
        <f>IF(Táblázat1[[#This Row],[Karb./akt.év]]-Táblázat1[[#This Row],[Kész2020_2]]&lt;0,0,Táblázat1[[#This Row],[Karb./akt.év]]-Táblázat1[[#This Row],[Kész2020_2]])</f>
        <v>1</v>
      </c>
    </row>
    <row r="530" spans="1:14" hidden="1" x14ac:dyDescent="0.25">
      <c r="A530" s="17" t="s">
        <v>6</v>
      </c>
      <c r="B530" s="17" t="s">
        <v>629</v>
      </c>
      <c r="C530" s="17" t="s">
        <v>1736</v>
      </c>
      <c r="D530" s="17" t="s">
        <v>2404</v>
      </c>
      <c r="E530" s="17" t="s">
        <v>4244</v>
      </c>
      <c r="F530" s="17" t="s">
        <v>4245</v>
      </c>
      <c r="G530" s="17" t="s">
        <v>5589</v>
      </c>
      <c r="H530" t="s">
        <v>7476</v>
      </c>
      <c r="I530" s="1">
        <v>2</v>
      </c>
      <c r="J530" s="1">
        <v>2</v>
      </c>
      <c r="K530" t="s">
        <v>6634</v>
      </c>
      <c r="L530" s="5">
        <f>VLOOKUP(D:D,[1]Munka2!$A:$B,2,FALSE)</f>
        <v>1</v>
      </c>
      <c r="M530" s="5">
        <f>_xlfn.IFNA(Táblázat1[[#This Row],[Kész2020]],0)</f>
        <v>1</v>
      </c>
      <c r="N530" s="5">
        <f>IF(Táblázat1[[#This Row],[Karb./akt.év]]-Táblázat1[[#This Row],[Kész2020_2]]&lt;0,0,Táblázat1[[#This Row],[Karb./akt.év]]-Táblázat1[[#This Row],[Kész2020_2]])</f>
        <v>1</v>
      </c>
    </row>
    <row r="531" spans="1:14" hidden="1" x14ac:dyDescent="0.25">
      <c r="A531" s="17" t="s">
        <v>6</v>
      </c>
      <c r="B531" s="17" t="s">
        <v>6832</v>
      </c>
      <c r="C531" s="17" t="s">
        <v>1736</v>
      </c>
      <c r="D531" s="17" t="s">
        <v>2912</v>
      </c>
      <c r="E531" s="17" t="s">
        <v>4133</v>
      </c>
      <c r="F531" s="17" t="s">
        <v>4134</v>
      </c>
      <c r="G531" s="17" t="s">
        <v>6909</v>
      </c>
      <c r="H531" t="s">
        <v>7476</v>
      </c>
      <c r="I531" s="1">
        <v>2</v>
      </c>
      <c r="J531" s="1">
        <v>2</v>
      </c>
      <c r="K531" t="s">
        <v>8102</v>
      </c>
      <c r="L531" s="5">
        <f>VLOOKUP(D:D,[1]Munka2!$A:$B,2,FALSE)</f>
        <v>1</v>
      </c>
      <c r="M531" s="5">
        <f>_xlfn.IFNA(Táblázat1[[#This Row],[Kész2020]],0)</f>
        <v>1</v>
      </c>
      <c r="N531" s="5">
        <f>IF(Táblázat1[[#This Row],[Karb./akt.év]]-Táblázat1[[#This Row],[Kész2020_2]]&lt;0,0,Táblázat1[[#This Row],[Karb./akt.év]]-Táblázat1[[#This Row],[Kész2020_2]])</f>
        <v>1</v>
      </c>
    </row>
    <row r="532" spans="1:14" x14ac:dyDescent="0.25">
      <c r="A532" s="17" t="s">
        <v>6</v>
      </c>
      <c r="B532" s="17" t="s">
        <v>6810</v>
      </c>
      <c r="C532" s="17" t="s">
        <v>1736</v>
      </c>
      <c r="D532" s="17" t="s">
        <v>6819</v>
      </c>
      <c r="E532" s="17" t="s">
        <v>4232</v>
      </c>
      <c r="F532" s="17" t="s">
        <v>4233</v>
      </c>
      <c r="G532" s="17" t="s">
        <v>6403</v>
      </c>
      <c r="H532" t="s">
        <v>7476</v>
      </c>
      <c r="I532" s="1">
        <v>2</v>
      </c>
      <c r="J532" s="1">
        <v>2</v>
      </c>
      <c r="K532" t="s">
        <v>8103</v>
      </c>
      <c r="L532" s="5" t="e">
        <f>VLOOKUP(D:D,[1]Munka2!$A:$B,2,FALSE)</f>
        <v>#N/A</v>
      </c>
      <c r="M532" s="5">
        <f>_xlfn.IFNA(Táblázat1[[#This Row],[Kész2020]],0)</f>
        <v>0</v>
      </c>
      <c r="N532" s="5">
        <f>IF(Táblázat1[[#This Row],[Karb./akt.év]]-Táblázat1[[#This Row],[Kész2020_2]]&lt;0,0,Táblázat1[[#This Row],[Karb./akt.év]]-Táblázat1[[#This Row],[Kész2020_2]])</f>
        <v>2</v>
      </c>
    </row>
    <row r="533" spans="1:14" hidden="1" x14ac:dyDescent="0.25">
      <c r="A533" s="17" t="s">
        <v>6</v>
      </c>
      <c r="B533" s="17" t="s">
        <v>1506</v>
      </c>
      <c r="C533" s="17" t="s">
        <v>1736</v>
      </c>
      <c r="D533" s="17" t="s">
        <v>3346</v>
      </c>
      <c r="E533" s="17" t="s">
        <v>3683</v>
      </c>
      <c r="F533" s="17" t="s">
        <v>3684</v>
      </c>
      <c r="G533" s="17" t="s">
        <v>6413</v>
      </c>
      <c r="H533" t="s">
        <v>7476</v>
      </c>
      <c r="I533" s="1">
        <v>2</v>
      </c>
      <c r="J533" s="1">
        <v>2</v>
      </c>
      <c r="K533" t="s">
        <v>6784</v>
      </c>
      <c r="L533" s="5">
        <f>VLOOKUP(D:D,[1]Munka2!$A:$B,2,FALSE)</f>
        <v>1</v>
      </c>
      <c r="M533" s="5">
        <f>_xlfn.IFNA(Táblázat1[[#This Row],[Kész2020]],0)</f>
        <v>1</v>
      </c>
      <c r="N533" s="5">
        <f>IF(Táblázat1[[#This Row],[Karb./akt.év]]-Táblázat1[[#This Row],[Kész2020_2]]&lt;0,0,Táblázat1[[#This Row],[Karb./akt.év]]-Táblázat1[[#This Row],[Kész2020_2]])</f>
        <v>1</v>
      </c>
    </row>
    <row r="534" spans="1:14" hidden="1" x14ac:dyDescent="0.25">
      <c r="A534" s="17" t="s">
        <v>6</v>
      </c>
      <c r="B534" s="17" t="s">
        <v>1086</v>
      </c>
      <c r="C534" s="17" t="s">
        <v>1736</v>
      </c>
      <c r="D534" s="17" t="s">
        <v>2876</v>
      </c>
      <c r="E534" s="17" t="s">
        <v>3880</v>
      </c>
      <c r="F534" s="17" t="s">
        <v>3755</v>
      </c>
      <c r="G534" s="17" t="s">
        <v>6014</v>
      </c>
      <c r="H534" t="s">
        <v>7476</v>
      </c>
      <c r="I534" s="1">
        <v>2</v>
      </c>
      <c r="J534" s="1">
        <v>2</v>
      </c>
      <c r="K534" t="s">
        <v>6640</v>
      </c>
      <c r="L534" s="5">
        <f>VLOOKUP(D:D,[1]Munka2!$A:$B,2,FALSE)</f>
        <v>1</v>
      </c>
      <c r="M534" s="5">
        <f>_xlfn.IFNA(Táblázat1[[#This Row],[Kész2020]],0)</f>
        <v>1</v>
      </c>
      <c r="N534" s="5">
        <f>IF(Táblázat1[[#This Row],[Karb./akt.év]]-Táblázat1[[#This Row],[Kész2020_2]]&lt;0,0,Táblázat1[[#This Row],[Karb./akt.év]]-Táblázat1[[#This Row],[Kész2020_2]])</f>
        <v>1</v>
      </c>
    </row>
    <row r="535" spans="1:14" hidden="1" x14ac:dyDescent="0.25">
      <c r="A535" s="17" t="s">
        <v>6</v>
      </c>
      <c r="B535" s="17" t="s">
        <v>152</v>
      </c>
      <c r="C535" s="17" t="s">
        <v>1736</v>
      </c>
      <c r="D535" s="17" t="s">
        <v>1892</v>
      </c>
      <c r="E535" s="17" t="s">
        <v>3754</v>
      </c>
      <c r="F535" s="17" t="s">
        <v>3755</v>
      </c>
      <c r="G535" s="17" t="s">
        <v>5124</v>
      </c>
      <c r="H535" t="s">
        <v>7476</v>
      </c>
      <c r="I535" s="1">
        <v>2</v>
      </c>
      <c r="J535" s="1">
        <v>2</v>
      </c>
      <c r="K535" t="s">
        <v>6640</v>
      </c>
      <c r="L535" s="5">
        <f>VLOOKUP(D:D,[1]Munka2!$A:$B,2,FALSE)</f>
        <v>1</v>
      </c>
      <c r="M535" s="5">
        <f>_xlfn.IFNA(Táblázat1[[#This Row],[Kész2020]],0)</f>
        <v>1</v>
      </c>
      <c r="N535" s="5">
        <f>IF(Táblázat1[[#This Row],[Karb./akt.év]]-Táblázat1[[#This Row],[Kész2020_2]]&lt;0,0,Táblázat1[[#This Row],[Karb./akt.év]]-Táblázat1[[#This Row],[Kész2020_2]])</f>
        <v>1</v>
      </c>
    </row>
    <row r="536" spans="1:14" hidden="1" x14ac:dyDescent="0.25">
      <c r="A536" s="17" t="s">
        <v>6</v>
      </c>
      <c r="B536" s="17" t="s">
        <v>256</v>
      </c>
      <c r="C536" s="17" t="s">
        <v>1737</v>
      </c>
      <c r="D536" s="17" t="s">
        <v>2002</v>
      </c>
      <c r="E536" s="17" t="s">
        <v>3880</v>
      </c>
      <c r="F536" s="17" t="s">
        <v>3755</v>
      </c>
      <c r="G536" s="17" t="s">
        <v>5223</v>
      </c>
      <c r="H536" t="s">
        <v>7476</v>
      </c>
      <c r="I536" s="1">
        <v>2</v>
      </c>
      <c r="J536" s="1">
        <v>2</v>
      </c>
      <c r="K536" t="s">
        <v>6640</v>
      </c>
      <c r="L536" s="5">
        <f>VLOOKUP(D:D,[1]Munka2!$A:$B,2,FALSE)</f>
        <v>1</v>
      </c>
      <c r="M536" s="5">
        <f>_xlfn.IFNA(Táblázat1[[#This Row],[Kész2020]],0)</f>
        <v>1</v>
      </c>
      <c r="N536" s="5">
        <f>IF(Táblázat1[[#This Row],[Karb./akt.év]]-Táblázat1[[#This Row],[Kész2020_2]]&lt;0,0,Táblázat1[[#This Row],[Karb./akt.év]]-Táblázat1[[#This Row],[Kész2020_2]])</f>
        <v>1</v>
      </c>
    </row>
    <row r="537" spans="1:14" hidden="1" x14ac:dyDescent="0.25">
      <c r="A537" s="17" t="s">
        <v>6</v>
      </c>
      <c r="B537" s="17" t="s">
        <v>294</v>
      </c>
      <c r="C537" s="17" t="s">
        <v>1737</v>
      </c>
      <c r="D537" s="17" t="s">
        <v>2043</v>
      </c>
      <c r="E537" s="17" t="s">
        <v>3772</v>
      </c>
      <c r="F537" s="17" t="s">
        <v>3755</v>
      </c>
      <c r="G537" s="17" t="s">
        <v>5261</v>
      </c>
      <c r="H537" t="s">
        <v>7476</v>
      </c>
      <c r="I537" s="1">
        <v>2</v>
      </c>
      <c r="J537" s="1">
        <v>2</v>
      </c>
      <c r="K537" t="s">
        <v>6640</v>
      </c>
      <c r="L537" s="5">
        <f>VLOOKUP(D:D,[1]Munka2!$A:$B,2,FALSE)</f>
        <v>1</v>
      </c>
      <c r="M537" s="5">
        <f>_xlfn.IFNA(Táblázat1[[#This Row],[Kész2020]],0)</f>
        <v>1</v>
      </c>
      <c r="N537" s="5">
        <f>IF(Táblázat1[[#This Row],[Karb./akt.év]]-Táblázat1[[#This Row],[Kész2020_2]]&lt;0,0,Táblázat1[[#This Row],[Karb./akt.év]]-Táblázat1[[#This Row],[Kész2020_2]])</f>
        <v>1</v>
      </c>
    </row>
    <row r="538" spans="1:14" hidden="1" x14ac:dyDescent="0.25">
      <c r="A538" s="17" t="s">
        <v>6</v>
      </c>
      <c r="B538" s="17" t="s">
        <v>377</v>
      </c>
      <c r="C538" s="17" t="s">
        <v>1743</v>
      </c>
      <c r="D538" s="17" t="s">
        <v>2134</v>
      </c>
      <c r="E538" s="17" t="s">
        <v>3880</v>
      </c>
      <c r="F538" s="17" t="s">
        <v>3755</v>
      </c>
      <c r="G538" s="17" t="s">
        <v>5346</v>
      </c>
      <c r="H538" t="s">
        <v>7476</v>
      </c>
      <c r="I538" s="1">
        <v>2</v>
      </c>
      <c r="J538" s="1">
        <v>2</v>
      </c>
      <c r="K538" t="s">
        <v>6640</v>
      </c>
      <c r="L538" s="5">
        <f>VLOOKUP(D:D,[1]Munka2!$A:$B,2,FALSE)</f>
        <v>1</v>
      </c>
      <c r="M538" s="5">
        <f>_xlfn.IFNA(Táblázat1[[#This Row],[Kész2020]],0)</f>
        <v>1</v>
      </c>
      <c r="N538" s="5">
        <f>IF(Táblázat1[[#This Row],[Karb./akt.év]]-Táblázat1[[#This Row],[Kész2020_2]]&lt;0,0,Táblázat1[[#This Row],[Karb./akt.év]]-Táblázat1[[#This Row],[Kész2020_2]])</f>
        <v>1</v>
      </c>
    </row>
    <row r="539" spans="1:14" hidden="1" x14ac:dyDescent="0.25">
      <c r="A539" s="17" t="s">
        <v>6</v>
      </c>
      <c r="B539" s="17" t="s">
        <v>6731</v>
      </c>
      <c r="C539" s="17" t="s">
        <v>1736</v>
      </c>
      <c r="D539" s="17" t="s">
        <v>2132</v>
      </c>
      <c r="E539" s="17" t="s">
        <v>3880</v>
      </c>
      <c r="F539" s="17" t="s">
        <v>3755</v>
      </c>
      <c r="G539" s="17" t="s">
        <v>5346</v>
      </c>
      <c r="H539" t="s">
        <v>7476</v>
      </c>
      <c r="I539" s="1">
        <v>2</v>
      </c>
      <c r="J539" s="1">
        <v>2</v>
      </c>
      <c r="K539" t="s">
        <v>6640</v>
      </c>
      <c r="L539" s="5">
        <f>VLOOKUP(D:D,[1]Munka2!$A:$B,2,FALSE)</f>
        <v>1</v>
      </c>
      <c r="M539" s="5">
        <f>_xlfn.IFNA(Táblázat1[[#This Row],[Kész2020]],0)</f>
        <v>1</v>
      </c>
      <c r="N539" s="5">
        <f>IF(Táblázat1[[#This Row],[Karb./akt.év]]-Táblázat1[[#This Row],[Kész2020_2]]&lt;0,0,Táblázat1[[#This Row],[Karb./akt.év]]-Táblázat1[[#This Row],[Kész2020_2]])</f>
        <v>1</v>
      </c>
    </row>
    <row r="540" spans="1:14" hidden="1" x14ac:dyDescent="0.25">
      <c r="A540" s="17" t="s">
        <v>6</v>
      </c>
      <c r="B540" s="17" t="s">
        <v>148</v>
      </c>
      <c r="C540" s="17" t="s">
        <v>1737</v>
      </c>
      <c r="D540" s="17" t="s">
        <v>1888</v>
      </c>
      <c r="E540" s="17" t="s">
        <v>3741</v>
      </c>
      <c r="F540" s="17" t="s">
        <v>3742</v>
      </c>
      <c r="G540" s="17" t="s">
        <v>5120</v>
      </c>
      <c r="H540" t="s">
        <v>7476</v>
      </c>
      <c r="I540" s="1">
        <v>2</v>
      </c>
      <c r="J540" s="1">
        <v>2</v>
      </c>
      <c r="K540" t="s">
        <v>7354</v>
      </c>
      <c r="L540" s="5">
        <f>VLOOKUP(D:D,[1]Munka2!$A:$B,2,FALSE)</f>
        <v>1</v>
      </c>
      <c r="M540" s="5">
        <f>_xlfn.IFNA(Táblázat1[[#This Row],[Kész2020]],0)</f>
        <v>1</v>
      </c>
      <c r="N540" s="5">
        <f>IF(Táblázat1[[#This Row],[Karb./akt.év]]-Táblázat1[[#This Row],[Kész2020_2]]&lt;0,0,Táblázat1[[#This Row],[Karb./akt.év]]-Táblázat1[[#This Row],[Kész2020_2]])</f>
        <v>1</v>
      </c>
    </row>
    <row r="541" spans="1:14" x14ac:dyDescent="0.25">
      <c r="A541" s="17" t="s">
        <v>6</v>
      </c>
      <c r="B541" s="17" t="s">
        <v>1509</v>
      </c>
      <c r="C541" s="17" t="s">
        <v>1737</v>
      </c>
      <c r="D541" s="17" t="s">
        <v>3349</v>
      </c>
      <c r="E541" s="17" t="s">
        <v>4678</v>
      </c>
      <c r="F541" s="17" t="s">
        <v>4679</v>
      </c>
      <c r="G541" s="17" t="s">
        <v>6416</v>
      </c>
      <c r="H541" t="s">
        <v>7476</v>
      </c>
      <c r="I541" s="1">
        <v>2</v>
      </c>
      <c r="J541" s="1">
        <v>2</v>
      </c>
      <c r="K541" t="s">
        <v>7354</v>
      </c>
      <c r="L541" s="5" t="e">
        <f>VLOOKUP(D:D,[1]Munka2!$A:$B,2,FALSE)</f>
        <v>#N/A</v>
      </c>
      <c r="M541" s="5">
        <f>_xlfn.IFNA(Táblázat1[[#This Row],[Kész2020]],0)</f>
        <v>0</v>
      </c>
      <c r="N541" s="5">
        <f>IF(Táblázat1[[#This Row],[Karb./akt.év]]-Táblázat1[[#This Row],[Kész2020_2]]&lt;0,0,Táblázat1[[#This Row],[Karb./akt.év]]-Táblázat1[[#This Row],[Kész2020_2]])</f>
        <v>2</v>
      </c>
    </row>
    <row r="542" spans="1:14" hidden="1" x14ac:dyDescent="0.25">
      <c r="A542" s="17" t="s">
        <v>6</v>
      </c>
      <c r="B542" s="17" t="s">
        <v>6839</v>
      </c>
      <c r="C542" s="17" t="s">
        <v>1736</v>
      </c>
      <c r="D542" s="17" t="s">
        <v>6871</v>
      </c>
      <c r="E542" s="17" t="s">
        <v>6895</v>
      </c>
      <c r="F542" s="17" t="s">
        <v>4027</v>
      </c>
      <c r="G542" s="17" t="s">
        <v>6911</v>
      </c>
      <c r="H542" t="s">
        <v>7476</v>
      </c>
      <c r="I542" s="1">
        <v>2</v>
      </c>
      <c r="J542" s="1">
        <v>2</v>
      </c>
      <c r="K542" t="s">
        <v>7014</v>
      </c>
      <c r="L542" s="5">
        <f>VLOOKUP(D:D,[1]Munka2!$A:$B,2,FALSE)</f>
        <v>1</v>
      </c>
      <c r="M542" s="5">
        <f>_xlfn.IFNA(Táblázat1[[#This Row],[Kész2020]],0)</f>
        <v>1</v>
      </c>
      <c r="N542" s="5">
        <f>IF(Táblázat1[[#This Row],[Karb./akt.év]]-Táblázat1[[#This Row],[Kész2020_2]]&lt;0,0,Táblázat1[[#This Row],[Karb./akt.év]]-Táblázat1[[#This Row],[Kész2020_2]])</f>
        <v>1</v>
      </c>
    </row>
    <row r="543" spans="1:14" hidden="1" x14ac:dyDescent="0.25">
      <c r="A543" s="17" t="s">
        <v>6</v>
      </c>
      <c r="B543" s="17" t="s">
        <v>382</v>
      </c>
      <c r="C543" s="17" t="s">
        <v>1735</v>
      </c>
      <c r="D543" s="17" t="s">
        <v>2138</v>
      </c>
      <c r="E543" s="17" t="s">
        <v>4013</v>
      </c>
      <c r="F543" s="17" t="s">
        <v>3664</v>
      </c>
      <c r="G543" s="17" t="s">
        <v>5350</v>
      </c>
      <c r="H543" t="s">
        <v>7476</v>
      </c>
      <c r="I543" s="1">
        <v>2</v>
      </c>
      <c r="J543" s="1">
        <v>2</v>
      </c>
      <c r="K543" t="s">
        <v>6638</v>
      </c>
      <c r="L543" s="5">
        <f>VLOOKUP(D:D,[1]Munka2!$A:$B,2,FALSE)</f>
        <v>1</v>
      </c>
      <c r="M543" s="5">
        <f>_xlfn.IFNA(Táblázat1[[#This Row],[Kész2020]],0)</f>
        <v>1</v>
      </c>
      <c r="N543" s="5">
        <f>IF(Táblázat1[[#This Row],[Karb./akt.év]]-Táblázat1[[#This Row],[Kész2020_2]]&lt;0,0,Táblázat1[[#This Row],[Karb./akt.év]]-Táblázat1[[#This Row],[Kész2020_2]])</f>
        <v>1</v>
      </c>
    </row>
    <row r="544" spans="1:14" x14ac:dyDescent="0.25">
      <c r="A544" s="17" t="s">
        <v>6</v>
      </c>
      <c r="B544" s="17" t="s">
        <v>405</v>
      </c>
      <c r="C544" s="17" t="s">
        <v>1737</v>
      </c>
      <c r="D544" s="17" t="s">
        <v>2160</v>
      </c>
      <c r="E544" s="17" t="s">
        <v>3736</v>
      </c>
      <c r="F544" s="17" t="s">
        <v>3737</v>
      </c>
      <c r="G544" s="17" t="s">
        <v>5372</v>
      </c>
      <c r="H544" t="s">
        <v>7476</v>
      </c>
      <c r="I544" s="1">
        <v>2</v>
      </c>
      <c r="J544" s="1">
        <v>2</v>
      </c>
      <c r="K544" t="s">
        <v>6638</v>
      </c>
      <c r="L544" s="5" t="e">
        <f>VLOOKUP(D:D,[1]Munka2!$A:$B,2,FALSE)</f>
        <v>#N/A</v>
      </c>
      <c r="M544" s="5">
        <f>_xlfn.IFNA(Táblázat1[[#This Row],[Kész2020]],0)</f>
        <v>0</v>
      </c>
      <c r="N544" s="5">
        <f>IF(Táblázat1[[#This Row],[Karb./akt.év]]-Táblázat1[[#This Row],[Kész2020_2]]&lt;0,0,Táblázat1[[#This Row],[Karb./akt.év]]-Táblázat1[[#This Row],[Kész2020_2]])</f>
        <v>2</v>
      </c>
    </row>
    <row r="545" spans="1:14" hidden="1" x14ac:dyDescent="0.25">
      <c r="A545" s="17" t="s">
        <v>6</v>
      </c>
      <c r="B545" s="17" t="s">
        <v>395</v>
      </c>
      <c r="C545" s="17" t="s">
        <v>1737</v>
      </c>
      <c r="D545" s="17" t="s">
        <v>2150</v>
      </c>
      <c r="E545" s="17" t="s">
        <v>3773</v>
      </c>
      <c r="F545" s="17" t="s">
        <v>3774</v>
      </c>
      <c r="G545" s="17" t="s">
        <v>5363</v>
      </c>
      <c r="H545" t="s">
        <v>7476</v>
      </c>
      <c r="I545" s="1">
        <v>2</v>
      </c>
      <c r="J545" s="1">
        <v>2</v>
      </c>
      <c r="K545" t="s">
        <v>6636</v>
      </c>
      <c r="L545" s="5">
        <f>VLOOKUP(D:D,[1]Munka2!$A:$B,2,FALSE)</f>
        <v>1</v>
      </c>
      <c r="M545" s="5">
        <f>_xlfn.IFNA(Táblázat1[[#This Row],[Kész2020]],0)</f>
        <v>1</v>
      </c>
      <c r="N545" s="5">
        <f>IF(Táblázat1[[#This Row],[Karb./akt.év]]-Táblázat1[[#This Row],[Kész2020_2]]&lt;0,0,Táblázat1[[#This Row],[Karb./akt.év]]-Táblázat1[[#This Row],[Kész2020_2]])</f>
        <v>1</v>
      </c>
    </row>
    <row r="546" spans="1:14" hidden="1" x14ac:dyDescent="0.25">
      <c r="A546" s="17" t="s">
        <v>6</v>
      </c>
      <c r="B546" s="17" t="s">
        <v>6834</v>
      </c>
      <c r="C546" s="17" t="s">
        <v>1736</v>
      </c>
      <c r="D546" s="17" t="s">
        <v>6866</v>
      </c>
      <c r="E546" s="17" t="s">
        <v>4009</v>
      </c>
      <c r="F546" s="17" t="s">
        <v>4010</v>
      </c>
      <c r="G546" s="17" t="s">
        <v>6910</v>
      </c>
      <c r="H546" t="s">
        <v>7476</v>
      </c>
      <c r="I546" s="1">
        <v>2</v>
      </c>
      <c r="J546" s="1">
        <v>2</v>
      </c>
      <c r="K546" t="s">
        <v>6638</v>
      </c>
      <c r="L546" s="5">
        <f>VLOOKUP(D:D,[1]Munka2!$A:$B,2,FALSE)</f>
        <v>1</v>
      </c>
      <c r="M546" s="5">
        <f>_xlfn.IFNA(Táblázat1[[#This Row],[Kész2020]],0)</f>
        <v>1</v>
      </c>
      <c r="N546" s="5">
        <f>IF(Táblázat1[[#This Row],[Karb./akt.év]]-Táblázat1[[#This Row],[Kész2020_2]]&lt;0,0,Táblázat1[[#This Row],[Karb./akt.év]]-Táblázat1[[#This Row],[Kész2020_2]])</f>
        <v>1</v>
      </c>
    </row>
    <row r="547" spans="1:14" hidden="1" x14ac:dyDescent="0.25">
      <c r="A547" s="17" t="s">
        <v>6</v>
      </c>
      <c r="B547" s="17" t="s">
        <v>1485</v>
      </c>
      <c r="C547" s="17" t="s">
        <v>1743</v>
      </c>
      <c r="D547" s="17" t="s">
        <v>3322</v>
      </c>
      <c r="E547" s="17" t="s">
        <v>4306</v>
      </c>
      <c r="F547" s="17" t="s">
        <v>4307</v>
      </c>
      <c r="G547" s="17" t="s">
        <v>6394</v>
      </c>
      <c r="H547" t="s">
        <v>7476</v>
      </c>
      <c r="I547" s="1">
        <v>2</v>
      </c>
      <c r="J547" s="1">
        <v>2</v>
      </c>
      <c r="K547" t="s">
        <v>6639</v>
      </c>
      <c r="L547" s="5">
        <f>VLOOKUP(D:D,[1]Munka2!$A:$B,2,FALSE)</f>
        <v>1</v>
      </c>
      <c r="M547" s="5">
        <f>_xlfn.IFNA(Táblázat1[[#This Row],[Kész2020]],0)</f>
        <v>1</v>
      </c>
      <c r="N547" s="5">
        <f>IF(Táblázat1[[#This Row],[Karb./akt.év]]-Táblázat1[[#This Row],[Kész2020_2]]&lt;0,0,Táblázat1[[#This Row],[Karb./akt.év]]-Táblázat1[[#This Row],[Kész2020_2]])</f>
        <v>1</v>
      </c>
    </row>
    <row r="548" spans="1:14" hidden="1" x14ac:dyDescent="0.25">
      <c r="A548" s="17" t="s">
        <v>6</v>
      </c>
      <c r="B548" s="17" t="s">
        <v>124</v>
      </c>
      <c r="C548" s="17" t="s">
        <v>1737</v>
      </c>
      <c r="D548" s="17" t="s">
        <v>1864</v>
      </c>
      <c r="E548" s="17" t="s">
        <v>3719</v>
      </c>
      <c r="F548" s="17" t="s">
        <v>3664</v>
      </c>
      <c r="G548" s="17" t="s">
        <v>5095</v>
      </c>
      <c r="H548" t="s">
        <v>7476</v>
      </c>
      <c r="I548" s="1">
        <v>2</v>
      </c>
      <c r="J548" s="1">
        <v>2</v>
      </c>
      <c r="K548" t="s">
        <v>6638</v>
      </c>
      <c r="L548" s="5">
        <f>VLOOKUP(D:D,[1]Munka2!$A:$B,2,FALSE)</f>
        <v>1</v>
      </c>
      <c r="M548" s="5">
        <f>_xlfn.IFNA(Táblázat1[[#This Row],[Kész2020]],0)</f>
        <v>1</v>
      </c>
      <c r="N548" s="5">
        <f>IF(Táblázat1[[#This Row],[Karb./akt.év]]-Táblázat1[[#This Row],[Kész2020_2]]&lt;0,0,Táblázat1[[#This Row],[Karb./akt.év]]-Táblázat1[[#This Row],[Kész2020_2]])</f>
        <v>1</v>
      </c>
    </row>
    <row r="549" spans="1:14" x14ac:dyDescent="0.25">
      <c r="A549" s="17" t="s">
        <v>6</v>
      </c>
      <c r="B549" s="17" t="s">
        <v>378</v>
      </c>
      <c r="C549" s="17" t="s">
        <v>1735</v>
      </c>
      <c r="D549" s="17" t="s">
        <v>2133</v>
      </c>
      <c r="E549" s="17" t="s">
        <v>4011</v>
      </c>
      <c r="F549" s="17" t="s">
        <v>3679</v>
      </c>
      <c r="G549" s="17" t="s">
        <v>5346</v>
      </c>
      <c r="H549" t="s">
        <v>7476</v>
      </c>
      <c r="I549" s="1">
        <v>2</v>
      </c>
      <c r="J549" s="1">
        <v>2</v>
      </c>
      <c r="K549" t="s">
        <v>6635</v>
      </c>
      <c r="L549" s="5" t="e">
        <f>VLOOKUP(D:D,[1]Munka2!$A:$B,2,FALSE)</f>
        <v>#N/A</v>
      </c>
      <c r="M549" s="5">
        <f>_xlfn.IFNA(Táblázat1[[#This Row],[Kész2020]],0)</f>
        <v>0</v>
      </c>
      <c r="N549" s="5">
        <f>IF(Táblázat1[[#This Row],[Karb./akt.év]]-Táblázat1[[#This Row],[Kész2020_2]]&lt;0,0,Táblázat1[[#This Row],[Karb./akt.év]]-Táblázat1[[#This Row],[Kész2020_2]])</f>
        <v>2</v>
      </c>
    </row>
    <row r="550" spans="1:14" hidden="1" x14ac:dyDescent="0.25">
      <c r="A550" s="17" t="s">
        <v>6</v>
      </c>
      <c r="B550" s="17" t="s">
        <v>384</v>
      </c>
      <c r="C550" s="17" t="s">
        <v>1737</v>
      </c>
      <c r="D550" s="17" t="s">
        <v>2140</v>
      </c>
      <c r="E550" s="17" t="s">
        <v>3836</v>
      </c>
      <c r="F550" s="17" t="s">
        <v>3837</v>
      </c>
      <c r="G550" s="17" t="s">
        <v>5352</v>
      </c>
      <c r="H550" t="s">
        <v>7476</v>
      </c>
      <c r="I550" s="1">
        <v>2</v>
      </c>
      <c r="J550" s="1">
        <v>2</v>
      </c>
      <c r="K550" t="s">
        <v>8103</v>
      </c>
      <c r="L550" s="5">
        <f>VLOOKUP(D:D,[1]Munka2!$A:$B,2,FALSE)</f>
        <v>1</v>
      </c>
      <c r="M550" s="5">
        <f>_xlfn.IFNA(Táblázat1[[#This Row],[Kész2020]],0)</f>
        <v>1</v>
      </c>
      <c r="N550" s="5">
        <f>IF(Táblázat1[[#This Row],[Karb./akt.év]]-Táblázat1[[#This Row],[Kész2020_2]]&lt;0,0,Táblázat1[[#This Row],[Karb./akt.év]]-Táblázat1[[#This Row],[Kész2020_2]])</f>
        <v>1</v>
      </c>
    </row>
    <row r="551" spans="1:14" hidden="1" x14ac:dyDescent="0.25">
      <c r="A551" s="17" t="s">
        <v>6</v>
      </c>
      <c r="B551" s="17" t="s">
        <v>1135</v>
      </c>
      <c r="C551" s="17" t="s">
        <v>1737</v>
      </c>
      <c r="D551" s="17" t="s">
        <v>2932</v>
      </c>
      <c r="E551" s="17" t="s">
        <v>3625</v>
      </c>
      <c r="F551" s="17" t="s">
        <v>3626</v>
      </c>
      <c r="G551" s="17" t="s">
        <v>6065</v>
      </c>
      <c r="H551" t="s">
        <v>7476</v>
      </c>
      <c r="I551" s="1">
        <v>2</v>
      </c>
      <c r="J551" s="1">
        <v>2</v>
      </c>
      <c r="K551" t="s">
        <v>6642</v>
      </c>
      <c r="L551" s="5">
        <f>VLOOKUP(D:D,[1]Munka2!$A:$B,2,FALSE)</f>
        <v>2</v>
      </c>
      <c r="M551" s="5">
        <f>_xlfn.IFNA(Táblázat1[[#This Row],[Kész2020]],0)</f>
        <v>2</v>
      </c>
      <c r="N551" s="5">
        <f>IF(Táblázat1[[#This Row],[Karb./akt.év]]-Táblázat1[[#This Row],[Kész2020_2]]&lt;0,0,Táblázat1[[#This Row],[Karb./akt.év]]-Táblázat1[[#This Row],[Kész2020_2]])</f>
        <v>0</v>
      </c>
    </row>
    <row r="552" spans="1:14" hidden="1" x14ac:dyDescent="0.25">
      <c r="A552" s="17" t="s">
        <v>6</v>
      </c>
      <c r="B552" s="17" t="s">
        <v>1205</v>
      </c>
      <c r="C552" s="17" t="s">
        <v>1735</v>
      </c>
      <c r="D552" s="17" t="s">
        <v>3011</v>
      </c>
      <c r="E552" s="17" t="s">
        <v>3782</v>
      </c>
      <c r="F552" s="17" t="s">
        <v>3783</v>
      </c>
      <c r="G552" s="17" t="s">
        <v>6134</v>
      </c>
      <c r="H552" t="s">
        <v>7476</v>
      </c>
      <c r="I552" s="1">
        <v>2</v>
      </c>
      <c r="J552" s="1">
        <v>2</v>
      </c>
      <c r="K552" t="s">
        <v>8103</v>
      </c>
      <c r="L552" s="5">
        <f>VLOOKUP(D:D,[1]Munka2!$A:$B,2,FALSE)</f>
        <v>1</v>
      </c>
      <c r="M552" s="5">
        <f>_xlfn.IFNA(Táblázat1[[#This Row],[Kész2020]],0)</f>
        <v>1</v>
      </c>
      <c r="N552" s="5">
        <f>IF(Táblázat1[[#This Row],[Karb./akt.év]]-Táblázat1[[#This Row],[Kész2020_2]]&lt;0,0,Táblázat1[[#This Row],[Karb./akt.év]]-Táblázat1[[#This Row],[Kész2020_2]])</f>
        <v>1</v>
      </c>
    </row>
    <row r="553" spans="1:14" hidden="1" x14ac:dyDescent="0.25">
      <c r="A553" s="17" t="s">
        <v>6</v>
      </c>
      <c r="B553" s="17" t="s">
        <v>466</v>
      </c>
      <c r="C553" s="17" t="s">
        <v>1736</v>
      </c>
      <c r="D553" s="17" t="s">
        <v>2223</v>
      </c>
      <c r="E553" s="17" t="s">
        <v>3802</v>
      </c>
      <c r="F553" s="17" t="s">
        <v>3803</v>
      </c>
      <c r="G553" s="17" t="s">
        <v>5430</v>
      </c>
      <c r="H553" t="s">
        <v>7476</v>
      </c>
      <c r="I553" s="1">
        <v>2</v>
      </c>
      <c r="J553" s="1">
        <v>2</v>
      </c>
      <c r="K553" t="s">
        <v>6635</v>
      </c>
      <c r="L553" s="5">
        <f>VLOOKUP(D:D,[1]Munka2!$A:$B,2,FALSE)</f>
        <v>1</v>
      </c>
      <c r="M553" s="5">
        <f>_xlfn.IFNA(Táblázat1[[#This Row],[Kész2020]],0)</f>
        <v>1</v>
      </c>
      <c r="N553" s="5">
        <f>IF(Táblázat1[[#This Row],[Karb./akt.év]]-Táblázat1[[#This Row],[Kész2020_2]]&lt;0,0,Táblázat1[[#This Row],[Karb./akt.év]]-Táblázat1[[#This Row],[Kész2020_2]])</f>
        <v>1</v>
      </c>
    </row>
    <row r="554" spans="1:14" x14ac:dyDescent="0.25">
      <c r="A554" s="17" t="s">
        <v>6</v>
      </c>
      <c r="B554" s="17" t="s">
        <v>6803</v>
      </c>
      <c r="C554" s="17" t="s">
        <v>1737</v>
      </c>
      <c r="D554" s="17" t="s">
        <v>2925</v>
      </c>
      <c r="E554" s="17" t="s">
        <v>3605</v>
      </c>
      <c r="F554" s="17" t="s">
        <v>3606</v>
      </c>
      <c r="G554" s="17" t="s">
        <v>6058</v>
      </c>
      <c r="H554" t="s">
        <v>7476</v>
      </c>
      <c r="I554" s="1">
        <v>2</v>
      </c>
      <c r="J554" s="1">
        <v>2</v>
      </c>
      <c r="K554" t="s">
        <v>6635</v>
      </c>
      <c r="L554" s="5" t="e">
        <f>VLOOKUP(D:D,[1]Munka2!$A:$B,2,FALSE)</f>
        <v>#N/A</v>
      </c>
      <c r="M554" s="5">
        <f>_xlfn.IFNA(Táblázat1[[#This Row],[Kész2020]],0)</f>
        <v>0</v>
      </c>
      <c r="N554" s="5">
        <f>IF(Táblázat1[[#This Row],[Karb./akt.év]]-Táblázat1[[#This Row],[Kész2020_2]]&lt;0,0,Táblázat1[[#This Row],[Karb./akt.év]]-Táblázat1[[#This Row],[Kész2020_2]])</f>
        <v>2</v>
      </c>
    </row>
    <row r="555" spans="1:14" hidden="1" x14ac:dyDescent="0.25">
      <c r="A555" s="17" t="s">
        <v>6</v>
      </c>
      <c r="B555" s="17" t="s">
        <v>959</v>
      </c>
      <c r="C555" s="17" t="s">
        <v>1737</v>
      </c>
      <c r="D555" s="17" t="s">
        <v>2745</v>
      </c>
      <c r="E555" s="17" t="s">
        <v>4541</v>
      </c>
      <c r="F555" s="17" t="s">
        <v>4542</v>
      </c>
      <c r="G555" s="17" t="s">
        <v>5888</v>
      </c>
      <c r="H555" t="s">
        <v>7476</v>
      </c>
      <c r="I555" s="1">
        <v>2</v>
      </c>
      <c r="J555" s="1">
        <v>2</v>
      </c>
      <c r="K555" t="s">
        <v>6642</v>
      </c>
      <c r="L555" s="5">
        <f>VLOOKUP(D:D,[1]Munka2!$A:$B,2,FALSE)</f>
        <v>1</v>
      </c>
      <c r="M555" s="5">
        <f>_xlfn.IFNA(Táblázat1[[#This Row],[Kész2020]],0)</f>
        <v>1</v>
      </c>
      <c r="N555" s="5">
        <f>IF(Táblázat1[[#This Row],[Karb./akt.év]]-Táblázat1[[#This Row],[Kész2020_2]]&lt;0,0,Táblázat1[[#This Row],[Karb./akt.év]]-Táblázat1[[#This Row],[Kész2020_2]])</f>
        <v>1</v>
      </c>
    </row>
    <row r="556" spans="1:14" hidden="1" x14ac:dyDescent="0.25">
      <c r="A556" s="17" t="s">
        <v>6</v>
      </c>
      <c r="B556" s="17" t="s">
        <v>1100</v>
      </c>
      <c r="C556" s="17" t="s">
        <v>1737</v>
      </c>
      <c r="D556" s="17" t="s">
        <v>2893</v>
      </c>
      <c r="E556" s="17" t="s">
        <v>3726</v>
      </c>
      <c r="F556" s="17" t="s">
        <v>3727</v>
      </c>
      <c r="G556" s="17" t="s">
        <v>6029</v>
      </c>
      <c r="H556" t="s">
        <v>7476</v>
      </c>
      <c r="I556" s="1">
        <v>2</v>
      </c>
      <c r="J556" s="1">
        <v>2</v>
      </c>
      <c r="K556" t="s">
        <v>6642</v>
      </c>
      <c r="L556" s="5">
        <f>VLOOKUP(D:D,[1]Munka2!$A:$B,2,FALSE)</f>
        <v>1</v>
      </c>
      <c r="M556" s="5">
        <f>_xlfn.IFNA(Táblázat1[[#This Row],[Kész2020]],0)</f>
        <v>1</v>
      </c>
      <c r="N556" s="5">
        <f>IF(Táblázat1[[#This Row],[Karb./akt.év]]-Táblázat1[[#This Row],[Kész2020_2]]&lt;0,0,Táblázat1[[#This Row],[Karb./akt.év]]-Táblázat1[[#This Row],[Kész2020_2]])</f>
        <v>1</v>
      </c>
    </row>
    <row r="557" spans="1:14" hidden="1" x14ac:dyDescent="0.25">
      <c r="A557" s="17" t="s">
        <v>6</v>
      </c>
      <c r="B557" s="17" t="s">
        <v>6733</v>
      </c>
      <c r="C557" s="17" t="s">
        <v>1736</v>
      </c>
      <c r="D557" s="17" t="s">
        <v>2752</v>
      </c>
      <c r="E557" s="17" t="s">
        <v>3726</v>
      </c>
      <c r="F557" s="17" t="s">
        <v>3727</v>
      </c>
      <c r="G557" s="17" t="s">
        <v>5894</v>
      </c>
      <c r="H557" t="s">
        <v>7476</v>
      </c>
      <c r="I557" s="1">
        <v>2</v>
      </c>
      <c r="J557" s="1">
        <v>2</v>
      </c>
      <c r="K557" t="s">
        <v>6642</v>
      </c>
      <c r="L557" s="5">
        <f>VLOOKUP(D:D,[1]Munka2!$A:$B,2,FALSE)</f>
        <v>1</v>
      </c>
      <c r="M557" s="5">
        <f>_xlfn.IFNA(Táblázat1[[#This Row],[Kész2020]],0)</f>
        <v>1</v>
      </c>
      <c r="N557" s="5">
        <f>IF(Táblázat1[[#This Row],[Karb./akt.év]]-Táblázat1[[#This Row],[Kész2020_2]]&lt;0,0,Táblázat1[[#This Row],[Karb./akt.év]]-Táblázat1[[#This Row],[Kész2020_2]])</f>
        <v>1</v>
      </c>
    </row>
    <row r="558" spans="1:14" hidden="1" x14ac:dyDescent="0.25">
      <c r="A558" s="17" t="s">
        <v>6</v>
      </c>
      <c r="B558" s="17" t="s">
        <v>731</v>
      </c>
      <c r="C558" s="17" t="s">
        <v>1737</v>
      </c>
      <c r="D558" s="17" t="s">
        <v>2508</v>
      </c>
      <c r="E558" s="17" t="s">
        <v>3890</v>
      </c>
      <c r="F558" s="17" t="s">
        <v>3891</v>
      </c>
      <c r="G558" s="17" t="s">
        <v>5681</v>
      </c>
      <c r="H558" t="s">
        <v>7476</v>
      </c>
      <c r="I558" s="1">
        <v>2</v>
      </c>
      <c r="J558" s="1">
        <v>2</v>
      </c>
      <c r="K558" t="s">
        <v>8103</v>
      </c>
      <c r="L558" s="5">
        <f>VLOOKUP(D:D,[1]Munka2!$A:$B,2,FALSE)</f>
        <v>1</v>
      </c>
      <c r="M558" s="5">
        <f>_xlfn.IFNA(Táblázat1[[#This Row],[Kész2020]],0)</f>
        <v>1</v>
      </c>
      <c r="N558" s="5">
        <f>IF(Táblázat1[[#This Row],[Karb./akt.év]]-Táblázat1[[#This Row],[Kész2020_2]]&lt;0,0,Táblázat1[[#This Row],[Karb./akt.év]]-Táblázat1[[#This Row],[Kész2020_2]])</f>
        <v>1</v>
      </c>
    </row>
    <row r="559" spans="1:14" hidden="1" x14ac:dyDescent="0.25">
      <c r="A559" s="17" t="s">
        <v>6</v>
      </c>
      <c r="B559" s="17" t="s">
        <v>467</v>
      </c>
      <c r="C559" s="17" t="s">
        <v>1736</v>
      </c>
      <c r="D559" s="17" t="s">
        <v>2225</v>
      </c>
      <c r="E559" s="17" t="s">
        <v>3890</v>
      </c>
      <c r="F559" s="17" t="s">
        <v>3891</v>
      </c>
      <c r="G559" s="17" t="s">
        <v>5432</v>
      </c>
      <c r="H559" t="s">
        <v>7476</v>
      </c>
      <c r="I559" s="1">
        <v>2</v>
      </c>
      <c r="J559" s="1">
        <v>2</v>
      </c>
      <c r="K559" t="s">
        <v>8103</v>
      </c>
      <c r="L559" s="5">
        <f>VLOOKUP(D:D,[1]Munka2!$A:$B,2,FALSE)</f>
        <v>1</v>
      </c>
      <c r="M559" s="5">
        <f>_xlfn.IFNA(Táblázat1[[#This Row],[Kész2020]],0)</f>
        <v>1</v>
      </c>
      <c r="N559" s="5">
        <f>IF(Táblázat1[[#This Row],[Karb./akt.év]]-Táblázat1[[#This Row],[Kész2020_2]]&lt;0,0,Táblázat1[[#This Row],[Karb./akt.év]]-Táblázat1[[#This Row],[Kész2020_2]])</f>
        <v>1</v>
      </c>
    </row>
    <row r="560" spans="1:14" hidden="1" x14ac:dyDescent="0.25">
      <c r="A560" s="17" t="s">
        <v>6</v>
      </c>
      <c r="B560" s="17" t="s">
        <v>730</v>
      </c>
      <c r="C560" s="17" t="s">
        <v>1743</v>
      </c>
      <c r="D560" s="17" t="s">
        <v>2507</v>
      </c>
      <c r="E560" s="17" t="s">
        <v>3890</v>
      </c>
      <c r="F560" s="17" t="s">
        <v>3891</v>
      </c>
      <c r="G560" s="17" t="s">
        <v>5680</v>
      </c>
      <c r="H560" t="s">
        <v>7476</v>
      </c>
      <c r="I560" s="1">
        <v>2</v>
      </c>
      <c r="J560" s="1">
        <v>2</v>
      </c>
      <c r="K560" t="s">
        <v>8103</v>
      </c>
      <c r="L560" s="5">
        <f>VLOOKUP(D:D,[1]Munka2!$A:$B,2,FALSE)</f>
        <v>1</v>
      </c>
      <c r="M560" s="5">
        <f>_xlfn.IFNA(Táblázat1[[#This Row],[Kész2020]],0)</f>
        <v>1</v>
      </c>
      <c r="N560" s="5">
        <f>IF(Táblázat1[[#This Row],[Karb./akt.év]]-Táblázat1[[#This Row],[Kész2020_2]]&lt;0,0,Táblázat1[[#This Row],[Karb./akt.év]]-Táblázat1[[#This Row],[Kész2020_2]])</f>
        <v>1</v>
      </c>
    </row>
    <row r="561" spans="1:14" hidden="1" x14ac:dyDescent="0.25">
      <c r="A561" s="17" t="s">
        <v>6</v>
      </c>
      <c r="B561" s="17" t="s">
        <v>1233</v>
      </c>
      <c r="C561" s="17" t="s">
        <v>1737</v>
      </c>
      <c r="D561" s="17" t="s">
        <v>3042</v>
      </c>
      <c r="E561" s="17" t="s">
        <v>4077</v>
      </c>
      <c r="F561" s="17" t="s">
        <v>4078</v>
      </c>
      <c r="G561" s="17" t="s">
        <v>6162</v>
      </c>
      <c r="H561" t="s">
        <v>7476</v>
      </c>
      <c r="I561" s="1">
        <v>2</v>
      </c>
      <c r="J561" s="1">
        <v>2</v>
      </c>
      <c r="K561" t="s">
        <v>8103</v>
      </c>
      <c r="L561" s="5">
        <f>VLOOKUP(D:D,[1]Munka2!$A:$B,2,FALSE)</f>
        <v>1</v>
      </c>
      <c r="M561" s="5">
        <f>_xlfn.IFNA(Táblázat1[[#This Row],[Kész2020]],0)</f>
        <v>1</v>
      </c>
      <c r="N561" s="5">
        <f>IF(Táblázat1[[#This Row],[Karb./akt.év]]-Táblázat1[[#This Row],[Kész2020_2]]&lt;0,0,Táblázat1[[#This Row],[Karb./akt.év]]-Táblázat1[[#This Row],[Kész2020_2]])</f>
        <v>1</v>
      </c>
    </row>
    <row r="562" spans="1:14" hidden="1" x14ac:dyDescent="0.25">
      <c r="A562" s="17" t="s">
        <v>6</v>
      </c>
      <c r="B562" s="17" t="s">
        <v>6807</v>
      </c>
      <c r="C562" s="17" t="s">
        <v>1736</v>
      </c>
      <c r="D562" s="17" t="s">
        <v>6817</v>
      </c>
      <c r="E562" s="17" t="s">
        <v>3749</v>
      </c>
      <c r="F562" s="17" t="s">
        <v>3750</v>
      </c>
      <c r="G562" s="17" t="s">
        <v>6337</v>
      </c>
      <c r="H562" t="s">
        <v>7476</v>
      </c>
      <c r="I562" s="1">
        <v>2</v>
      </c>
      <c r="J562" s="1">
        <v>2</v>
      </c>
      <c r="K562" t="s">
        <v>8103</v>
      </c>
      <c r="L562" s="5">
        <f>VLOOKUP(D:D,[1]Munka2!$A:$B,2,FALSE)</f>
        <v>1</v>
      </c>
      <c r="M562" s="5">
        <f>_xlfn.IFNA(Táblázat1[[#This Row],[Kész2020]],0)</f>
        <v>1</v>
      </c>
      <c r="N562" s="5">
        <f>IF(Táblázat1[[#This Row],[Karb./akt.év]]-Táblázat1[[#This Row],[Kész2020_2]]&lt;0,0,Táblázat1[[#This Row],[Karb./akt.év]]-Táblázat1[[#This Row],[Kész2020_2]])</f>
        <v>1</v>
      </c>
    </row>
    <row r="563" spans="1:14" hidden="1" x14ac:dyDescent="0.25">
      <c r="A563" s="17" t="s">
        <v>6</v>
      </c>
      <c r="B563" s="17" t="s">
        <v>1559</v>
      </c>
      <c r="C563" s="17" t="s">
        <v>1736</v>
      </c>
      <c r="D563" s="17" t="s">
        <v>3404</v>
      </c>
      <c r="E563" s="17" t="s">
        <v>4268</v>
      </c>
      <c r="F563" s="17" t="s">
        <v>3681</v>
      </c>
      <c r="G563" s="17" t="s">
        <v>6464</v>
      </c>
      <c r="H563" t="s">
        <v>7476</v>
      </c>
      <c r="I563" s="1">
        <v>2</v>
      </c>
      <c r="J563" s="1">
        <v>2</v>
      </c>
      <c r="K563" t="s">
        <v>6637</v>
      </c>
      <c r="L563" s="5">
        <f>VLOOKUP(D:D,[1]Munka2!$A:$B,2,FALSE)</f>
        <v>1</v>
      </c>
      <c r="M563" s="5">
        <f>_xlfn.IFNA(Táblázat1[[#This Row],[Kész2020]],0)</f>
        <v>1</v>
      </c>
      <c r="N563" s="5">
        <f>IF(Táblázat1[[#This Row],[Karb./akt.év]]-Táblázat1[[#This Row],[Kész2020_2]]&lt;0,0,Táblázat1[[#This Row],[Karb./akt.év]]-Táblázat1[[#This Row],[Kész2020_2]])</f>
        <v>1</v>
      </c>
    </row>
    <row r="564" spans="1:14" x14ac:dyDescent="0.25">
      <c r="A564" s="17" t="s">
        <v>6</v>
      </c>
      <c r="B564" s="17" t="s">
        <v>380</v>
      </c>
      <c r="C564" s="17" t="s">
        <v>1736</v>
      </c>
      <c r="D564" s="17" t="s">
        <v>2136</v>
      </c>
      <c r="E564" s="17" t="s">
        <v>4012</v>
      </c>
      <c r="F564" s="17" t="s">
        <v>3681</v>
      </c>
      <c r="G564" s="17" t="s">
        <v>5348</v>
      </c>
      <c r="H564" t="s">
        <v>7476</v>
      </c>
      <c r="I564" s="1">
        <v>2</v>
      </c>
      <c r="J564" s="1">
        <v>2</v>
      </c>
      <c r="K564" t="s">
        <v>6637</v>
      </c>
      <c r="L564" s="5" t="e">
        <f>VLOOKUP(D:D,[1]Munka2!$A:$B,2,FALSE)</f>
        <v>#N/A</v>
      </c>
      <c r="M564" s="5">
        <f>_xlfn.IFNA(Táblázat1[[#This Row],[Kész2020]],0)</f>
        <v>0</v>
      </c>
      <c r="N564" s="5">
        <f>IF(Táblázat1[[#This Row],[Karb./akt.év]]-Táblázat1[[#This Row],[Kész2020_2]]&lt;0,0,Táblázat1[[#This Row],[Karb./akt.év]]-Táblázat1[[#This Row],[Kész2020_2]])</f>
        <v>2</v>
      </c>
    </row>
    <row r="565" spans="1:14" hidden="1" x14ac:dyDescent="0.25">
      <c r="A565" s="17" t="s">
        <v>6</v>
      </c>
      <c r="B565" s="17" t="s">
        <v>950</v>
      </c>
      <c r="C565" s="17" t="s">
        <v>1742</v>
      </c>
      <c r="D565" s="17" t="s">
        <v>2736</v>
      </c>
      <c r="E565" s="17" t="s">
        <v>3680</v>
      </c>
      <c r="F565" s="17" t="s">
        <v>3681</v>
      </c>
      <c r="G565" s="17" t="s">
        <v>5880</v>
      </c>
      <c r="H565" t="s">
        <v>7476</v>
      </c>
      <c r="I565" s="1">
        <v>2</v>
      </c>
      <c r="J565" s="1">
        <v>2</v>
      </c>
      <c r="K565" t="s">
        <v>6637</v>
      </c>
      <c r="L565" s="5">
        <f>VLOOKUP(D:D,[1]Munka2!$A:$B,2,FALSE)</f>
        <v>1</v>
      </c>
      <c r="M565" s="5">
        <f>_xlfn.IFNA(Táblázat1[[#This Row],[Kész2020]],0)</f>
        <v>1</v>
      </c>
      <c r="N565" s="5">
        <f>IF(Táblázat1[[#This Row],[Karb./akt.év]]-Táblázat1[[#This Row],[Kész2020_2]]&lt;0,0,Táblázat1[[#This Row],[Karb./akt.év]]-Táblázat1[[#This Row],[Kész2020_2]])</f>
        <v>1</v>
      </c>
    </row>
    <row r="566" spans="1:14" hidden="1" x14ac:dyDescent="0.25">
      <c r="A566" s="17" t="s">
        <v>6</v>
      </c>
      <c r="B566" s="17" t="s">
        <v>1670</v>
      </c>
      <c r="C566" s="17" t="s">
        <v>1737</v>
      </c>
      <c r="D566" s="17" t="s">
        <v>3527</v>
      </c>
      <c r="E566" s="17" t="s">
        <v>3928</v>
      </c>
      <c r="F566" s="17" t="s">
        <v>3929</v>
      </c>
      <c r="G566" s="17" t="s">
        <v>6566</v>
      </c>
      <c r="H566" t="s">
        <v>7476</v>
      </c>
      <c r="I566" s="1">
        <v>2</v>
      </c>
      <c r="J566" s="1">
        <v>2</v>
      </c>
      <c r="K566" t="s">
        <v>8102</v>
      </c>
      <c r="L566" s="5">
        <f>VLOOKUP(D:D,[1]Munka2!$A:$B,2,FALSE)</f>
        <v>1</v>
      </c>
      <c r="M566" s="5">
        <f>_xlfn.IFNA(Táblázat1[[#This Row],[Kész2020]],0)</f>
        <v>1</v>
      </c>
      <c r="N566" s="5">
        <f>IF(Táblázat1[[#This Row],[Karb./akt.év]]-Táblázat1[[#This Row],[Kész2020_2]]&lt;0,0,Táblázat1[[#This Row],[Karb./akt.év]]-Táblázat1[[#This Row],[Kész2020_2]])</f>
        <v>1</v>
      </c>
    </row>
    <row r="567" spans="1:14" hidden="1" x14ac:dyDescent="0.25">
      <c r="A567" s="17" t="s">
        <v>6</v>
      </c>
      <c r="B567" s="17" t="s">
        <v>1650</v>
      </c>
      <c r="C567" s="17" t="s">
        <v>1736</v>
      </c>
      <c r="D567" s="17" t="s">
        <v>3506</v>
      </c>
      <c r="E567" s="17" t="s">
        <v>3811</v>
      </c>
      <c r="F567" s="17" t="s">
        <v>3812</v>
      </c>
      <c r="G567" s="17" t="s">
        <v>6545</v>
      </c>
      <c r="H567" t="s">
        <v>7476</v>
      </c>
      <c r="I567" s="1">
        <v>2</v>
      </c>
      <c r="J567" s="1">
        <v>2</v>
      </c>
      <c r="K567" t="s">
        <v>6637</v>
      </c>
      <c r="L567" s="5">
        <f>VLOOKUP(D:D,[1]Munka2!$A:$B,2,FALSE)</f>
        <v>1</v>
      </c>
      <c r="M567" s="5">
        <f>_xlfn.IFNA(Táblázat1[[#This Row],[Kész2020]],0)</f>
        <v>1</v>
      </c>
      <c r="N567" s="5">
        <f>IF(Táblázat1[[#This Row],[Karb./akt.év]]-Táblázat1[[#This Row],[Kész2020_2]]&lt;0,0,Táblázat1[[#This Row],[Karb./akt.év]]-Táblázat1[[#This Row],[Kész2020_2]])</f>
        <v>1</v>
      </c>
    </row>
    <row r="568" spans="1:14" x14ac:dyDescent="0.25">
      <c r="A568" s="17" t="s">
        <v>6</v>
      </c>
      <c r="B568" s="17" t="s">
        <v>110</v>
      </c>
      <c r="C568" s="17" t="s">
        <v>1737</v>
      </c>
      <c r="D568" s="17" t="s">
        <v>1849</v>
      </c>
      <c r="E568" s="17" t="s">
        <v>3659</v>
      </c>
      <c r="F568" s="17" t="s">
        <v>3660</v>
      </c>
      <c r="G568" s="17" t="s">
        <v>5081</v>
      </c>
      <c r="H568" t="s">
        <v>7476</v>
      </c>
      <c r="I568" s="1">
        <v>2</v>
      </c>
      <c r="J568" s="1">
        <v>2</v>
      </c>
      <c r="K568" t="s">
        <v>7354</v>
      </c>
      <c r="L568" s="5" t="e">
        <f>VLOOKUP(D:D,[1]Munka2!$A:$B,2,FALSE)</f>
        <v>#N/A</v>
      </c>
      <c r="M568" s="5">
        <f>_xlfn.IFNA(Táblázat1[[#This Row],[Kész2020]],0)</f>
        <v>0</v>
      </c>
      <c r="N568" s="5">
        <f>IF(Táblázat1[[#This Row],[Karb./akt.év]]-Táblázat1[[#This Row],[Kész2020_2]]&lt;0,0,Táblázat1[[#This Row],[Karb./akt.év]]-Táblázat1[[#This Row],[Kész2020_2]])</f>
        <v>2</v>
      </c>
    </row>
    <row r="569" spans="1:14" hidden="1" x14ac:dyDescent="0.25">
      <c r="A569" s="17" t="s">
        <v>6</v>
      </c>
      <c r="B569" s="17" t="s">
        <v>6730</v>
      </c>
      <c r="C569" s="17" t="s">
        <v>1737</v>
      </c>
      <c r="D569" s="17" t="s">
        <v>2023</v>
      </c>
      <c r="E569" s="17" t="s">
        <v>3897</v>
      </c>
      <c r="F569" s="17" t="s">
        <v>3898</v>
      </c>
      <c r="G569" s="17" t="s">
        <v>5242</v>
      </c>
      <c r="H569" t="s">
        <v>7476</v>
      </c>
      <c r="I569" s="1">
        <v>2</v>
      </c>
      <c r="J569" s="1">
        <v>2</v>
      </c>
      <c r="K569" t="s">
        <v>6637</v>
      </c>
      <c r="L569" s="5">
        <f>VLOOKUP(D:D,[1]Munka2!$A:$B,2,FALSE)</f>
        <v>1</v>
      </c>
      <c r="M569" s="5">
        <f>_xlfn.IFNA(Táblázat1[[#This Row],[Kész2020]],0)</f>
        <v>1</v>
      </c>
      <c r="N569" s="5">
        <f>IF(Táblázat1[[#This Row],[Karb./akt.év]]-Táblázat1[[#This Row],[Kész2020_2]]&lt;0,0,Táblázat1[[#This Row],[Karb./akt.év]]-Táblázat1[[#This Row],[Kész2020_2]])</f>
        <v>1</v>
      </c>
    </row>
    <row r="570" spans="1:14" hidden="1" x14ac:dyDescent="0.25">
      <c r="A570" s="17" t="s">
        <v>6</v>
      </c>
      <c r="B570" s="17" t="s">
        <v>6838</v>
      </c>
      <c r="C570" s="17" t="s">
        <v>1743</v>
      </c>
      <c r="D570" s="17" t="s">
        <v>6870</v>
      </c>
      <c r="E570" s="17" t="s">
        <v>4630</v>
      </c>
      <c r="F570" s="17" t="s">
        <v>3598</v>
      </c>
      <c r="G570" s="17" t="s">
        <v>6046</v>
      </c>
      <c r="H570" t="s">
        <v>7476</v>
      </c>
      <c r="I570" s="1">
        <v>0</v>
      </c>
      <c r="J570" s="1">
        <v>0</v>
      </c>
      <c r="K570" t="s">
        <v>6633</v>
      </c>
      <c r="L570" s="5" t="e">
        <f>VLOOKUP(D:D,[1]Munka2!$A:$B,2,FALSE)</f>
        <v>#N/A</v>
      </c>
      <c r="M570" s="5">
        <f>_xlfn.IFNA(Táblázat1[[#This Row],[Kész2020]],0)</f>
        <v>0</v>
      </c>
      <c r="N570" s="5">
        <f>IF(Táblázat1[[#This Row],[Karb./akt.év]]-Táblázat1[[#This Row],[Kész2020_2]]&lt;0,0,Táblázat1[[#This Row],[Karb./akt.év]]-Táblázat1[[#This Row],[Kész2020_2]])</f>
        <v>0</v>
      </c>
    </row>
    <row r="571" spans="1:14" hidden="1" x14ac:dyDescent="0.25">
      <c r="A571" s="17" t="s">
        <v>6</v>
      </c>
      <c r="B571" s="17" t="s">
        <v>6837</v>
      </c>
      <c r="C571" s="17" t="s">
        <v>1736</v>
      </c>
      <c r="D571" s="17" t="s">
        <v>6869</v>
      </c>
      <c r="E571" s="17" t="s">
        <v>3597</v>
      </c>
      <c r="F571" s="17" t="s">
        <v>3598</v>
      </c>
      <c r="G571" s="17" t="s">
        <v>6046</v>
      </c>
      <c r="H571" t="s">
        <v>7476</v>
      </c>
      <c r="I571" s="1">
        <v>0</v>
      </c>
      <c r="J571" s="1">
        <v>0</v>
      </c>
      <c r="K571" t="s">
        <v>6633</v>
      </c>
      <c r="L571" s="5" t="e">
        <f>VLOOKUP(D:D,[1]Munka2!$A:$B,2,FALSE)</f>
        <v>#N/A</v>
      </c>
      <c r="M571" s="5">
        <f>_xlfn.IFNA(Táblázat1[[#This Row],[Kész2020]],0)</f>
        <v>0</v>
      </c>
      <c r="N571" s="5">
        <f>IF(Táblázat1[[#This Row],[Karb./akt.év]]-Táblázat1[[#This Row],[Kész2020_2]]&lt;0,0,Táblázat1[[#This Row],[Karb./akt.év]]-Táblázat1[[#This Row],[Kész2020_2]])</f>
        <v>0</v>
      </c>
    </row>
    <row r="572" spans="1:14" hidden="1" x14ac:dyDescent="0.25">
      <c r="A572" s="17" t="s">
        <v>6</v>
      </c>
      <c r="B572" s="17" t="s">
        <v>6836</v>
      </c>
      <c r="C572" s="17" t="s">
        <v>1742</v>
      </c>
      <c r="D572" s="17" t="s">
        <v>6868</v>
      </c>
      <c r="E572" s="17" t="s">
        <v>3597</v>
      </c>
      <c r="F572" s="17" t="s">
        <v>3598</v>
      </c>
      <c r="G572" s="17" t="s">
        <v>6046</v>
      </c>
      <c r="H572" t="s">
        <v>7476</v>
      </c>
      <c r="I572" s="1">
        <v>0</v>
      </c>
      <c r="J572" s="1">
        <v>0</v>
      </c>
      <c r="K572" t="s">
        <v>6633</v>
      </c>
      <c r="L572" s="5" t="e">
        <f>VLOOKUP(D:D,[1]Munka2!$A:$B,2,FALSE)</f>
        <v>#N/A</v>
      </c>
      <c r="M572" s="5">
        <f>_xlfn.IFNA(Táblázat1[[#This Row],[Kész2020]],0)</f>
        <v>0</v>
      </c>
      <c r="N572" s="5">
        <f>IF(Táblázat1[[#This Row],[Karb./akt.év]]-Táblázat1[[#This Row],[Kész2020_2]]&lt;0,0,Táblázat1[[#This Row],[Karb./akt.év]]-Táblázat1[[#This Row],[Kész2020_2]])</f>
        <v>0</v>
      </c>
    </row>
    <row r="573" spans="1:14" hidden="1" x14ac:dyDescent="0.25">
      <c r="A573" s="17" t="s">
        <v>6</v>
      </c>
      <c r="B573" s="17" t="s">
        <v>6835</v>
      </c>
      <c r="C573" s="17" t="s">
        <v>1737</v>
      </c>
      <c r="D573" s="17" t="s">
        <v>6867</v>
      </c>
      <c r="E573" s="17" t="s">
        <v>3597</v>
      </c>
      <c r="F573" s="17" t="s">
        <v>3598</v>
      </c>
      <c r="G573" s="17" t="s">
        <v>6046</v>
      </c>
      <c r="H573" t="s">
        <v>7476</v>
      </c>
      <c r="I573" s="1">
        <v>0</v>
      </c>
      <c r="J573" s="1">
        <v>0</v>
      </c>
      <c r="K573" t="s">
        <v>6633</v>
      </c>
      <c r="L573" s="5" t="e">
        <f>VLOOKUP(D:D,[1]Munka2!$A:$B,2,FALSE)</f>
        <v>#N/A</v>
      </c>
      <c r="M573" s="5">
        <f>_xlfn.IFNA(Táblázat1[[#This Row],[Kész2020]],0)</f>
        <v>0</v>
      </c>
      <c r="N573" s="5">
        <f>IF(Táblázat1[[#This Row],[Karb./akt.év]]-Táblázat1[[#This Row],[Kész2020_2]]&lt;0,0,Táblázat1[[#This Row],[Karb./akt.év]]-Táblázat1[[#This Row],[Kész2020_2]])</f>
        <v>0</v>
      </c>
    </row>
    <row r="574" spans="1:14" hidden="1" x14ac:dyDescent="0.25">
      <c r="A574" s="17" t="s">
        <v>6</v>
      </c>
      <c r="B574" s="17" t="s">
        <v>6827</v>
      </c>
      <c r="C574" s="17" t="s">
        <v>1735</v>
      </c>
      <c r="D574" s="17" t="s">
        <v>6860</v>
      </c>
      <c r="E574" s="17" t="s">
        <v>3597</v>
      </c>
      <c r="F574" s="17" t="s">
        <v>3598</v>
      </c>
      <c r="G574" s="17" t="s">
        <v>6904</v>
      </c>
      <c r="H574" t="s">
        <v>7476</v>
      </c>
      <c r="I574" s="1">
        <v>0</v>
      </c>
      <c r="J574" s="1">
        <v>0</v>
      </c>
      <c r="K574" t="s">
        <v>6633</v>
      </c>
      <c r="L574" s="5" t="e">
        <f>VLOOKUP(D:D,[1]Munka2!$A:$B,2,FALSE)</f>
        <v>#N/A</v>
      </c>
      <c r="M574" s="5">
        <f>_xlfn.IFNA(Táblázat1[[#This Row],[Kész2020]],0)</f>
        <v>0</v>
      </c>
      <c r="N574" s="5">
        <f>IF(Táblázat1[[#This Row],[Karb./akt.év]]-Táblázat1[[#This Row],[Kész2020_2]]&lt;0,0,Táblázat1[[#This Row],[Karb./akt.év]]-Táblázat1[[#This Row],[Kész2020_2]])</f>
        <v>0</v>
      </c>
    </row>
    <row r="575" spans="1:14" hidden="1" x14ac:dyDescent="0.25">
      <c r="A575" s="17" t="s">
        <v>16</v>
      </c>
      <c r="B575" s="17" t="s">
        <v>6712</v>
      </c>
      <c r="C575" s="17" t="s">
        <v>1735</v>
      </c>
      <c r="D575" s="17" t="s">
        <v>6717</v>
      </c>
      <c r="E575" s="17" t="s">
        <v>6721</v>
      </c>
      <c r="F575" s="17" t="s">
        <v>6722</v>
      </c>
      <c r="G575" s="17" t="s">
        <v>6725</v>
      </c>
      <c r="H575" t="s">
        <v>7476</v>
      </c>
      <c r="I575" s="1">
        <v>1</v>
      </c>
      <c r="J575" s="1">
        <v>1</v>
      </c>
      <c r="K575" t="s">
        <v>6635</v>
      </c>
      <c r="L575" s="5" t="e">
        <f>VLOOKUP(D:D,[1]Munka2!$A:$B,2,FALSE)</f>
        <v>#N/A</v>
      </c>
      <c r="M575" s="5">
        <f>_xlfn.IFNA(Táblázat1[[#This Row],[Kész2020]],0)</f>
        <v>0</v>
      </c>
      <c r="N575" s="5">
        <f>IF(Táblázat1[[#This Row],[Karb./akt.év]]-Táblázat1[[#This Row],[Kész2020_2]]&lt;0,0,Táblázat1[[#This Row],[Karb./akt.év]]-Táblázat1[[#This Row],[Kész2020_2]])</f>
        <v>1</v>
      </c>
    </row>
    <row r="576" spans="1:14" hidden="1" x14ac:dyDescent="0.25">
      <c r="A576" s="17" t="s">
        <v>16</v>
      </c>
      <c r="B576" s="17" t="s">
        <v>7535</v>
      </c>
      <c r="C576" s="17" t="s">
        <v>1742</v>
      </c>
      <c r="D576" s="17" t="s">
        <v>1815</v>
      </c>
      <c r="E576" s="17" t="s">
        <v>3667</v>
      </c>
      <c r="F576" s="17" t="s">
        <v>3668</v>
      </c>
      <c r="G576" s="17" t="s">
        <v>5055</v>
      </c>
      <c r="H576" t="s">
        <v>7476</v>
      </c>
      <c r="I576" s="1">
        <v>1</v>
      </c>
      <c r="J576" s="1">
        <v>1</v>
      </c>
      <c r="K576" t="s">
        <v>6637</v>
      </c>
      <c r="L576" s="5" t="e">
        <f>VLOOKUP(D:D,[1]Munka2!$A:$B,2,FALSE)</f>
        <v>#N/A</v>
      </c>
      <c r="M576" s="5">
        <f>_xlfn.IFNA(Táblázat1[[#This Row],[Kész2020]],0)</f>
        <v>0</v>
      </c>
      <c r="N576" s="5">
        <f>IF(Táblázat1[[#This Row],[Karb./akt.év]]-Táblázat1[[#This Row],[Kész2020_2]]&lt;0,0,Táblázat1[[#This Row],[Karb./akt.év]]-Táblázat1[[#This Row],[Kész2020_2]])</f>
        <v>1</v>
      </c>
    </row>
    <row r="577" spans="1:14" hidden="1" x14ac:dyDescent="0.25">
      <c r="A577" s="17" t="s">
        <v>16</v>
      </c>
      <c r="B577" s="17" t="s">
        <v>7679</v>
      </c>
      <c r="C577" s="17" t="s">
        <v>1769</v>
      </c>
      <c r="D577" s="17" t="s">
        <v>3493</v>
      </c>
      <c r="E577" s="17" t="s">
        <v>4035</v>
      </c>
      <c r="F577" s="17" t="s">
        <v>3598</v>
      </c>
      <c r="G577" s="17" t="s">
        <v>8011</v>
      </c>
      <c r="H577" t="s">
        <v>7476</v>
      </c>
      <c r="I577" s="1">
        <v>1</v>
      </c>
      <c r="J577" s="1">
        <v>1</v>
      </c>
      <c r="K577" t="s">
        <v>6785</v>
      </c>
      <c r="L577" s="5">
        <f>VLOOKUP(D:D,[1]Munka2!$A:$B,2,FALSE)</f>
        <v>1</v>
      </c>
      <c r="M577" s="5">
        <f>_xlfn.IFNA(Táblázat1[[#This Row],[Kész2020]],0)</f>
        <v>1</v>
      </c>
      <c r="N577" s="5">
        <f>IF(Táblázat1[[#This Row],[Karb./akt.év]]-Táblázat1[[#This Row],[Kész2020_2]]&lt;0,0,Táblázat1[[#This Row],[Karb./akt.év]]-Táblázat1[[#This Row],[Kész2020_2]])</f>
        <v>0</v>
      </c>
    </row>
    <row r="578" spans="1:14" hidden="1" x14ac:dyDescent="0.25">
      <c r="A578" s="17" t="s">
        <v>16</v>
      </c>
      <c r="B578" s="17" t="s">
        <v>1222</v>
      </c>
      <c r="C578" s="17" t="s">
        <v>1754</v>
      </c>
      <c r="D578" s="17" t="s">
        <v>3029</v>
      </c>
      <c r="E578" s="17" t="s">
        <v>4725</v>
      </c>
      <c r="F578" s="17" t="s">
        <v>3598</v>
      </c>
      <c r="G578" s="17" t="s">
        <v>6151</v>
      </c>
      <c r="H578" t="s">
        <v>7476</v>
      </c>
      <c r="I578" s="1">
        <v>1</v>
      </c>
      <c r="J578" s="1">
        <v>1</v>
      </c>
      <c r="K578" t="s">
        <v>7014</v>
      </c>
      <c r="L578" s="5">
        <f>VLOOKUP(D:D,[1]Munka2!$A:$B,2,FALSE)</f>
        <v>1</v>
      </c>
      <c r="M578" s="5">
        <f>_xlfn.IFNA(Táblázat1[[#This Row],[Kész2020]],0)</f>
        <v>1</v>
      </c>
      <c r="N578" s="5">
        <f>IF(Táblázat1[[#This Row],[Karb./akt.év]]-Táblázat1[[#This Row],[Kész2020_2]]&lt;0,0,Táblázat1[[#This Row],[Karb./akt.év]]-Táblázat1[[#This Row],[Kész2020_2]])</f>
        <v>0</v>
      </c>
    </row>
    <row r="579" spans="1:14" hidden="1" x14ac:dyDescent="0.25">
      <c r="A579" s="17" t="s">
        <v>16</v>
      </c>
      <c r="B579" s="17" t="s">
        <v>7680</v>
      </c>
      <c r="C579" s="17" t="s">
        <v>1742</v>
      </c>
      <c r="D579" s="17" t="s">
        <v>7787</v>
      </c>
      <c r="E579" s="17" t="s">
        <v>3879</v>
      </c>
      <c r="F579" s="17" t="s">
        <v>3598</v>
      </c>
      <c r="G579" s="17" t="s">
        <v>8012</v>
      </c>
      <c r="H579" t="s">
        <v>7476</v>
      </c>
      <c r="I579" s="1">
        <v>1</v>
      </c>
      <c r="J579" s="1">
        <v>1</v>
      </c>
      <c r="K579" t="s">
        <v>6641</v>
      </c>
      <c r="L579" s="5">
        <f>VLOOKUP(D:D,[1]Munka2!$A:$B,2,FALSE)</f>
        <v>1</v>
      </c>
      <c r="M579" s="5">
        <f>_xlfn.IFNA(Táblázat1[[#This Row],[Kész2020]],0)</f>
        <v>1</v>
      </c>
      <c r="N579" s="5">
        <f>IF(Táblázat1[[#This Row],[Karb./akt.év]]-Táblázat1[[#This Row],[Kész2020_2]]&lt;0,0,Táblázat1[[#This Row],[Karb./akt.év]]-Táblázat1[[#This Row],[Kész2020_2]])</f>
        <v>0</v>
      </c>
    </row>
    <row r="580" spans="1:14" hidden="1" x14ac:dyDescent="0.25">
      <c r="A580" s="17" t="s">
        <v>16</v>
      </c>
      <c r="B580" s="17" t="s">
        <v>995</v>
      </c>
      <c r="C580" s="17" t="s">
        <v>1754</v>
      </c>
      <c r="D580" s="17" t="s">
        <v>2784</v>
      </c>
      <c r="E580" s="17" t="s">
        <v>4061</v>
      </c>
      <c r="F580" s="17" t="s">
        <v>4062</v>
      </c>
      <c r="G580" s="17" t="s">
        <v>5924</v>
      </c>
      <c r="H580" t="s">
        <v>7476</v>
      </c>
      <c r="I580" s="1">
        <v>1</v>
      </c>
      <c r="J580" s="1">
        <v>1</v>
      </c>
      <c r="K580" t="s">
        <v>6636</v>
      </c>
      <c r="L580" s="5" t="e">
        <f>VLOOKUP(D:D,[1]Munka2!$A:$B,2,FALSE)</f>
        <v>#N/A</v>
      </c>
      <c r="M580" s="5">
        <f>_xlfn.IFNA(Táblázat1[[#This Row],[Kész2020]],0)</f>
        <v>0</v>
      </c>
      <c r="N580" s="5">
        <f>IF(Táblázat1[[#This Row],[Karb./akt.év]]-Táblázat1[[#This Row],[Kész2020_2]]&lt;0,0,Táblázat1[[#This Row],[Karb./akt.év]]-Táblázat1[[#This Row],[Kész2020_2]])</f>
        <v>1</v>
      </c>
    </row>
    <row r="581" spans="1:14" hidden="1" x14ac:dyDescent="0.25">
      <c r="A581" s="17" t="s">
        <v>16</v>
      </c>
      <c r="B581" s="17" t="s">
        <v>1103</v>
      </c>
      <c r="C581" s="17" t="s">
        <v>1754</v>
      </c>
      <c r="D581" s="17" t="s">
        <v>2896</v>
      </c>
      <c r="E581" s="17" t="s">
        <v>4622</v>
      </c>
      <c r="F581" s="17" t="s">
        <v>3598</v>
      </c>
      <c r="G581" s="17" t="s">
        <v>6032</v>
      </c>
      <c r="H581" t="s">
        <v>7476</v>
      </c>
      <c r="I581" s="1">
        <v>1</v>
      </c>
      <c r="J581" s="1">
        <v>1</v>
      </c>
      <c r="K581" t="s">
        <v>6633</v>
      </c>
      <c r="L581" s="5">
        <f>VLOOKUP(D:D,[1]Munka2!$A:$B,2,FALSE)</f>
        <v>1</v>
      </c>
      <c r="M581" s="5">
        <f>_xlfn.IFNA(Táblázat1[[#This Row],[Kész2020]],0)</f>
        <v>1</v>
      </c>
      <c r="N581" s="5">
        <f>IF(Táblázat1[[#This Row],[Karb./akt.év]]-Táblázat1[[#This Row],[Kész2020_2]]&lt;0,0,Táblázat1[[#This Row],[Karb./akt.év]]-Táblázat1[[#This Row],[Kész2020_2]])</f>
        <v>0</v>
      </c>
    </row>
    <row r="582" spans="1:14" hidden="1" x14ac:dyDescent="0.25">
      <c r="A582" s="17" t="s">
        <v>16</v>
      </c>
      <c r="B582" s="17" t="s">
        <v>406</v>
      </c>
      <c r="C582" s="17" t="s">
        <v>1735</v>
      </c>
      <c r="D582" s="17" t="s">
        <v>2161</v>
      </c>
      <c r="E582" s="17" t="s">
        <v>4024</v>
      </c>
      <c r="F582" s="17" t="s">
        <v>3598</v>
      </c>
      <c r="G582" s="17" t="s">
        <v>5373</v>
      </c>
      <c r="H582" t="s">
        <v>7476</v>
      </c>
      <c r="I582" s="1">
        <v>1</v>
      </c>
      <c r="J582" s="1">
        <v>1</v>
      </c>
      <c r="K582" t="s">
        <v>6785</v>
      </c>
      <c r="L582" s="5" t="e">
        <f>VLOOKUP(D:D,[1]Munka2!$A:$B,2,FALSE)</f>
        <v>#N/A</v>
      </c>
      <c r="M582" s="5">
        <f>_xlfn.IFNA(Táblázat1[[#This Row],[Kész2020]],0)</f>
        <v>0</v>
      </c>
      <c r="N582" s="5">
        <f>IF(Táblázat1[[#This Row],[Karb./akt.év]]-Táblázat1[[#This Row],[Kész2020_2]]&lt;0,0,Táblázat1[[#This Row],[Karb./akt.év]]-Táblázat1[[#This Row],[Kész2020_2]])</f>
        <v>1</v>
      </c>
    </row>
    <row r="583" spans="1:14" hidden="1" x14ac:dyDescent="0.25">
      <c r="A583" s="17" t="s">
        <v>16</v>
      </c>
      <c r="B583" s="17" t="s">
        <v>1628</v>
      </c>
      <c r="C583" s="17" t="s">
        <v>1769</v>
      </c>
      <c r="D583" s="17" t="s">
        <v>3479</v>
      </c>
      <c r="E583" s="17" t="s">
        <v>3597</v>
      </c>
      <c r="F583" s="17" t="s">
        <v>3598</v>
      </c>
      <c r="G583" s="17" t="s">
        <v>6524</v>
      </c>
      <c r="H583" t="s">
        <v>7476</v>
      </c>
      <c r="I583" s="1">
        <v>1</v>
      </c>
      <c r="J583" s="1">
        <v>1</v>
      </c>
      <c r="K583" t="s">
        <v>6633</v>
      </c>
      <c r="L583" s="5">
        <f>VLOOKUP(D:D,[1]Munka2!$A:$B,2,FALSE)</f>
        <v>1</v>
      </c>
      <c r="M583" s="5">
        <f>_xlfn.IFNA(Táblázat1[[#This Row],[Kész2020]],0)</f>
        <v>1</v>
      </c>
      <c r="N583" s="5">
        <f>IF(Táblázat1[[#This Row],[Karb./akt.év]]-Táblázat1[[#This Row],[Kész2020_2]]&lt;0,0,Táblázat1[[#This Row],[Karb./akt.év]]-Táblázat1[[#This Row],[Kész2020_2]])</f>
        <v>0</v>
      </c>
    </row>
    <row r="584" spans="1:14" hidden="1" x14ac:dyDescent="0.25">
      <c r="A584" s="17" t="s">
        <v>16</v>
      </c>
      <c r="B584" s="17" t="s">
        <v>7681</v>
      </c>
      <c r="C584" s="17" t="s">
        <v>1742</v>
      </c>
      <c r="D584" s="17" t="s">
        <v>7788</v>
      </c>
      <c r="E584" s="17" t="s">
        <v>3597</v>
      </c>
      <c r="F584" s="17" t="s">
        <v>3598</v>
      </c>
      <c r="G584" s="17" t="s">
        <v>8013</v>
      </c>
      <c r="H584" t="s">
        <v>7476</v>
      </c>
      <c r="I584" s="1">
        <v>1</v>
      </c>
      <c r="J584" s="1">
        <v>1</v>
      </c>
      <c r="K584" t="s">
        <v>6633</v>
      </c>
      <c r="L584" s="5" t="e">
        <f>VLOOKUP(D:D,[1]Munka2!$A:$B,2,FALSE)</f>
        <v>#N/A</v>
      </c>
      <c r="M584" s="5">
        <f>_xlfn.IFNA(Táblázat1[[#This Row],[Kész2020]],0)</f>
        <v>0</v>
      </c>
      <c r="N584" s="5">
        <f>IF(Táblázat1[[#This Row],[Karb./akt.év]]-Táblázat1[[#This Row],[Kész2020_2]]&lt;0,0,Táblázat1[[#This Row],[Karb./akt.év]]-Táblázat1[[#This Row],[Kész2020_2]])</f>
        <v>1</v>
      </c>
    </row>
    <row r="585" spans="1:14" hidden="1" x14ac:dyDescent="0.25">
      <c r="A585" s="17" t="s">
        <v>16</v>
      </c>
      <c r="B585" s="17" t="s">
        <v>708</v>
      </c>
      <c r="C585" s="17" t="s">
        <v>1742</v>
      </c>
      <c r="D585" s="17" t="s">
        <v>2484</v>
      </c>
      <c r="E585" s="17" t="s">
        <v>3745</v>
      </c>
      <c r="F585" s="17" t="s">
        <v>3598</v>
      </c>
      <c r="G585" s="17" t="s">
        <v>5662</v>
      </c>
      <c r="H585" t="s">
        <v>7476</v>
      </c>
      <c r="I585" s="1">
        <v>1</v>
      </c>
      <c r="J585" s="1">
        <v>1</v>
      </c>
      <c r="K585" t="s">
        <v>8101</v>
      </c>
      <c r="L585" s="5" t="e">
        <f>VLOOKUP(D:D,[1]Munka2!$A:$B,2,FALSE)</f>
        <v>#N/A</v>
      </c>
      <c r="M585" s="5">
        <f>_xlfn.IFNA(Táblázat1[[#This Row],[Kész2020]],0)</f>
        <v>0</v>
      </c>
      <c r="N585" s="5">
        <f>IF(Táblázat1[[#This Row],[Karb./akt.év]]-Táblázat1[[#This Row],[Kész2020_2]]&lt;0,0,Táblázat1[[#This Row],[Karb./akt.év]]-Táblázat1[[#This Row],[Kész2020_2]])</f>
        <v>1</v>
      </c>
    </row>
    <row r="586" spans="1:14" hidden="1" x14ac:dyDescent="0.25">
      <c r="A586" s="17" t="s">
        <v>16</v>
      </c>
      <c r="B586" s="17" t="s">
        <v>933</v>
      </c>
      <c r="C586" s="17" t="s">
        <v>1742</v>
      </c>
      <c r="D586" s="17" t="s">
        <v>2716</v>
      </c>
      <c r="E586" s="17" t="s">
        <v>4527</v>
      </c>
      <c r="F586" s="17" t="s">
        <v>3598</v>
      </c>
      <c r="G586" s="17" t="s">
        <v>5858</v>
      </c>
      <c r="H586" t="s">
        <v>7476</v>
      </c>
      <c r="I586" s="1">
        <v>1</v>
      </c>
      <c r="J586" s="1">
        <v>1</v>
      </c>
      <c r="K586" t="s">
        <v>8101</v>
      </c>
      <c r="L586" s="5" t="e">
        <f>VLOOKUP(D:D,[1]Munka2!$A:$B,2,FALSE)</f>
        <v>#N/A</v>
      </c>
      <c r="M586" s="5">
        <f>_xlfn.IFNA(Táblázat1[[#This Row],[Kész2020]],0)</f>
        <v>0</v>
      </c>
      <c r="N586" s="5">
        <f>IF(Táblázat1[[#This Row],[Karb./akt.év]]-Táblázat1[[#This Row],[Kész2020_2]]&lt;0,0,Táblázat1[[#This Row],[Karb./akt.év]]-Táblázat1[[#This Row],[Kész2020_2]])</f>
        <v>1</v>
      </c>
    </row>
    <row r="587" spans="1:14" hidden="1" x14ac:dyDescent="0.25">
      <c r="A587" s="17" t="s">
        <v>16</v>
      </c>
      <c r="B587" s="17" t="s">
        <v>1489</v>
      </c>
      <c r="C587" s="17" t="s">
        <v>1742</v>
      </c>
      <c r="D587" s="17" t="s">
        <v>3326</v>
      </c>
      <c r="E587" s="17" t="s">
        <v>3676</v>
      </c>
      <c r="F587" s="17" t="s">
        <v>3598</v>
      </c>
      <c r="G587" s="17" t="s">
        <v>6397</v>
      </c>
      <c r="H587" t="s">
        <v>7476</v>
      </c>
      <c r="I587" s="1">
        <v>1</v>
      </c>
      <c r="J587" s="1">
        <v>1</v>
      </c>
      <c r="K587" t="s">
        <v>8101</v>
      </c>
      <c r="L587" s="5" t="e">
        <f>VLOOKUP(D:D,[1]Munka2!$A:$B,2,FALSE)</f>
        <v>#N/A</v>
      </c>
      <c r="M587" s="5">
        <f>_xlfn.IFNA(Táblázat1[[#This Row],[Kész2020]],0)</f>
        <v>0</v>
      </c>
      <c r="N587" s="5">
        <f>IF(Táblázat1[[#This Row],[Karb./akt.év]]-Táblázat1[[#This Row],[Kész2020_2]]&lt;0,0,Táblázat1[[#This Row],[Karb./akt.év]]-Táblázat1[[#This Row],[Kész2020_2]])</f>
        <v>1</v>
      </c>
    </row>
    <row r="588" spans="1:14" hidden="1" x14ac:dyDescent="0.25">
      <c r="A588" s="17" t="s">
        <v>16</v>
      </c>
      <c r="B588" s="17" t="s">
        <v>726</v>
      </c>
      <c r="C588" s="17" t="s">
        <v>1742</v>
      </c>
      <c r="D588" s="17" t="s">
        <v>2503</v>
      </c>
      <c r="E588" s="17" t="s">
        <v>3840</v>
      </c>
      <c r="F588" s="17" t="s">
        <v>3841</v>
      </c>
      <c r="G588" s="17" t="s">
        <v>5677</v>
      </c>
      <c r="H588" t="s">
        <v>7476</v>
      </c>
      <c r="I588" s="1">
        <v>1</v>
      </c>
      <c r="J588" s="1">
        <v>1</v>
      </c>
      <c r="K588" t="s">
        <v>6635</v>
      </c>
      <c r="L588" s="5" t="e">
        <f>VLOOKUP(D:D,[1]Munka2!$A:$B,2,FALSE)</f>
        <v>#N/A</v>
      </c>
      <c r="M588" s="5">
        <f>_xlfn.IFNA(Táblázat1[[#This Row],[Kész2020]],0)</f>
        <v>0</v>
      </c>
      <c r="N588" s="5">
        <f>IF(Táblázat1[[#This Row],[Karb./akt.év]]-Táblázat1[[#This Row],[Kész2020_2]]&lt;0,0,Táblázat1[[#This Row],[Karb./akt.év]]-Táblázat1[[#This Row],[Kész2020_2]])</f>
        <v>1</v>
      </c>
    </row>
    <row r="589" spans="1:14" hidden="1" x14ac:dyDescent="0.25">
      <c r="A589" s="17" t="s">
        <v>16</v>
      </c>
      <c r="B589" s="17" t="s">
        <v>727</v>
      </c>
      <c r="C589" s="17" t="s">
        <v>1742</v>
      </c>
      <c r="D589" s="17" t="s">
        <v>2504</v>
      </c>
      <c r="E589" s="17" t="s">
        <v>4318</v>
      </c>
      <c r="F589" s="17" t="s">
        <v>3679</v>
      </c>
      <c r="G589" s="17" t="s">
        <v>5678</v>
      </c>
      <c r="H589" t="s">
        <v>7476</v>
      </c>
      <c r="I589" s="1">
        <v>1</v>
      </c>
      <c r="J589" s="1">
        <v>1</v>
      </c>
      <c r="K589" t="s">
        <v>6635</v>
      </c>
      <c r="L589" s="5" t="e">
        <f>VLOOKUP(D:D,[1]Munka2!$A:$B,2,FALSE)</f>
        <v>#N/A</v>
      </c>
      <c r="M589" s="5">
        <f>_xlfn.IFNA(Táblázat1[[#This Row],[Kész2020]],0)</f>
        <v>0</v>
      </c>
      <c r="N589" s="5">
        <f>IF(Táblázat1[[#This Row],[Karb./akt.év]]-Táblázat1[[#This Row],[Kész2020_2]]&lt;0,0,Táblázat1[[#This Row],[Karb./akt.év]]-Táblázat1[[#This Row],[Kész2020_2]])</f>
        <v>1</v>
      </c>
    </row>
    <row r="590" spans="1:14" hidden="1" x14ac:dyDescent="0.25">
      <c r="A590" s="17" t="s">
        <v>16</v>
      </c>
      <c r="B590" s="17" t="s">
        <v>1617</v>
      </c>
      <c r="C590" s="17" t="s">
        <v>1742</v>
      </c>
      <c r="D590" s="17" t="s">
        <v>3468</v>
      </c>
      <c r="E590" s="17" t="s">
        <v>3677</v>
      </c>
      <c r="F590" s="17" t="s">
        <v>3598</v>
      </c>
      <c r="G590" s="17" t="s">
        <v>6519</v>
      </c>
      <c r="H590" t="s">
        <v>7476</v>
      </c>
      <c r="I590" s="1">
        <v>1</v>
      </c>
      <c r="J590" s="1">
        <v>1</v>
      </c>
      <c r="K590" t="s">
        <v>8101</v>
      </c>
      <c r="L590" s="5" t="e">
        <f>VLOOKUP(D:D,[1]Munka2!$A:$B,2,FALSE)</f>
        <v>#N/A</v>
      </c>
      <c r="M590" s="5">
        <f>_xlfn.IFNA(Táblázat1[[#This Row],[Kész2020]],0)</f>
        <v>0</v>
      </c>
      <c r="N590" s="5">
        <f>IF(Táblázat1[[#This Row],[Karb./akt.év]]-Táblázat1[[#This Row],[Kész2020_2]]&lt;0,0,Táblázat1[[#This Row],[Karb./akt.év]]-Táblázat1[[#This Row],[Kész2020_2]])</f>
        <v>1</v>
      </c>
    </row>
    <row r="591" spans="1:14" hidden="1" x14ac:dyDescent="0.25">
      <c r="A591" s="17" t="s">
        <v>16</v>
      </c>
      <c r="B591" s="17" t="s">
        <v>653</v>
      </c>
      <c r="C591" s="17" t="s">
        <v>1742</v>
      </c>
      <c r="D591" s="17" t="s">
        <v>2428</v>
      </c>
      <c r="E591" s="17" t="s">
        <v>3836</v>
      </c>
      <c r="F591" s="17" t="s">
        <v>3837</v>
      </c>
      <c r="G591" s="17" t="s">
        <v>5612</v>
      </c>
      <c r="H591" t="s">
        <v>7476</v>
      </c>
      <c r="I591" s="1">
        <v>1</v>
      </c>
      <c r="J591" s="1">
        <v>1</v>
      </c>
      <c r="K591" t="s">
        <v>8103</v>
      </c>
      <c r="L591" s="5" t="e">
        <f>VLOOKUP(D:D,[1]Munka2!$A:$B,2,FALSE)</f>
        <v>#N/A</v>
      </c>
      <c r="M591" s="5">
        <f>_xlfn.IFNA(Táblázat1[[#This Row],[Kész2020]],0)</f>
        <v>0</v>
      </c>
      <c r="N591" s="5">
        <f>IF(Táblázat1[[#This Row],[Karb./akt.év]]-Táblázat1[[#This Row],[Kész2020_2]]&lt;0,0,Táblázat1[[#This Row],[Karb./akt.év]]-Táblázat1[[#This Row],[Kész2020_2]])</f>
        <v>1</v>
      </c>
    </row>
    <row r="592" spans="1:14" hidden="1" x14ac:dyDescent="0.25">
      <c r="A592" s="17" t="s">
        <v>16</v>
      </c>
      <c r="B592" s="17" t="s">
        <v>1038</v>
      </c>
      <c r="C592" s="17" t="s">
        <v>1742</v>
      </c>
      <c r="D592" s="17" t="s">
        <v>2827</v>
      </c>
      <c r="E592" s="17" t="s">
        <v>4587</v>
      </c>
      <c r="F592" s="17" t="s">
        <v>3755</v>
      </c>
      <c r="G592" s="17" t="s">
        <v>5964</v>
      </c>
      <c r="H592" t="s">
        <v>7476</v>
      </c>
      <c r="I592" s="1">
        <v>1</v>
      </c>
      <c r="J592" s="1">
        <v>1</v>
      </c>
      <c r="K592" t="s">
        <v>6640</v>
      </c>
      <c r="L592" s="5" t="e">
        <f>VLOOKUP(D:D,[1]Munka2!$A:$B,2,FALSE)</f>
        <v>#N/A</v>
      </c>
      <c r="M592" s="5">
        <f>_xlfn.IFNA(Táblázat1[[#This Row],[Kész2020]],0)</f>
        <v>0</v>
      </c>
      <c r="N592" s="5">
        <f>IF(Táblázat1[[#This Row],[Karb./akt.év]]-Táblázat1[[#This Row],[Kész2020_2]]&lt;0,0,Táblázat1[[#This Row],[Karb./akt.év]]-Táblázat1[[#This Row],[Kész2020_2]])</f>
        <v>1</v>
      </c>
    </row>
    <row r="593" spans="1:14" hidden="1" x14ac:dyDescent="0.25">
      <c r="A593" s="17" t="s">
        <v>16</v>
      </c>
      <c r="B593" s="17" t="s">
        <v>939</v>
      </c>
      <c r="C593" s="17" t="s">
        <v>1742</v>
      </c>
      <c r="D593" s="17" t="s">
        <v>2726</v>
      </c>
      <c r="E593" s="17" t="s">
        <v>4536</v>
      </c>
      <c r="F593" s="17" t="s">
        <v>3598</v>
      </c>
      <c r="G593" s="17" t="s">
        <v>5868</v>
      </c>
      <c r="H593" t="s">
        <v>7476</v>
      </c>
      <c r="I593" s="1">
        <v>1</v>
      </c>
      <c r="J593" s="1">
        <v>1</v>
      </c>
      <c r="K593" t="s">
        <v>6785</v>
      </c>
      <c r="L593" s="5" t="e">
        <f>VLOOKUP(D:D,[1]Munka2!$A:$B,2,FALSE)</f>
        <v>#N/A</v>
      </c>
      <c r="M593" s="5">
        <f>_xlfn.IFNA(Táblázat1[[#This Row],[Kész2020]],0)</f>
        <v>0</v>
      </c>
      <c r="N593" s="5">
        <f>IF(Táblázat1[[#This Row],[Karb./akt.év]]-Táblázat1[[#This Row],[Kész2020_2]]&lt;0,0,Táblázat1[[#This Row],[Karb./akt.év]]-Táblázat1[[#This Row],[Kész2020_2]])</f>
        <v>1</v>
      </c>
    </row>
    <row r="594" spans="1:14" hidden="1" x14ac:dyDescent="0.25">
      <c r="A594" s="17" t="s">
        <v>16</v>
      </c>
      <c r="B594" s="17" t="s">
        <v>836</v>
      </c>
      <c r="C594" s="17" t="s">
        <v>1742</v>
      </c>
      <c r="D594" s="17" t="s">
        <v>2613</v>
      </c>
      <c r="E594" s="17" t="s">
        <v>4050</v>
      </c>
      <c r="F594" s="17" t="s">
        <v>3598</v>
      </c>
      <c r="G594" s="17" t="s">
        <v>5776</v>
      </c>
      <c r="H594" t="s">
        <v>7476</v>
      </c>
      <c r="I594" s="1">
        <v>1</v>
      </c>
      <c r="J594" s="1">
        <v>1</v>
      </c>
      <c r="K594" t="s">
        <v>8101</v>
      </c>
      <c r="L594" s="5" t="e">
        <f>VLOOKUP(D:D,[1]Munka2!$A:$B,2,FALSE)</f>
        <v>#N/A</v>
      </c>
      <c r="M594" s="5">
        <f>_xlfn.IFNA(Táblázat1[[#This Row],[Kész2020]],0)</f>
        <v>0</v>
      </c>
      <c r="N594" s="5">
        <f>IF(Táblázat1[[#This Row],[Karb./akt.év]]-Táblázat1[[#This Row],[Kész2020_2]]&lt;0,0,Táblázat1[[#This Row],[Karb./akt.év]]-Táblázat1[[#This Row],[Kész2020_2]])</f>
        <v>1</v>
      </c>
    </row>
    <row r="595" spans="1:14" hidden="1" x14ac:dyDescent="0.25">
      <c r="A595" s="17" t="s">
        <v>16</v>
      </c>
      <c r="B595" s="17" t="s">
        <v>394</v>
      </c>
      <c r="C595" s="17" t="s">
        <v>1742</v>
      </c>
      <c r="D595" s="17" t="s">
        <v>2149</v>
      </c>
      <c r="E595" s="17" t="s">
        <v>3676</v>
      </c>
      <c r="F595" s="17" t="s">
        <v>3598</v>
      </c>
      <c r="G595" s="17" t="s">
        <v>5362</v>
      </c>
      <c r="H595" t="s">
        <v>7476</v>
      </c>
      <c r="I595" s="1">
        <v>1</v>
      </c>
      <c r="J595" s="1">
        <v>1</v>
      </c>
      <c r="K595" t="s">
        <v>8101</v>
      </c>
      <c r="L595" s="5" t="e">
        <f>VLOOKUP(D:D,[1]Munka2!$A:$B,2,FALSE)</f>
        <v>#N/A</v>
      </c>
      <c r="M595" s="5">
        <f>_xlfn.IFNA(Táblázat1[[#This Row],[Kész2020]],0)</f>
        <v>0</v>
      </c>
      <c r="N595" s="5">
        <f>IF(Táblázat1[[#This Row],[Karb./akt.év]]-Táblázat1[[#This Row],[Kész2020_2]]&lt;0,0,Táblázat1[[#This Row],[Karb./akt.év]]-Táblázat1[[#This Row],[Kész2020_2]])</f>
        <v>1</v>
      </c>
    </row>
    <row r="596" spans="1:14" hidden="1" x14ac:dyDescent="0.25">
      <c r="A596" s="17" t="s">
        <v>16</v>
      </c>
      <c r="B596" s="17" t="s">
        <v>1252</v>
      </c>
      <c r="C596" s="17" t="s">
        <v>1735</v>
      </c>
      <c r="D596" s="17" t="s">
        <v>3063</v>
      </c>
      <c r="E596" s="17" t="s">
        <v>3644</v>
      </c>
      <c r="F596" s="17" t="s">
        <v>3598</v>
      </c>
      <c r="G596" s="17" t="s">
        <v>6178</v>
      </c>
      <c r="H596" t="s">
        <v>7476</v>
      </c>
      <c r="I596" s="1">
        <v>1</v>
      </c>
      <c r="J596" s="1">
        <v>1</v>
      </c>
      <c r="K596" t="s">
        <v>8101</v>
      </c>
      <c r="L596" s="5" t="e">
        <f>VLOOKUP(D:D,[1]Munka2!$A:$B,2,FALSE)</f>
        <v>#N/A</v>
      </c>
      <c r="M596" s="5">
        <f>_xlfn.IFNA(Táblázat1[[#This Row],[Kész2020]],0)</f>
        <v>0</v>
      </c>
      <c r="N596" s="5">
        <f>IF(Táblázat1[[#This Row],[Karb./akt.év]]-Táblázat1[[#This Row],[Kész2020_2]]&lt;0,0,Táblázat1[[#This Row],[Karb./akt.év]]-Táblázat1[[#This Row],[Kész2020_2]])</f>
        <v>1</v>
      </c>
    </row>
    <row r="597" spans="1:14" hidden="1" x14ac:dyDescent="0.25">
      <c r="A597" s="17" t="s">
        <v>16</v>
      </c>
      <c r="B597" s="17" t="s">
        <v>944</v>
      </c>
      <c r="C597" s="17" t="s">
        <v>1735</v>
      </c>
      <c r="D597" s="17" t="s">
        <v>2732</v>
      </c>
      <c r="E597" s="17" t="s">
        <v>3677</v>
      </c>
      <c r="F597" s="17" t="s">
        <v>3598</v>
      </c>
      <c r="G597" s="17" t="s">
        <v>5874</v>
      </c>
      <c r="H597" t="s">
        <v>7476</v>
      </c>
      <c r="I597" s="1">
        <v>1</v>
      </c>
      <c r="J597" s="1">
        <v>1</v>
      </c>
      <c r="K597" t="s">
        <v>8101</v>
      </c>
      <c r="L597" s="5" t="e">
        <f>VLOOKUP(D:D,[1]Munka2!$A:$B,2,FALSE)</f>
        <v>#N/A</v>
      </c>
      <c r="M597" s="5">
        <f>_xlfn.IFNA(Táblázat1[[#This Row],[Kész2020]],0)</f>
        <v>0</v>
      </c>
      <c r="N597" s="5">
        <f>IF(Táblázat1[[#This Row],[Karb./akt.év]]-Táblázat1[[#This Row],[Kész2020_2]]&lt;0,0,Táblázat1[[#This Row],[Karb./akt.év]]-Táblázat1[[#This Row],[Kész2020_2]])</f>
        <v>1</v>
      </c>
    </row>
    <row r="598" spans="1:14" hidden="1" x14ac:dyDescent="0.25">
      <c r="A598" s="17" t="s">
        <v>16</v>
      </c>
      <c r="B598" s="17" t="s">
        <v>390</v>
      </c>
      <c r="C598" s="17" t="s">
        <v>1742</v>
      </c>
      <c r="D598" s="17" t="s">
        <v>2146</v>
      </c>
      <c r="E598" s="17" t="s">
        <v>4016</v>
      </c>
      <c r="F598" s="17" t="s">
        <v>3598</v>
      </c>
      <c r="G598" s="17" t="s">
        <v>5358</v>
      </c>
      <c r="H598" t="s">
        <v>7476</v>
      </c>
      <c r="I598" s="1">
        <v>1</v>
      </c>
      <c r="J598" s="1">
        <v>1</v>
      </c>
      <c r="K598" t="s">
        <v>8101</v>
      </c>
      <c r="L598" s="5">
        <f>VLOOKUP(D:D,[1]Munka2!$A:$B,2,FALSE)</f>
        <v>1</v>
      </c>
      <c r="M598" s="5">
        <f>_xlfn.IFNA(Táblázat1[[#This Row],[Kész2020]],0)</f>
        <v>1</v>
      </c>
      <c r="N598" s="5">
        <f>IF(Táblázat1[[#This Row],[Karb./akt.év]]-Táblázat1[[#This Row],[Kész2020_2]]&lt;0,0,Táblázat1[[#This Row],[Karb./akt.év]]-Táblázat1[[#This Row],[Kész2020_2]])</f>
        <v>0</v>
      </c>
    </row>
    <row r="599" spans="1:14" hidden="1" x14ac:dyDescent="0.25">
      <c r="A599" s="17" t="s">
        <v>16</v>
      </c>
      <c r="B599" s="17" t="s">
        <v>1510</v>
      </c>
      <c r="C599" s="17" t="s">
        <v>1735</v>
      </c>
      <c r="D599" s="17" t="s">
        <v>3350</v>
      </c>
      <c r="E599" s="17" t="s">
        <v>3691</v>
      </c>
      <c r="F599" s="17" t="s">
        <v>3692</v>
      </c>
      <c r="G599" s="17" t="s">
        <v>6416</v>
      </c>
      <c r="H599" t="s">
        <v>7476</v>
      </c>
      <c r="I599" s="1">
        <v>1</v>
      </c>
      <c r="J599" s="1">
        <v>1</v>
      </c>
      <c r="K599" t="s">
        <v>6642</v>
      </c>
      <c r="L599" s="5" t="e">
        <f>VLOOKUP(D:D,[1]Munka2!$A:$B,2,FALSE)</f>
        <v>#N/A</v>
      </c>
      <c r="M599" s="5">
        <f>_xlfn.IFNA(Táblázat1[[#This Row],[Kész2020]],0)</f>
        <v>0</v>
      </c>
      <c r="N599" s="5">
        <f>IF(Táblázat1[[#This Row],[Karb./akt.év]]-Táblázat1[[#This Row],[Kész2020_2]]&lt;0,0,Táblázat1[[#This Row],[Karb./akt.év]]-Táblázat1[[#This Row],[Kész2020_2]])</f>
        <v>1</v>
      </c>
    </row>
    <row r="600" spans="1:14" hidden="1" x14ac:dyDescent="0.25">
      <c r="A600" s="17" t="s">
        <v>16</v>
      </c>
      <c r="B600" s="17" t="s">
        <v>331</v>
      </c>
      <c r="C600" s="17" t="s">
        <v>1735</v>
      </c>
      <c r="D600" s="17" t="s">
        <v>2080</v>
      </c>
      <c r="E600" s="17" t="s">
        <v>3954</v>
      </c>
      <c r="F600" s="17" t="s">
        <v>3598</v>
      </c>
      <c r="G600" s="17" t="s">
        <v>5298</v>
      </c>
      <c r="H600" t="s">
        <v>7476</v>
      </c>
      <c r="I600" s="1">
        <v>1</v>
      </c>
      <c r="J600" s="1">
        <v>1</v>
      </c>
      <c r="K600" t="s">
        <v>8101</v>
      </c>
      <c r="L600" s="5">
        <f>VLOOKUP(D:D,[1]Munka2!$A:$B,2,FALSE)</f>
        <v>1</v>
      </c>
      <c r="M600" s="5">
        <f>_xlfn.IFNA(Táblázat1[[#This Row],[Kész2020]],0)</f>
        <v>1</v>
      </c>
      <c r="N600" s="5">
        <f>IF(Táblázat1[[#This Row],[Karb./akt.év]]-Táblázat1[[#This Row],[Kész2020_2]]&lt;0,0,Táblázat1[[#This Row],[Karb./akt.év]]-Táblázat1[[#This Row],[Kész2020_2]])</f>
        <v>0</v>
      </c>
    </row>
    <row r="601" spans="1:14" hidden="1" x14ac:dyDescent="0.25">
      <c r="A601" s="17" t="s">
        <v>16</v>
      </c>
      <c r="B601" s="17" t="s">
        <v>79</v>
      </c>
      <c r="C601" s="17" t="s">
        <v>1735</v>
      </c>
      <c r="D601" s="17" t="s">
        <v>1818</v>
      </c>
      <c r="E601" s="17" t="s">
        <v>3669</v>
      </c>
      <c r="F601" s="17" t="s">
        <v>3598</v>
      </c>
      <c r="G601" s="17" t="s">
        <v>5053</v>
      </c>
      <c r="H601" t="s">
        <v>7476</v>
      </c>
      <c r="I601" s="1">
        <v>1</v>
      </c>
      <c r="J601" s="1">
        <v>1</v>
      </c>
      <c r="K601" t="s">
        <v>8101</v>
      </c>
      <c r="L601" s="5">
        <f>VLOOKUP(D:D,[1]Munka2!$A:$B,2,FALSE)</f>
        <v>1</v>
      </c>
      <c r="M601" s="5">
        <f>_xlfn.IFNA(Táblázat1[[#This Row],[Kész2020]],0)</f>
        <v>1</v>
      </c>
      <c r="N601" s="5">
        <f>IF(Táblázat1[[#This Row],[Karb./akt.év]]-Táblázat1[[#This Row],[Kész2020_2]]&lt;0,0,Táblázat1[[#This Row],[Karb./akt.év]]-Táblázat1[[#This Row],[Kész2020_2]])</f>
        <v>0</v>
      </c>
    </row>
    <row r="602" spans="1:14" hidden="1" x14ac:dyDescent="0.25">
      <c r="A602" s="17" t="s">
        <v>16</v>
      </c>
      <c r="B602" s="17" t="s">
        <v>392</v>
      </c>
      <c r="C602" s="17" t="s">
        <v>1735</v>
      </c>
      <c r="D602" s="17" t="s">
        <v>2147</v>
      </c>
      <c r="E602" s="17" t="s">
        <v>4016</v>
      </c>
      <c r="F602" s="17" t="s">
        <v>3598</v>
      </c>
      <c r="G602" s="17" t="s">
        <v>5360</v>
      </c>
      <c r="H602" t="s">
        <v>7476</v>
      </c>
      <c r="I602" s="1">
        <v>1</v>
      </c>
      <c r="J602" s="1">
        <v>1</v>
      </c>
      <c r="K602" t="s">
        <v>8101</v>
      </c>
      <c r="L602" s="5" t="e">
        <f>VLOOKUP(D:D,[1]Munka2!$A:$B,2,FALSE)</f>
        <v>#N/A</v>
      </c>
      <c r="M602" s="5">
        <f>_xlfn.IFNA(Táblázat1[[#This Row],[Kész2020]],0)</f>
        <v>0</v>
      </c>
      <c r="N602" s="5">
        <f>IF(Táblázat1[[#This Row],[Karb./akt.év]]-Táblázat1[[#This Row],[Kész2020_2]]&lt;0,0,Táblázat1[[#This Row],[Karb./akt.év]]-Táblázat1[[#This Row],[Kész2020_2]])</f>
        <v>1</v>
      </c>
    </row>
    <row r="603" spans="1:14" hidden="1" x14ac:dyDescent="0.25">
      <c r="A603" s="17" t="s">
        <v>16</v>
      </c>
      <c r="B603" s="17" t="s">
        <v>486</v>
      </c>
      <c r="C603" s="17" t="s">
        <v>1735</v>
      </c>
      <c r="D603" s="17" t="s">
        <v>2246</v>
      </c>
      <c r="E603" s="17" t="s">
        <v>4071</v>
      </c>
      <c r="F603" s="17" t="s">
        <v>4072</v>
      </c>
      <c r="G603" s="17" t="s">
        <v>5447</v>
      </c>
      <c r="H603" t="s">
        <v>7476</v>
      </c>
      <c r="I603" s="1">
        <v>1</v>
      </c>
      <c r="J603" s="1">
        <v>1</v>
      </c>
      <c r="K603" t="s">
        <v>6642</v>
      </c>
      <c r="L603" s="5" t="e">
        <f>VLOOKUP(D:D,[1]Munka2!$A:$B,2,FALSE)</f>
        <v>#N/A</v>
      </c>
      <c r="M603" s="5">
        <f>_xlfn.IFNA(Táblázat1[[#This Row],[Kész2020]],0)</f>
        <v>0</v>
      </c>
      <c r="N603" s="5">
        <f>IF(Táblázat1[[#This Row],[Karb./akt.év]]-Táblázat1[[#This Row],[Kész2020_2]]&lt;0,0,Táblázat1[[#This Row],[Karb./akt.év]]-Táblázat1[[#This Row],[Kész2020_2]])</f>
        <v>1</v>
      </c>
    </row>
    <row r="604" spans="1:14" hidden="1" x14ac:dyDescent="0.25">
      <c r="A604" s="17" t="s">
        <v>16</v>
      </c>
      <c r="B604" s="17" t="s">
        <v>1203</v>
      </c>
      <c r="C604" s="17" t="s">
        <v>1735</v>
      </c>
      <c r="D604" s="17" t="s">
        <v>3009</v>
      </c>
      <c r="E604" s="17" t="s">
        <v>4280</v>
      </c>
      <c r="F604" s="17" t="s">
        <v>3598</v>
      </c>
      <c r="G604" s="17" t="s">
        <v>6132</v>
      </c>
      <c r="H604" t="s">
        <v>7476</v>
      </c>
      <c r="I604" s="1">
        <v>1</v>
      </c>
      <c r="J604" s="1">
        <v>1</v>
      </c>
      <c r="K604" t="s">
        <v>6633</v>
      </c>
      <c r="L604" s="5" t="e">
        <f>VLOOKUP(D:D,[1]Munka2!$A:$B,2,FALSE)</f>
        <v>#N/A</v>
      </c>
      <c r="M604" s="5">
        <f>_xlfn.IFNA(Táblázat1[[#This Row],[Kész2020]],0)</f>
        <v>0</v>
      </c>
      <c r="N604" s="5">
        <f>IF(Táblázat1[[#This Row],[Karb./akt.év]]-Táblázat1[[#This Row],[Kész2020_2]]&lt;0,0,Táblázat1[[#This Row],[Karb./akt.év]]-Táblázat1[[#This Row],[Kész2020_2]])</f>
        <v>1</v>
      </c>
    </row>
    <row r="605" spans="1:14" hidden="1" x14ac:dyDescent="0.25">
      <c r="A605" s="17" t="s">
        <v>16</v>
      </c>
      <c r="B605" s="17" t="s">
        <v>1653</v>
      </c>
      <c r="C605" s="17" t="s">
        <v>1735</v>
      </c>
      <c r="D605" s="17" t="s">
        <v>3510</v>
      </c>
      <c r="E605" s="17" t="s">
        <v>3677</v>
      </c>
      <c r="F605" s="17" t="s">
        <v>3598</v>
      </c>
      <c r="G605" s="17" t="s">
        <v>6549</v>
      </c>
      <c r="H605" t="s">
        <v>7476</v>
      </c>
      <c r="I605" s="1">
        <v>1</v>
      </c>
      <c r="J605" s="1">
        <v>1</v>
      </c>
      <c r="K605" t="s">
        <v>8101</v>
      </c>
      <c r="L605" s="5">
        <f>VLOOKUP(D:D,[1]Munka2!$A:$B,2,FALSE)</f>
        <v>1</v>
      </c>
      <c r="M605" s="5">
        <f>_xlfn.IFNA(Táblázat1[[#This Row],[Kész2020]],0)</f>
        <v>1</v>
      </c>
      <c r="N605" s="5">
        <f>IF(Táblázat1[[#This Row],[Karb./akt.év]]-Táblázat1[[#This Row],[Kész2020_2]]&lt;0,0,Táblázat1[[#This Row],[Karb./akt.év]]-Táblázat1[[#This Row],[Kész2020_2]])</f>
        <v>0</v>
      </c>
    </row>
    <row r="606" spans="1:14" hidden="1" x14ac:dyDescent="0.25">
      <c r="A606" s="17" t="s">
        <v>16</v>
      </c>
      <c r="B606" s="17" t="s">
        <v>724</v>
      </c>
      <c r="C606" s="17" t="s">
        <v>1735</v>
      </c>
      <c r="D606" s="17" t="s">
        <v>2501</v>
      </c>
      <c r="E606" s="17" t="s">
        <v>3669</v>
      </c>
      <c r="F606" s="17" t="s">
        <v>3598</v>
      </c>
      <c r="G606" s="17" t="s">
        <v>5675</v>
      </c>
      <c r="H606" t="s">
        <v>7476</v>
      </c>
      <c r="I606" s="1">
        <v>1</v>
      </c>
      <c r="J606" s="1">
        <v>1</v>
      </c>
      <c r="K606" t="s">
        <v>8101</v>
      </c>
      <c r="L606" s="5" t="e">
        <f>VLOOKUP(D:D,[1]Munka2!$A:$B,2,FALSE)</f>
        <v>#N/A</v>
      </c>
      <c r="M606" s="5">
        <f>_xlfn.IFNA(Táblázat1[[#This Row],[Kész2020]],0)</f>
        <v>0</v>
      </c>
      <c r="N606" s="5">
        <f>IF(Táblázat1[[#This Row],[Karb./akt.év]]-Táblázat1[[#This Row],[Kész2020_2]]&lt;0,0,Táblázat1[[#This Row],[Karb./akt.év]]-Táblázat1[[#This Row],[Kész2020_2]])</f>
        <v>1</v>
      </c>
    </row>
    <row r="607" spans="1:14" hidden="1" x14ac:dyDescent="0.25">
      <c r="A607" s="17" t="s">
        <v>16</v>
      </c>
      <c r="B607" s="17" t="s">
        <v>1616</v>
      </c>
      <c r="C607" s="17" t="s">
        <v>1735</v>
      </c>
      <c r="D607" s="17" t="s">
        <v>3467</v>
      </c>
      <c r="E607" s="17" t="s">
        <v>3643</v>
      </c>
      <c r="F607" s="17" t="s">
        <v>3598</v>
      </c>
      <c r="G607" s="17" t="s">
        <v>6518</v>
      </c>
      <c r="H607" t="s">
        <v>7476</v>
      </c>
      <c r="I607" s="1">
        <v>1</v>
      </c>
      <c r="J607" s="1">
        <v>1</v>
      </c>
      <c r="K607" t="s">
        <v>8101</v>
      </c>
      <c r="L607" s="5" t="e">
        <f>VLOOKUP(D:D,[1]Munka2!$A:$B,2,FALSE)</f>
        <v>#N/A</v>
      </c>
      <c r="M607" s="5">
        <f>_xlfn.IFNA(Táblázat1[[#This Row],[Kész2020]],0)</f>
        <v>0</v>
      </c>
      <c r="N607" s="5">
        <f>IF(Táblázat1[[#This Row],[Karb./akt.év]]-Táblázat1[[#This Row],[Kész2020_2]]&lt;0,0,Táblázat1[[#This Row],[Karb./akt.év]]-Táblázat1[[#This Row],[Kész2020_2]])</f>
        <v>1</v>
      </c>
    </row>
    <row r="608" spans="1:14" hidden="1" x14ac:dyDescent="0.25">
      <c r="A608" s="17" t="s">
        <v>16</v>
      </c>
      <c r="B608" s="17" t="s">
        <v>1425</v>
      </c>
      <c r="C608" s="17" t="s">
        <v>1735</v>
      </c>
      <c r="D608" s="17" t="s">
        <v>3255</v>
      </c>
      <c r="E608" s="17" t="s">
        <v>4280</v>
      </c>
      <c r="F608" s="17" t="s">
        <v>3598</v>
      </c>
      <c r="G608" s="17" t="s">
        <v>6329</v>
      </c>
      <c r="H608" t="s">
        <v>7476</v>
      </c>
      <c r="I608" s="1">
        <v>1</v>
      </c>
      <c r="J608" s="1">
        <v>1</v>
      </c>
      <c r="K608" t="s">
        <v>6633</v>
      </c>
      <c r="L608" s="5" t="e">
        <f>VLOOKUP(D:D,[1]Munka2!$A:$B,2,FALSE)</f>
        <v>#N/A</v>
      </c>
      <c r="M608" s="5">
        <f>_xlfn.IFNA(Táblázat1[[#This Row],[Kész2020]],0)</f>
        <v>0</v>
      </c>
      <c r="N608" s="5">
        <f>IF(Táblázat1[[#This Row],[Karb./akt.év]]-Táblázat1[[#This Row],[Kész2020_2]]&lt;0,0,Táblázat1[[#This Row],[Karb./akt.év]]-Táblázat1[[#This Row],[Kész2020_2]])</f>
        <v>1</v>
      </c>
    </row>
    <row r="609" spans="1:14" hidden="1" x14ac:dyDescent="0.25">
      <c r="A609" s="17" t="s">
        <v>16</v>
      </c>
      <c r="B609" s="17" t="s">
        <v>752</v>
      </c>
      <c r="C609" s="17" t="s">
        <v>1742</v>
      </c>
      <c r="D609" s="17" t="s">
        <v>2527</v>
      </c>
      <c r="E609" s="17" t="s">
        <v>3644</v>
      </c>
      <c r="F609" s="17" t="s">
        <v>3598</v>
      </c>
      <c r="G609" s="17" t="s">
        <v>5697</v>
      </c>
      <c r="H609" t="s">
        <v>7476</v>
      </c>
      <c r="I609" s="1">
        <v>1</v>
      </c>
      <c r="J609" s="1">
        <v>1</v>
      </c>
      <c r="K609" t="s">
        <v>8101</v>
      </c>
      <c r="L609" s="5" t="e">
        <f>VLOOKUP(D:D,[1]Munka2!$A:$B,2,FALSE)</f>
        <v>#N/A</v>
      </c>
      <c r="M609" s="5">
        <f>_xlfn.IFNA(Táblázat1[[#This Row],[Kész2020]],0)</f>
        <v>0</v>
      </c>
      <c r="N609" s="5">
        <f>IF(Táblázat1[[#This Row],[Karb./akt.év]]-Táblázat1[[#This Row],[Kész2020_2]]&lt;0,0,Táblázat1[[#This Row],[Karb./akt.év]]-Táblázat1[[#This Row],[Kész2020_2]])</f>
        <v>1</v>
      </c>
    </row>
    <row r="610" spans="1:14" hidden="1" x14ac:dyDescent="0.25">
      <c r="A610" s="17" t="s">
        <v>16</v>
      </c>
      <c r="B610" s="17" t="s">
        <v>1632</v>
      </c>
      <c r="C610" s="17" t="s">
        <v>1735</v>
      </c>
      <c r="D610" s="17" t="s">
        <v>3485</v>
      </c>
      <c r="E610" s="17" t="s">
        <v>4630</v>
      </c>
      <c r="F610" s="17" t="s">
        <v>3598</v>
      </c>
      <c r="G610" s="17" t="s">
        <v>6528</v>
      </c>
      <c r="H610" t="s">
        <v>7476</v>
      </c>
      <c r="I610" s="1">
        <v>1</v>
      </c>
      <c r="J610" s="1">
        <v>1</v>
      </c>
      <c r="K610" t="s">
        <v>6633</v>
      </c>
      <c r="L610" s="5">
        <f>VLOOKUP(D:D,[1]Munka2!$A:$B,2,FALSE)</f>
        <v>1</v>
      </c>
      <c r="M610" s="5">
        <f>_xlfn.IFNA(Táblázat1[[#This Row],[Kész2020]],0)</f>
        <v>1</v>
      </c>
      <c r="N610" s="5">
        <f>IF(Táblázat1[[#This Row],[Karb./akt.év]]-Táblázat1[[#This Row],[Kész2020_2]]&lt;0,0,Táblázat1[[#This Row],[Karb./akt.év]]-Táblázat1[[#This Row],[Kész2020_2]])</f>
        <v>0</v>
      </c>
    </row>
    <row r="611" spans="1:14" hidden="1" x14ac:dyDescent="0.25">
      <c r="A611" s="17" t="s">
        <v>16</v>
      </c>
      <c r="B611" s="17" t="s">
        <v>1490</v>
      </c>
      <c r="C611" s="17" t="s">
        <v>1742</v>
      </c>
      <c r="D611" s="17" t="s">
        <v>3327</v>
      </c>
      <c r="E611" s="17" t="s">
        <v>3676</v>
      </c>
      <c r="F611" s="17" t="s">
        <v>3598</v>
      </c>
      <c r="G611" s="17" t="s">
        <v>6397</v>
      </c>
      <c r="H611" t="s">
        <v>7476</v>
      </c>
      <c r="I611" s="1">
        <v>1</v>
      </c>
      <c r="J611" s="1">
        <v>1</v>
      </c>
      <c r="K611" t="s">
        <v>8101</v>
      </c>
      <c r="L611" s="5" t="e">
        <f>VLOOKUP(D:D,[1]Munka2!$A:$B,2,FALSE)</f>
        <v>#N/A</v>
      </c>
      <c r="M611" s="5">
        <f>_xlfn.IFNA(Táblázat1[[#This Row],[Kész2020]],0)</f>
        <v>0</v>
      </c>
      <c r="N611" s="5">
        <f>IF(Táblázat1[[#This Row],[Karb./akt.év]]-Táblázat1[[#This Row],[Kész2020_2]]&lt;0,0,Táblázat1[[#This Row],[Karb./akt.év]]-Táblázat1[[#This Row],[Kész2020_2]])</f>
        <v>1</v>
      </c>
    </row>
    <row r="612" spans="1:14" hidden="1" x14ac:dyDescent="0.25">
      <c r="A612" s="17" t="s">
        <v>16</v>
      </c>
      <c r="B612" s="17" t="s">
        <v>1620</v>
      </c>
      <c r="C612" s="17" t="s">
        <v>1742</v>
      </c>
      <c r="D612" s="17" t="s">
        <v>3471</v>
      </c>
      <c r="E612" s="17" t="s">
        <v>3670</v>
      </c>
      <c r="F612" s="17" t="s">
        <v>3598</v>
      </c>
      <c r="G612" s="17" t="s">
        <v>6521</v>
      </c>
      <c r="H612" t="s">
        <v>7476</v>
      </c>
      <c r="I612" s="1">
        <v>1</v>
      </c>
      <c r="J612" s="1">
        <v>1</v>
      </c>
      <c r="K612" t="s">
        <v>8101</v>
      </c>
      <c r="L612" s="5">
        <f>VLOOKUP(D:D,[1]Munka2!$A:$B,2,FALSE)</f>
        <v>1</v>
      </c>
      <c r="M612" s="5">
        <f>_xlfn.IFNA(Táblázat1[[#This Row],[Kész2020]],0)</f>
        <v>1</v>
      </c>
      <c r="N612" s="5">
        <f>IF(Táblázat1[[#This Row],[Karb./akt.év]]-Táblázat1[[#This Row],[Kész2020_2]]&lt;0,0,Táblázat1[[#This Row],[Karb./akt.év]]-Táblázat1[[#This Row],[Kész2020_2]])</f>
        <v>0</v>
      </c>
    </row>
    <row r="613" spans="1:14" hidden="1" x14ac:dyDescent="0.25">
      <c r="A613" s="17" t="s">
        <v>16</v>
      </c>
      <c r="B613" s="17" t="s">
        <v>1621</v>
      </c>
      <c r="C613" s="17" t="s">
        <v>1742</v>
      </c>
      <c r="D613" s="17" t="s">
        <v>3472</v>
      </c>
      <c r="E613" s="17" t="s">
        <v>3670</v>
      </c>
      <c r="F613" s="17" t="s">
        <v>3598</v>
      </c>
      <c r="G613" s="17" t="s">
        <v>6521</v>
      </c>
      <c r="H613" t="s">
        <v>7476</v>
      </c>
      <c r="I613" s="1">
        <v>1</v>
      </c>
      <c r="J613" s="1">
        <v>1</v>
      </c>
      <c r="K613" t="s">
        <v>8101</v>
      </c>
      <c r="L613" s="5" t="e">
        <f>VLOOKUP(D:D,[1]Munka2!$A:$B,2,FALSE)</f>
        <v>#N/A</v>
      </c>
      <c r="M613" s="5">
        <f>_xlfn.IFNA(Táblázat1[[#This Row],[Kész2020]],0)</f>
        <v>0</v>
      </c>
      <c r="N613" s="5">
        <f>IF(Táblázat1[[#This Row],[Karb./akt.év]]-Táblázat1[[#This Row],[Kész2020_2]]&lt;0,0,Táblázat1[[#This Row],[Karb./akt.év]]-Táblázat1[[#This Row],[Kész2020_2]])</f>
        <v>1</v>
      </c>
    </row>
    <row r="614" spans="1:14" hidden="1" x14ac:dyDescent="0.25">
      <c r="A614" s="17" t="s">
        <v>16</v>
      </c>
      <c r="B614" s="17" t="s">
        <v>1004</v>
      </c>
      <c r="C614" s="17" t="s">
        <v>1735</v>
      </c>
      <c r="D614" s="17" t="s">
        <v>2793</v>
      </c>
      <c r="E614" s="17" t="s">
        <v>3669</v>
      </c>
      <c r="F614" s="17" t="s">
        <v>3598</v>
      </c>
      <c r="G614" s="17" t="s">
        <v>5933</v>
      </c>
      <c r="H614" t="s">
        <v>7476</v>
      </c>
      <c r="I614" s="1">
        <v>1</v>
      </c>
      <c r="J614" s="1">
        <v>1</v>
      </c>
      <c r="K614" t="s">
        <v>8101</v>
      </c>
      <c r="L614" s="5" t="e">
        <f>VLOOKUP(D:D,[1]Munka2!$A:$B,2,FALSE)</f>
        <v>#N/A</v>
      </c>
      <c r="M614" s="5">
        <f>_xlfn.IFNA(Táblázat1[[#This Row],[Kész2020]],0)</f>
        <v>0</v>
      </c>
      <c r="N614" s="5">
        <f>IF(Táblázat1[[#This Row],[Karb./akt.év]]-Táblázat1[[#This Row],[Kész2020_2]]&lt;0,0,Táblázat1[[#This Row],[Karb./akt.év]]-Táblázat1[[#This Row],[Kész2020_2]])</f>
        <v>1</v>
      </c>
    </row>
    <row r="615" spans="1:14" hidden="1" x14ac:dyDescent="0.25">
      <c r="A615" s="17" t="s">
        <v>16</v>
      </c>
      <c r="B615" s="17" t="s">
        <v>1366</v>
      </c>
      <c r="C615" s="17" t="s">
        <v>1735</v>
      </c>
      <c r="D615" s="17" t="s">
        <v>3185</v>
      </c>
      <c r="E615" s="17" t="s">
        <v>3643</v>
      </c>
      <c r="F615" s="17" t="s">
        <v>3598</v>
      </c>
      <c r="G615" s="17" t="s">
        <v>6274</v>
      </c>
      <c r="H615" t="s">
        <v>7476</v>
      </c>
      <c r="I615" s="1">
        <v>1</v>
      </c>
      <c r="J615" s="1">
        <v>1</v>
      </c>
      <c r="K615" t="s">
        <v>8101</v>
      </c>
      <c r="L615" s="5">
        <f>VLOOKUP(D:D,[1]Munka2!$A:$B,2,FALSE)</f>
        <v>1</v>
      </c>
      <c r="M615" s="5">
        <f>_xlfn.IFNA(Táblázat1[[#This Row],[Kész2020]],0)</f>
        <v>1</v>
      </c>
      <c r="N615" s="5">
        <f>IF(Táblázat1[[#This Row],[Karb./akt.év]]-Táblázat1[[#This Row],[Kész2020_2]]&lt;0,0,Táblázat1[[#This Row],[Karb./akt.év]]-Táblázat1[[#This Row],[Kész2020_2]])</f>
        <v>0</v>
      </c>
    </row>
    <row r="616" spans="1:14" hidden="1" x14ac:dyDescent="0.25">
      <c r="A616" s="17" t="s">
        <v>16</v>
      </c>
      <c r="B616" s="17" t="s">
        <v>1548</v>
      </c>
      <c r="C616" s="17" t="s">
        <v>1735</v>
      </c>
      <c r="D616" s="17" t="s">
        <v>3393</v>
      </c>
      <c r="E616" s="17" t="s">
        <v>4941</v>
      </c>
      <c r="F616" s="17" t="s">
        <v>3598</v>
      </c>
      <c r="G616" s="17" t="s">
        <v>6454</v>
      </c>
      <c r="H616" t="s">
        <v>7476</v>
      </c>
      <c r="I616" s="1">
        <v>1</v>
      </c>
      <c r="J616" s="1">
        <v>1</v>
      </c>
      <c r="K616" t="s">
        <v>8101</v>
      </c>
      <c r="L616" s="5" t="e">
        <f>VLOOKUP(D:D,[1]Munka2!$A:$B,2,FALSE)</f>
        <v>#N/A</v>
      </c>
      <c r="M616" s="5">
        <f>_xlfn.IFNA(Táblázat1[[#This Row],[Kész2020]],0)</f>
        <v>0</v>
      </c>
      <c r="N616" s="5">
        <f>IF(Táblázat1[[#This Row],[Karb./akt.év]]-Táblázat1[[#This Row],[Kész2020_2]]&lt;0,0,Táblázat1[[#This Row],[Karb./akt.év]]-Táblázat1[[#This Row],[Kész2020_2]])</f>
        <v>1</v>
      </c>
    </row>
    <row r="617" spans="1:14" hidden="1" x14ac:dyDescent="0.25">
      <c r="A617" s="17" t="s">
        <v>16</v>
      </c>
      <c r="B617" s="17" t="s">
        <v>1014</v>
      </c>
      <c r="C617" s="17" t="s">
        <v>1742</v>
      </c>
      <c r="D617" s="17" t="s">
        <v>2804</v>
      </c>
      <c r="E617" s="17" t="s">
        <v>4575</v>
      </c>
      <c r="F617" s="17" t="s">
        <v>3598</v>
      </c>
      <c r="G617" s="17" t="s">
        <v>5942</v>
      </c>
      <c r="H617" t="s">
        <v>7476</v>
      </c>
      <c r="I617" s="1">
        <v>1</v>
      </c>
      <c r="J617" s="1">
        <v>1</v>
      </c>
      <c r="K617" t="s">
        <v>6785</v>
      </c>
      <c r="L617" s="5" t="e">
        <f>VLOOKUP(D:D,[1]Munka2!$A:$B,2,FALSE)</f>
        <v>#N/A</v>
      </c>
      <c r="M617" s="5">
        <f>_xlfn.IFNA(Táblázat1[[#This Row],[Kész2020]],0)</f>
        <v>0</v>
      </c>
      <c r="N617" s="5">
        <f>IF(Táblázat1[[#This Row],[Karb./akt.év]]-Táblázat1[[#This Row],[Kész2020_2]]&lt;0,0,Táblázat1[[#This Row],[Karb./akt.év]]-Táblázat1[[#This Row],[Kész2020_2]])</f>
        <v>1</v>
      </c>
    </row>
    <row r="618" spans="1:14" hidden="1" x14ac:dyDescent="0.25">
      <c r="A618" s="17" t="s">
        <v>16</v>
      </c>
      <c r="B618" s="17" t="s">
        <v>717</v>
      </c>
      <c r="C618" s="17" t="s">
        <v>1735</v>
      </c>
      <c r="D618" s="17" t="s">
        <v>2494</v>
      </c>
      <c r="E618" s="17" t="s">
        <v>4209</v>
      </c>
      <c r="F618" s="17" t="s">
        <v>3598</v>
      </c>
      <c r="G618" s="17" t="s">
        <v>5670</v>
      </c>
      <c r="H618" t="s">
        <v>7476</v>
      </c>
      <c r="I618" s="1">
        <v>1</v>
      </c>
      <c r="J618" s="1">
        <v>1</v>
      </c>
      <c r="K618" t="s">
        <v>6641</v>
      </c>
      <c r="L618" s="5" t="e">
        <f>VLOOKUP(D:D,[1]Munka2!$A:$B,2,FALSE)</f>
        <v>#N/A</v>
      </c>
      <c r="M618" s="5">
        <f>_xlfn.IFNA(Táblázat1[[#This Row],[Kész2020]],0)</f>
        <v>0</v>
      </c>
      <c r="N618" s="5">
        <f>IF(Táblázat1[[#This Row],[Karb./akt.év]]-Táblázat1[[#This Row],[Kész2020_2]]&lt;0,0,Táblázat1[[#This Row],[Karb./akt.év]]-Táblázat1[[#This Row],[Kész2020_2]])</f>
        <v>1</v>
      </c>
    </row>
    <row r="619" spans="1:14" hidden="1" x14ac:dyDescent="0.25">
      <c r="A619" s="17" t="s">
        <v>16</v>
      </c>
      <c r="B619" s="17" t="s">
        <v>238</v>
      </c>
      <c r="C619" s="17" t="s">
        <v>1742</v>
      </c>
      <c r="D619" s="17" t="s">
        <v>1982</v>
      </c>
      <c r="E619" s="17" t="s">
        <v>3845</v>
      </c>
      <c r="F619" s="17" t="s">
        <v>3598</v>
      </c>
      <c r="G619" s="17" t="s">
        <v>5205</v>
      </c>
      <c r="H619" t="s">
        <v>7476</v>
      </c>
      <c r="I619" s="1">
        <v>1</v>
      </c>
      <c r="J619" s="1">
        <v>1</v>
      </c>
      <c r="K619" t="s">
        <v>7017</v>
      </c>
      <c r="L619" s="5">
        <f>VLOOKUP(D:D,[1]Munka2!$A:$B,2,FALSE)</f>
        <v>1</v>
      </c>
      <c r="M619" s="5">
        <f>_xlfn.IFNA(Táblázat1[[#This Row],[Kész2020]],0)</f>
        <v>1</v>
      </c>
      <c r="N619" s="5">
        <f>IF(Táblázat1[[#This Row],[Karb./akt.év]]-Táblázat1[[#This Row],[Kész2020_2]]&lt;0,0,Táblázat1[[#This Row],[Karb./akt.év]]-Táblázat1[[#This Row],[Kész2020_2]])</f>
        <v>0</v>
      </c>
    </row>
    <row r="620" spans="1:14" hidden="1" x14ac:dyDescent="0.25">
      <c r="A620" s="17" t="s">
        <v>16</v>
      </c>
      <c r="B620" s="17" t="s">
        <v>322</v>
      </c>
      <c r="C620" s="17" t="s">
        <v>1735</v>
      </c>
      <c r="D620" s="17" t="s">
        <v>2071</v>
      </c>
      <c r="E620" s="17" t="s">
        <v>3680</v>
      </c>
      <c r="F620" s="17" t="s">
        <v>3681</v>
      </c>
      <c r="G620" s="17" t="s">
        <v>5289</v>
      </c>
      <c r="H620" t="s">
        <v>7476</v>
      </c>
      <c r="I620" s="1">
        <v>1</v>
      </c>
      <c r="J620" s="1">
        <v>1</v>
      </c>
      <c r="K620" t="s">
        <v>6637</v>
      </c>
      <c r="L620" s="5" t="e">
        <f>VLOOKUP(D:D,[1]Munka2!$A:$B,2,FALSE)</f>
        <v>#N/A</v>
      </c>
      <c r="M620" s="5">
        <f>_xlfn.IFNA(Táblázat1[[#This Row],[Kész2020]],0)</f>
        <v>0</v>
      </c>
      <c r="N620" s="5">
        <f>IF(Táblázat1[[#This Row],[Karb./akt.év]]-Táblázat1[[#This Row],[Kész2020_2]]&lt;0,0,Táblázat1[[#This Row],[Karb./akt.év]]-Táblázat1[[#This Row],[Kész2020_2]])</f>
        <v>1</v>
      </c>
    </row>
    <row r="621" spans="1:14" hidden="1" x14ac:dyDescent="0.25">
      <c r="A621" s="17" t="s">
        <v>16</v>
      </c>
      <c r="B621" s="17" t="s">
        <v>691</v>
      </c>
      <c r="C621" s="17" t="s">
        <v>1735</v>
      </c>
      <c r="D621" s="17" t="s">
        <v>2466</v>
      </c>
      <c r="E621" s="17" t="s">
        <v>4299</v>
      </c>
      <c r="F621" s="17" t="s">
        <v>3598</v>
      </c>
      <c r="G621" s="17" t="s">
        <v>5645</v>
      </c>
      <c r="H621" t="s">
        <v>7476</v>
      </c>
      <c r="I621" s="1">
        <v>1</v>
      </c>
      <c r="J621" s="1">
        <v>1</v>
      </c>
      <c r="K621" t="s">
        <v>8101</v>
      </c>
      <c r="L621" s="5" t="e">
        <f>VLOOKUP(D:D,[1]Munka2!$A:$B,2,FALSE)</f>
        <v>#N/A</v>
      </c>
      <c r="M621" s="5">
        <f>_xlfn.IFNA(Táblázat1[[#This Row],[Kész2020]],0)</f>
        <v>0</v>
      </c>
      <c r="N621" s="5">
        <f>IF(Táblázat1[[#This Row],[Karb./akt.év]]-Táblázat1[[#This Row],[Kész2020_2]]&lt;0,0,Táblázat1[[#This Row],[Karb./akt.év]]-Táblázat1[[#This Row],[Kész2020_2]])</f>
        <v>1</v>
      </c>
    </row>
    <row r="622" spans="1:14" hidden="1" x14ac:dyDescent="0.25">
      <c r="A622" s="17" t="s">
        <v>16</v>
      </c>
      <c r="B622" s="17" t="s">
        <v>87</v>
      </c>
      <c r="C622" s="17" t="s">
        <v>1742</v>
      </c>
      <c r="D622" s="17" t="s">
        <v>1827</v>
      </c>
      <c r="E622" s="17" t="s">
        <v>3670</v>
      </c>
      <c r="F622" s="17" t="s">
        <v>3598</v>
      </c>
      <c r="G622" s="17" t="s">
        <v>5058</v>
      </c>
      <c r="H622" t="s">
        <v>7476</v>
      </c>
      <c r="I622" s="1">
        <v>1</v>
      </c>
      <c r="J622" s="1">
        <v>1</v>
      </c>
      <c r="K622" t="s">
        <v>8101</v>
      </c>
      <c r="L622" s="5">
        <f>VLOOKUP(D:D,[1]Munka2!$A:$B,2,FALSE)</f>
        <v>1</v>
      </c>
      <c r="M622" s="5">
        <f>_xlfn.IFNA(Táblázat1[[#This Row],[Kész2020]],0)</f>
        <v>1</v>
      </c>
      <c r="N622" s="5">
        <f>IF(Táblázat1[[#This Row],[Karb./akt.év]]-Táblázat1[[#This Row],[Kész2020_2]]&lt;0,0,Táblázat1[[#This Row],[Karb./akt.év]]-Táblázat1[[#This Row],[Kész2020_2]])</f>
        <v>0</v>
      </c>
    </row>
    <row r="623" spans="1:14" hidden="1" x14ac:dyDescent="0.25">
      <c r="A623" s="17" t="s">
        <v>16</v>
      </c>
      <c r="B623" s="17" t="s">
        <v>610</v>
      </c>
      <c r="C623" s="17" t="s">
        <v>1742</v>
      </c>
      <c r="D623" s="17" t="s">
        <v>2383</v>
      </c>
      <c r="E623" s="17" t="s">
        <v>3743</v>
      </c>
      <c r="F623" s="17" t="s">
        <v>3744</v>
      </c>
      <c r="G623" s="17" t="s">
        <v>5570</v>
      </c>
      <c r="H623" t="s">
        <v>7476</v>
      </c>
      <c r="I623" s="1">
        <v>1</v>
      </c>
      <c r="J623" s="1">
        <v>1</v>
      </c>
      <c r="K623" t="s">
        <v>8102</v>
      </c>
      <c r="L623" s="5" t="e">
        <f>VLOOKUP(D:D,[1]Munka2!$A:$B,2,FALSE)</f>
        <v>#N/A</v>
      </c>
      <c r="M623" s="5">
        <f>_xlfn.IFNA(Táblázat1[[#This Row],[Kész2020]],0)</f>
        <v>0</v>
      </c>
      <c r="N623" s="5">
        <f>IF(Táblázat1[[#This Row],[Karb./akt.év]]-Táblázat1[[#This Row],[Kész2020_2]]&lt;0,0,Táblázat1[[#This Row],[Karb./akt.év]]-Táblázat1[[#This Row],[Kész2020_2]])</f>
        <v>1</v>
      </c>
    </row>
    <row r="624" spans="1:14" hidden="1" x14ac:dyDescent="0.25">
      <c r="A624" s="17" t="s">
        <v>16</v>
      </c>
      <c r="B624" s="17" t="s">
        <v>89</v>
      </c>
      <c r="C624" s="17" t="s">
        <v>1735</v>
      </c>
      <c r="D624" s="17" t="s">
        <v>1829</v>
      </c>
      <c r="E624" s="17" t="s">
        <v>3669</v>
      </c>
      <c r="F624" s="17" t="s">
        <v>3598</v>
      </c>
      <c r="G624" s="17" t="s">
        <v>5060</v>
      </c>
      <c r="H624" t="s">
        <v>7476</v>
      </c>
      <c r="I624" s="1">
        <v>1</v>
      </c>
      <c r="J624" s="1">
        <v>1</v>
      </c>
      <c r="K624" t="s">
        <v>8101</v>
      </c>
      <c r="L624" s="5" t="e">
        <f>VLOOKUP(D:D,[1]Munka2!$A:$B,2,FALSE)</f>
        <v>#N/A</v>
      </c>
      <c r="M624" s="5">
        <f>_xlfn.IFNA(Táblázat1[[#This Row],[Kész2020]],0)</f>
        <v>0</v>
      </c>
      <c r="N624" s="5">
        <f>IF(Táblázat1[[#This Row],[Karb./akt.év]]-Táblázat1[[#This Row],[Kész2020_2]]&lt;0,0,Táblázat1[[#This Row],[Karb./akt.év]]-Táblázat1[[#This Row],[Kész2020_2]])</f>
        <v>1</v>
      </c>
    </row>
    <row r="625" spans="1:14" hidden="1" x14ac:dyDescent="0.25">
      <c r="A625" s="17" t="s">
        <v>16</v>
      </c>
      <c r="B625" s="17" t="s">
        <v>500</v>
      </c>
      <c r="C625" s="17" t="s">
        <v>1735</v>
      </c>
      <c r="D625" s="17" t="s">
        <v>2262</v>
      </c>
      <c r="E625" s="17" t="s">
        <v>3767</v>
      </c>
      <c r="F625" s="17" t="s">
        <v>3598</v>
      </c>
      <c r="G625" s="17" t="s">
        <v>5462</v>
      </c>
      <c r="H625" t="s">
        <v>7476</v>
      </c>
      <c r="I625" s="1">
        <v>1</v>
      </c>
      <c r="J625" s="1">
        <v>1</v>
      </c>
      <c r="K625" t="s">
        <v>8101</v>
      </c>
      <c r="L625" s="5">
        <f>VLOOKUP(D:D,[1]Munka2!$A:$B,2,FALSE)</f>
        <v>1</v>
      </c>
      <c r="M625" s="5">
        <f>_xlfn.IFNA(Táblázat1[[#This Row],[Kész2020]],0)</f>
        <v>1</v>
      </c>
      <c r="N625" s="5">
        <f>IF(Táblázat1[[#This Row],[Karb./akt.év]]-Táblázat1[[#This Row],[Kész2020_2]]&lt;0,0,Táblázat1[[#This Row],[Karb./akt.év]]-Táblázat1[[#This Row],[Kész2020_2]])</f>
        <v>0</v>
      </c>
    </row>
    <row r="626" spans="1:14" hidden="1" x14ac:dyDescent="0.25">
      <c r="A626" s="17" t="s">
        <v>16</v>
      </c>
      <c r="B626" s="17" t="s">
        <v>1003</v>
      </c>
      <c r="C626" s="17" t="s">
        <v>1742</v>
      </c>
      <c r="D626" s="17" t="s">
        <v>2792</v>
      </c>
      <c r="E626" s="17" t="s">
        <v>4573</v>
      </c>
      <c r="F626" s="17" t="s">
        <v>3598</v>
      </c>
      <c r="G626" s="17" t="s">
        <v>5932</v>
      </c>
      <c r="H626" t="s">
        <v>7476</v>
      </c>
      <c r="I626" s="1">
        <v>1</v>
      </c>
      <c r="J626" s="1">
        <v>1</v>
      </c>
      <c r="K626" t="s">
        <v>6641</v>
      </c>
      <c r="L626" s="5" t="e">
        <f>VLOOKUP(D:D,[1]Munka2!$A:$B,2,FALSE)</f>
        <v>#N/A</v>
      </c>
      <c r="M626" s="5">
        <f>_xlfn.IFNA(Táblázat1[[#This Row],[Kész2020]],0)</f>
        <v>0</v>
      </c>
      <c r="N626" s="5">
        <f>IF(Táblázat1[[#This Row],[Karb./akt.év]]-Táblázat1[[#This Row],[Kész2020_2]]&lt;0,0,Táblázat1[[#This Row],[Karb./akt.év]]-Táblázat1[[#This Row],[Kész2020_2]])</f>
        <v>1</v>
      </c>
    </row>
    <row r="627" spans="1:14" hidden="1" x14ac:dyDescent="0.25">
      <c r="A627" s="17" t="s">
        <v>16</v>
      </c>
      <c r="B627" s="17" t="s">
        <v>86</v>
      </c>
      <c r="C627" s="17" t="s">
        <v>1742</v>
      </c>
      <c r="D627" s="17" t="s">
        <v>1826</v>
      </c>
      <c r="E627" s="17" t="s">
        <v>3667</v>
      </c>
      <c r="F627" s="17" t="s">
        <v>3668</v>
      </c>
      <c r="G627" s="17" t="s">
        <v>5057</v>
      </c>
      <c r="H627" t="s">
        <v>7476</v>
      </c>
      <c r="I627" s="1">
        <v>1</v>
      </c>
      <c r="J627" s="1">
        <v>1</v>
      </c>
      <c r="K627" t="s">
        <v>6637</v>
      </c>
      <c r="L627" s="5" t="e">
        <f>VLOOKUP(D:D,[1]Munka2!$A:$B,2,FALSE)</f>
        <v>#N/A</v>
      </c>
      <c r="M627" s="5">
        <f>_xlfn.IFNA(Táblázat1[[#This Row],[Kész2020]],0)</f>
        <v>0</v>
      </c>
      <c r="N627" s="5">
        <f>IF(Táblázat1[[#This Row],[Karb./akt.év]]-Táblázat1[[#This Row],[Kész2020_2]]&lt;0,0,Táblázat1[[#This Row],[Karb./akt.év]]-Táblázat1[[#This Row],[Kész2020_2]])</f>
        <v>1</v>
      </c>
    </row>
    <row r="628" spans="1:14" hidden="1" x14ac:dyDescent="0.25">
      <c r="A628" s="17" t="s">
        <v>16</v>
      </c>
      <c r="B628" s="17" t="s">
        <v>669</v>
      </c>
      <c r="C628" s="17" t="s">
        <v>1735</v>
      </c>
      <c r="D628" s="17" t="s">
        <v>2443</v>
      </c>
      <c r="E628" s="17" t="s">
        <v>4280</v>
      </c>
      <c r="F628" s="17" t="s">
        <v>3598</v>
      </c>
      <c r="G628" s="17" t="s">
        <v>5625</v>
      </c>
      <c r="H628" t="s">
        <v>7476</v>
      </c>
      <c r="I628" s="1">
        <v>1</v>
      </c>
      <c r="J628" s="1">
        <v>1</v>
      </c>
      <c r="K628" t="s">
        <v>6633</v>
      </c>
      <c r="L628" s="5">
        <f>VLOOKUP(D:D,[1]Munka2!$A:$B,2,FALSE)</f>
        <v>1</v>
      </c>
      <c r="M628" s="5">
        <f>_xlfn.IFNA(Táblázat1[[#This Row],[Kész2020]],0)</f>
        <v>1</v>
      </c>
      <c r="N628" s="5">
        <f>IF(Táblázat1[[#This Row],[Karb./akt.év]]-Táblázat1[[#This Row],[Kész2020_2]]&lt;0,0,Táblázat1[[#This Row],[Karb./akt.év]]-Táblázat1[[#This Row],[Kész2020_2]])</f>
        <v>0</v>
      </c>
    </row>
    <row r="629" spans="1:14" hidden="1" x14ac:dyDescent="0.25">
      <c r="A629" s="17" t="s">
        <v>16</v>
      </c>
      <c r="B629" s="17" t="s">
        <v>107</v>
      </c>
      <c r="C629" s="17" t="s">
        <v>1742</v>
      </c>
      <c r="D629" s="17" t="s">
        <v>1846</v>
      </c>
      <c r="E629" s="17" t="s">
        <v>3693</v>
      </c>
      <c r="F629" s="17" t="s">
        <v>3694</v>
      </c>
      <c r="G629" s="17" t="s">
        <v>5078</v>
      </c>
      <c r="H629" t="s">
        <v>7476</v>
      </c>
      <c r="I629" s="1">
        <v>1</v>
      </c>
      <c r="J629" s="1">
        <v>1</v>
      </c>
      <c r="K629" t="s">
        <v>6641</v>
      </c>
      <c r="L629" s="5">
        <f>VLOOKUP(D:D,[1]Munka2!$A:$B,2,FALSE)</f>
        <v>1</v>
      </c>
      <c r="M629" s="5">
        <f>_xlfn.IFNA(Táblázat1[[#This Row],[Kész2020]],0)</f>
        <v>1</v>
      </c>
      <c r="N629" s="5">
        <f>IF(Táblázat1[[#This Row],[Karb./akt.év]]-Táblázat1[[#This Row],[Kész2020_2]]&lt;0,0,Táblázat1[[#This Row],[Karb./akt.év]]-Táblázat1[[#This Row],[Kész2020_2]])</f>
        <v>0</v>
      </c>
    </row>
    <row r="630" spans="1:14" hidden="1" x14ac:dyDescent="0.25">
      <c r="A630" s="17" t="s">
        <v>16</v>
      </c>
      <c r="B630" s="17" t="s">
        <v>705</v>
      </c>
      <c r="C630" s="17" t="s">
        <v>1735</v>
      </c>
      <c r="D630" s="17" t="s">
        <v>2481</v>
      </c>
      <c r="E630" s="17" t="s">
        <v>4050</v>
      </c>
      <c r="F630" s="17" t="s">
        <v>3598</v>
      </c>
      <c r="G630" s="17" t="s">
        <v>5659</v>
      </c>
      <c r="H630" t="s">
        <v>7476</v>
      </c>
      <c r="I630" s="1">
        <v>1</v>
      </c>
      <c r="J630" s="1">
        <v>1</v>
      </c>
      <c r="K630" t="s">
        <v>8101</v>
      </c>
      <c r="L630" s="5" t="e">
        <f>VLOOKUP(D:D,[1]Munka2!$A:$B,2,FALSE)</f>
        <v>#N/A</v>
      </c>
      <c r="M630" s="5">
        <f>_xlfn.IFNA(Táblázat1[[#This Row],[Kész2020]],0)</f>
        <v>0</v>
      </c>
      <c r="N630" s="5">
        <f>IF(Táblázat1[[#This Row],[Karb./akt.év]]-Táblázat1[[#This Row],[Kész2020_2]]&lt;0,0,Táblázat1[[#This Row],[Karb./akt.év]]-Táblázat1[[#This Row],[Kész2020_2]])</f>
        <v>1</v>
      </c>
    </row>
    <row r="631" spans="1:14" hidden="1" x14ac:dyDescent="0.25">
      <c r="A631" s="17" t="s">
        <v>16</v>
      </c>
      <c r="B631" s="17" t="s">
        <v>1297</v>
      </c>
      <c r="C631" s="17" t="s">
        <v>1735</v>
      </c>
      <c r="D631" s="17" t="s">
        <v>3111</v>
      </c>
      <c r="E631" s="17" t="s">
        <v>3644</v>
      </c>
      <c r="F631" s="17" t="s">
        <v>3598</v>
      </c>
      <c r="G631" s="17" t="s">
        <v>6216</v>
      </c>
      <c r="H631" t="s">
        <v>7476</v>
      </c>
      <c r="I631" s="1">
        <v>1</v>
      </c>
      <c r="J631" s="1">
        <v>1</v>
      </c>
      <c r="K631" t="s">
        <v>8101</v>
      </c>
      <c r="L631" s="5">
        <f>VLOOKUP(D:D,[1]Munka2!$A:$B,2,FALSE)</f>
        <v>1</v>
      </c>
      <c r="M631" s="5">
        <f>_xlfn.IFNA(Táblázat1[[#This Row],[Kész2020]],0)</f>
        <v>1</v>
      </c>
      <c r="N631" s="5">
        <f>IF(Táblázat1[[#This Row],[Karb./akt.év]]-Táblázat1[[#This Row],[Kész2020_2]]&lt;0,0,Táblázat1[[#This Row],[Karb./akt.év]]-Táblázat1[[#This Row],[Kész2020_2]])</f>
        <v>0</v>
      </c>
    </row>
    <row r="632" spans="1:14" hidden="1" x14ac:dyDescent="0.25">
      <c r="A632" s="17" t="s">
        <v>16</v>
      </c>
      <c r="B632" s="17" t="s">
        <v>652</v>
      </c>
      <c r="C632" s="17" t="s">
        <v>1742</v>
      </c>
      <c r="D632" s="17" t="s">
        <v>2427</v>
      </c>
      <c r="E632" s="17" t="s">
        <v>4268</v>
      </c>
      <c r="F632" s="17" t="s">
        <v>3681</v>
      </c>
      <c r="G632" s="17" t="s">
        <v>5610</v>
      </c>
      <c r="H632" t="s">
        <v>7476</v>
      </c>
      <c r="I632" s="1">
        <v>1</v>
      </c>
      <c r="J632" s="1">
        <v>1</v>
      </c>
      <c r="K632" t="s">
        <v>6637</v>
      </c>
      <c r="L632" s="5" t="e">
        <f>VLOOKUP(D:D,[1]Munka2!$A:$B,2,FALSE)</f>
        <v>#N/A</v>
      </c>
      <c r="M632" s="5">
        <f>_xlfn.IFNA(Táblázat1[[#This Row],[Kész2020]],0)</f>
        <v>0</v>
      </c>
      <c r="N632" s="5">
        <f>IF(Táblázat1[[#This Row],[Karb./akt.év]]-Táblázat1[[#This Row],[Kész2020_2]]&lt;0,0,Táblázat1[[#This Row],[Karb./akt.év]]-Táblázat1[[#This Row],[Kész2020_2]])</f>
        <v>1</v>
      </c>
    </row>
    <row r="633" spans="1:14" hidden="1" x14ac:dyDescent="0.25">
      <c r="A633" s="17" t="s">
        <v>16</v>
      </c>
      <c r="B633" s="17" t="s">
        <v>7029</v>
      </c>
      <c r="C633" s="17" t="s">
        <v>1735</v>
      </c>
      <c r="D633" s="17" t="s">
        <v>7065</v>
      </c>
      <c r="E633" s="17" t="s">
        <v>4596</v>
      </c>
      <c r="F633" s="17" t="s">
        <v>3598</v>
      </c>
      <c r="G633" s="17" t="s">
        <v>7102</v>
      </c>
      <c r="H633" t="s">
        <v>7476</v>
      </c>
      <c r="I633" s="1">
        <v>1</v>
      </c>
      <c r="J633" s="1">
        <v>1</v>
      </c>
      <c r="K633" t="s">
        <v>8101</v>
      </c>
      <c r="L633" s="5" t="e">
        <f>VLOOKUP(D:D,[1]Munka2!$A:$B,2,FALSE)</f>
        <v>#N/A</v>
      </c>
      <c r="M633" s="5">
        <f>_xlfn.IFNA(Táblázat1[[#This Row],[Kész2020]],0)</f>
        <v>0</v>
      </c>
      <c r="N633" s="5">
        <f>IF(Táblázat1[[#This Row],[Karb./akt.év]]-Táblázat1[[#This Row],[Kész2020_2]]&lt;0,0,Táblázat1[[#This Row],[Karb./akt.év]]-Táblázat1[[#This Row],[Kész2020_2]])</f>
        <v>1</v>
      </c>
    </row>
    <row r="634" spans="1:14" hidden="1" x14ac:dyDescent="0.25">
      <c r="A634" s="17" t="s">
        <v>16</v>
      </c>
      <c r="B634" s="17" t="s">
        <v>205</v>
      </c>
      <c r="C634" s="17" t="s">
        <v>1742</v>
      </c>
      <c r="D634" s="17" t="s">
        <v>1946</v>
      </c>
      <c r="E634" s="17" t="s">
        <v>3827</v>
      </c>
      <c r="F634" s="17" t="s">
        <v>3718</v>
      </c>
      <c r="G634" s="17" t="s">
        <v>5175</v>
      </c>
      <c r="H634" t="s">
        <v>7476</v>
      </c>
      <c r="I634" s="1">
        <v>1</v>
      </c>
      <c r="J634" s="1">
        <v>1</v>
      </c>
      <c r="K634" t="s">
        <v>8102</v>
      </c>
      <c r="L634" s="5" t="e">
        <f>VLOOKUP(D:D,[1]Munka2!$A:$B,2,FALSE)</f>
        <v>#N/A</v>
      </c>
      <c r="M634" s="5">
        <f>_xlfn.IFNA(Táblázat1[[#This Row],[Kész2020]],0)</f>
        <v>0</v>
      </c>
      <c r="N634" s="5">
        <f>IF(Táblázat1[[#This Row],[Karb./akt.év]]-Táblázat1[[#This Row],[Kész2020_2]]&lt;0,0,Táblázat1[[#This Row],[Karb./akt.év]]-Táblázat1[[#This Row],[Kész2020_2]])</f>
        <v>1</v>
      </c>
    </row>
    <row r="635" spans="1:14" hidden="1" x14ac:dyDescent="0.25">
      <c r="A635" s="17" t="s">
        <v>16</v>
      </c>
      <c r="B635" s="17" t="s">
        <v>6847</v>
      </c>
      <c r="C635" s="17" t="s">
        <v>1735</v>
      </c>
      <c r="D635" s="17" t="s">
        <v>6877</v>
      </c>
      <c r="E635" s="17" t="s">
        <v>4280</v>
      </c>
      <c r="F635" s="17" t="s">
        <v>3598</v>
      </c>
      <c r="G635" s="17" t="s">
        <v>6918</v>
      </c>
      <c r="H635" t="s">
        <v>7476</v>
      </c>
      <c r="I635" s="1">
        <v>1</v>
      </c>
      <c r="J635" s="1">
        <v>1</v>
      </c>
      <c r="K635" t="s">
        <v>6633</v>
      </c>
      <c r="L635" s="5">
        <f>VLOOKUP(D:D,[1]Munka2!$A:$B,2,FALSE)</f>
        <v>1</v>
      </c>
      <c r="M635" s="5">
        <f>_xlfn.IFNA(Táblázat1[[#This Row],[Kész2020]],0)</f>
        <v>1</v>
      </c>
      <c r="N635" s="5">
        <f>IF(Táblázat1[[#This Row],[Karb./akt.év]]-Táblázat1[[#This Row],[Kész2020_2]]&lt;0,0,Táblázat1[[#This Row],[Karb./akt.év]]-Táblázat1[[#This Row],[Kész2020_2]])</f>
        <v>0</v>
      </c>
    </row>
    <row r="636" spans="1:14" hidden="1" x14ac:dyDescent="0.25">
      <c r="A636" s="17" t="s">
        <v>16</v>
      </c>
      <c r="B636" s="17" t="s">
        <v>8111</v>
      </c>
      <c r="C636" s="17" t="s">
        <v>1742</v>
      </c>
      <c r="D636" s="17" t="s">
        <v>8127</v>
      </c>
      <c r="E636" s="17" t="s">
        <v>8140</v>
      </c>
      <c r="F636" s="17" t="s">
        <v>8141</v>
      </c>
      <c r="G636" s="17" t="s">
        <v>8150</v>
      </c>
      <c r="H636" t="s">
        <v>7476</v>
      </c>
      <c r="I636" s="1">
        <v>1</v>
      </c>
      <c r="J636" s="1">
        <v>1</v>
      </c>
      <c r="K636" t="s">
        <v>6641</v>
      </c>
      <c r="L636" s="5" t="e">
        <f>VLOOKUP(D:D,[1]Munka2!$A:$B,2,FALSE)</f>
        <v>#N/A</v>
      </c>
      <c r="M636" s="5">
        <f>_xlfn.IFNA(Táblázat1[[#This Row],[Kész2020]],0)</f>
        <v>0</v>
      </c>
      <c r="N636" s="5">
        <f>IF(Táblázat1[[#This Row],[Karb./akt.év]]-Táblázat1[[#This Row],[Kész2020_2]]&lt;0,0,Táblázat1[[#This Row],[Karb./akt.év]]-Táblázat1[[#This Row],[Kész2020_2]])</f>
        <v>1</v>
      </c>
    </row>
    <row r="637" spans="1:14" hidden="1" x14ac:dyDescent="0.25">
      <c r="A637" s="17" t="s">
        <v>16</v>
      </c>
      <c r="B637" s="17" t="s">
        <v>6755</v>
      </c>
      <c r="C637" s="17" t="s">
        <v>6761</v>
      </c>
      <c r="D637" s="17" t="s">
        <v>6764</v>
      </c>
      <c r="E637" s="17" t="s">
        <v>3916</v>
      </c>
      <c r="F637" s="17" t="s">
        <v>3917</v>
      </c>
      <c r="G637" s="17" t="s">
        <v>6774</v>
      </c>
      <c r="H637" t="s">
        <v>7476</v>
      </c>
      <c r="I637" s="1">
        <v>1</v>
      </c>
      <c r="J637" s="1">
        <v>1</v>
      </c>
      <c r="K637" t="s">
        <v>6639</v>
      </c>
      <c r="L637" s="5" t="e">
        <f>VLOOKUP(D:D,[1]Munka2!$A:$B,2,FALSE)</f>
        <v>#N/A</v>
      </c>
      <c r="M637" s="5">
        <f>_xlfn.IFNA(Táblázat1[[#This Row],[Kész2020]],0)</f>
        <v>0</v>
      </c>
      <c r="N637" s="5">
        <f>IF(Táblázat1[[#This Row],[Karb./akt.év]]-Táblázat1[[#This Row],[Kész2020_2]]&lt;0,0,Táblázat1[[#This Row],[Karb./akt.év]]-Táblázat1[[#This Row],[Kész2020_2]])</f>
        <v>1</v>
      </c>
    </row>
    <row r="638" spans="1:14" hidden="1" x14ac:dyDescent="0.25">
      <c r="A638" s="17" t="s">
        <v>10</v>
      </c>
      <c r="B638" s="17" t="s">
        <v>456</v>
      </c>
      <c r="C638" s="17" t="s">
        <v>1736</v>
      </c>
      <c r="D638" s="17" t="s">
        <v>2213</v>
      </c>
      <c r="E638" s="17" t="s">
        <v>4064</v>
      </c>
      <c r="F638" s="17" t="s">
        <v>3755</v>
      </c>
      <c r="G638" s="17" t="s">
        <v>5421</v>
      </c>
      <c r="H638" t="s">
        <v>7476</v>
      </c>
      <c r="I638" s="1">
        <v>2</v>
      </c>
      <c r="J638" s="1">
        <v>2</v>
      </c>
      <c r="K638" t="s">
        <v>6640</v>
      </c>
      <c r="L638" s="5">
        <f>VLOOKUP(D:D,[1]Munka2!$A:$B,2,FALSE)</f>
        <v>1</v>
      </c>
      <c r="M638" s="5">
        <f>_xlfn.IFNA(Táblázat1[[#This Row],[Kész2020]],0)</f>
        <v>1</v>
      </c>
      <c r="N638" s="5">
        <f>IF(Táblázat1[[#This Row],[Karb./akt.év]]-Táblázat1[[#This Row],[Kész2020_2]]&lt;0,0,Táblázat1[[#This Row],[Karb./akt.év]]-Táblázat1[[#This Row],[Kész2020_2]])</f>
        <v>1</v>
      </c>
    </row>
    <row r="639" spans="1:14" hidden="1" x14ac:dyDescent="0.25">
      <c r="A639" s="17" t="s">
        <v>10</v>
      </c>
      <c r="B639" s="17" t="s">
        <v>1703</v>
      </c>
      <c r="C639" s="17" t="s">
        <v>1736</v>
      </c>
      <c r="D639" s="17" t="s">
        <v>3560</v>
      </c>
      <c r="E639" s="17" t="s">
        <v>3782</v>
      </c>
      <c r="F639" s="17" t="s">
        <v>3783</v>
      </c>
      <c r="G639" s="17" t="s">
        <v>6599</v>
      </c>
      <c r="H639" t="s">
        <v>7476</v>
      </c>
      <c r="I639" s="1">
        <v>2</v>
      </c>
      <c r="J639" s="1">
        <v>2</v>
      </c>
      <c r="K639" t="s">
        <v>8103</v>
      </c>
      <c r="L639" s="5">
        <f>VLOOKUP(D:D,[1]Munka2!$A:$B,2,FALSE)</f>
        <v>1</v>
      </c>
      <c r="M639" s="5">
        <f>_xlfn.IFNA(Táblázat1[[#This Row],[Kész2020]],0)</f>
        <v>1</v>
      </c>
      <c r="N639" s="5">
        <f>IF(Táblázat1[[#This Row],[Karb./akt.év]]-Táblázat1[[#This Row],[Kész2020_2]]&lt;0,0,Táblázat1[[#This Row],[Karb./akt.év]]-Táblázat1[[#This Row],[Kész2020_2]])</f>
        <v>1</v>
      </c>
    </row>
    <row r="640" spans="1:14" x14ac:dyDescent="0.25">
      <c r="A640" s="17" t="s">
        <v>10</v>
      </c>
      <c r="B640" s="17" t="s">
        <v>849</v>
      </c>
      <c r="C640" s="17" t="s">
        <v>1742</v>
      </c>
      <c r="D640" s="17" t="s">
        <v>2628</v>
      </c>
      <c r="E640" s="17" t="s">
        <v>3875</v>
      </c>
      <c r="F640" s="17" t="s">
        <v>3876</v>
      </c>
      <c r="G640" s="17" t="s">
        <v>5786</v>
      </c>
      <c r="H640" t="s">
        <v>7476</v>
      </c>
      <c r="I640" s="1">
        <v>2</v>
      </c>
      <c r="J640" s="1">
        <v>2</v>
      </c>
      <c r="K640" t="s">
        <v>7354</v>
      </c>
      <c r="L640" s="5" t="e">
        <f>VLOOKUP(D:D,[1]Munka2!$A:$B,2,FALSE)</f>
        <v>#N/A</v>
      </c>
      <c r="M640" s="5">
        <f>_xlfn.IFNA(Táblázat1[[#This Row],[Kész2020]],0)</f>
        <v>0</v>
      </c>
      <c r="N640" s="5">
        <f>IF(Táblázat1[[#This Row],[Karb./akt.év]]-Táblázat1[[#This Row],[Kész2020_2]]&lt;0,0,Táblázat1[[#This Row],[Karb./akt.év]]-Táblázat1[[#This Row],[Kész2020_2]])</f>
        <v>2</v>
      </c>
    </row>
    <row r="641" spans="1:14" hidden="1" x14ac:dyDescent="0.25">
      <c r="A641" s="17" t="s">
        <v>10</v>
      </c>
      <c r="B641" s="17" t="s">
        <v>7121</v>
      </c>
      <c r="C641" s="17" t="s">
        <v>1742</v>
      </c>
      <c r="D641" s="17" t="s">
        <v>7139</v>
      </c>
      <c r="E641" s="17" t="s">
        <v>4317</v>
      </c>
      <c r="F641" s="17" t="s">
        <v>3718</v>
      </c>
      <c r="G641" s="17" t="s">
        <v>5671</v>
      </c>
      <c r="H641" t="s">
        <v>7476</v>
      </c>
      <c r="I641" s="1">
        <v>2</v>
      </c>
      <c r="J641" s="1">
        <v>2</v>
      </c>
      <c r="K641" t="s">
        <v>8102</v>
      </c>
      <c r="L641" s="5">
        <f>VLOOKUP(D:D,[1]Munka2!$A:$B,2,FALSE)</f>
        <v>1</v>
      </c>
      <c r="M641" s="5">
        <f>_xlfn.IFNA(Táblázat1[[#This Row],[Kész2020]],0)</f>
        <v>1</v>
      </c>
      <c r="N641" s="5">
        <f>IF(Táblázat1[[#This Row],[Karb./akt.év]]-Táblázat1[[#This Row],[Kész2020_2]]&lt;0,0,Táblázat1[[#This Row],[Karb./akt.év]]-Táblázat1[[#This Row],[Kész2020_2]])</f>
        <v>1</v>
      </c>
    </row>
    <row r="642" spans="1:14" x14ac:dyDescent="0.25">
      <c r="A642" s="17" t="s">
        <v>10</v>
      </c>
      <c r="B642" s="17" t="s">
        <v>1277</v>
      </c>
      <c r="C642" s="17" t="s">
        <v>1735</v>
      </c>
      <c r="D642" s="17" t="s">
        <v>3090</v>
      </c>
      <c r="E642" s="17" t="s">
        <v>4777</v>
      </c>
      <c r="F642" s="17" t="s">
        <v>4778</v>
      </c>
      <c r="G642" s="17" t="s">
        <v>6199</v>
      </c>
      <c r="H642" t="s">
        <v>7476</v>
      </c>
      <c r="I642" s="1">
        <v>2</v>
      </c>
      <c r="J642" s="1">
        <v>2</v>
      </c>
      <c r="K642" t="s">
        <v>7014</v>
      </c>
      <c r="L642" s="5" t="e">
        <f>VLOOKUP(D:D,[1]Munka2!$A:$B,2,FALSE)</f>
        <v>#N/A</v>
      </c>
      <c r="M642" s="5">
        <f>_xlfn.IFNA(Táblázat1[[#This Row],[Kész2020]],0)</f>
        <v>0</v>
      </c>
      <c r="N642" s="5">
        <f>IF(Táblázat1[[#This Row],[Karb./akt.év]]-Táblázat1[[#This Row],[Kész2020_2]]&lt;0,0,Táblázat1[[#This Row],[Karb./akt.év]]-Táblázat1[[#This Row],[Kész2020_2]])</f>
        <v>2</v>
      </c>
    </row>
    <row r="643" spans="1:14" hidden="1" x14ac:dyDescent="0.25">
      <c r="A643" s="17" t="s">
        <v>10</v>
      </c>
      <c r="B643" s="17" t="s">
        <v>7214</v>
      </c>
      <c r="C643" s="17" t="s">
        <v>1742</v>
      </c>
      <c r="D643" s="17" t="s">
        <v>7235</v>
      </c>
      <c r="E643" s="17" t="s">
        <v>7250</v>
      </c>
      <c r="F643" s="17" t="s">
        <v>7251</v>
      </c>
      <c r="G643" s="17" t="s">
        <v>7262</v>
      </c>
      <c r="H643" t="s">
        <v>7476</v>
      </c>
      <c r="I643" s="1">
        <v>2</v>
      </c>
      <c r="J643" s="1">
        <v>2</v>
      </c>
      <c r="K643" t="s">
        <v>6640</v>
      </c>
      <c r="L643" s="5">
        <f>VLOOKUP(D:D,[1]Munka2!$A:$B,2,FALSE)</f>
        <v>1</v>
      </c>
      <c r="M643" s="5">
        <f>_xlfn.IFNA(Táblázat1[[#This Row],[Kész2020]],0)</f>
        <v>1</v>
      </c>
      <c r="N643" s="5">
        <f>IF(Táblázat1[[#This Row],[Karb./akt.év]]-Táblázat1[[#This Row],[Kész2020_2]]&lt;0,0,Táblázat1[[#This Row],[Karb./akt.év]]-Táblázat1[[#This Row],[Kész2020_2]])</f>
        <v>1</v>
      </c>
    </row>
    <row r="644" spans="1:14" hidden="1" x14ac:dyDescent="0.25">
      <c r="A644" s="17" t="s">
        <v>10</v>
      </c>
      <c r="B644" s="17" t="s">
        <v>7122</v>
      </c>
      <c r="C644" s="17" t="s">
        <v>1742</v>
      </c>
      <c r="D644" s="17" t="s">
        <v>7140</v>
      </c>
      <c r="E644" s="17" t="s">
        <v>4576</v>
      </c>
      <c r="F644" s="17" t="s">
        <v>3718</v>
      </c>
      <c r="G644" s="17" t="s">
        <v>5949</v>
      </c>
      <c r="H644" t="s">
        <v>7476</v>
      </c>
      <c r="I644" s="1">
        <v>2</v>
      </c>
      <c r="J644" s="1">
        <v>2</v>
      </c>
      <c r="K644" t="s">
        <v>8102</v>
      </c>
      <c r="L644" s="5">
        <f>VLOOKUP(D:D,[1]Munka2!$A:$B,2,FALSE)</f>
        <v>1</v>
      </c>
      <c r="M644" s="5">
        <f>_xlfn.IFNA(Táblázat1[[#This Row],[Kész2020]],0)</f>
        <v>1</v>
      </c>
      <c r="N644" s="5">
        <f>IF(Táblázat1[[#This Row],[Karb./akt.év]]-Táblázat1[[#This Row],[Kész2020_2]]&lt;0,0,Táblázat1[[#This Row],[Karb./akt.év]]-Táblázat1[[#This Row],[Kész2020_2]])</f>
        <v>1</v>
      </c>
    </row>
    <row r="645" spans="1:14" hidden="1" x14ac:dyDescent="0.25">
      <c r="A645" s="17" t="s">
        <v>10</v>
      </c>
      <c r="B645" s="17" t="s">
        <v>292</v>
      </c>
      <c r="C645" s="17" t="s">
        <v>1743</v>
      </c>
      <c r="D645" s="17" t="s">
        <v>2041</v>
      </c>
      <c r="E645" s="17" t="s">
        <v>3913</v>
      </c>
      <c r="F645" s="17" t="s">
        <v>3914</v>
      </c>
      <c r="G645" s="17" t="s">
        <v>5259</v>
      </c>
      <c r="H645" t="s">
        <v>7476</v>
      </c>
      <c r="I645" s="1">
        <v>2</v>
      </c>
      <c r="J645" s="1">
        <v>2</v>
      </c>
      <c r="K645" t="s">
        <v>6784</v>
      </c>
      <c r="L645" s="5">
        <f>VLOOKUP(D:D,[1]Munka2!$A:$B,2,FALSE)</f>
        <v>1</v>
      </c>
      <c r="M645" s="5">
        <f>_xlfn.IFNA(Táblázat1[[#This Row],[Kész2020]],0)</f>
        <v>1</v>
      </c>
      <c r="N645" s="5">
        <f>IF(Táblázat1[[#This Row],[Karb./akt.év]]-Táblázat1[[#This Row],[Kész2020_2]]&lt;0,0,Táblázat1[[#This Row],[Karb./akt.év]]-Táblázat1[[#This Row],[Kész2020_2]])</f>
        <v>1</v>
      </c>
    </row>
    <row r="646" spans="1:14" hidden="1" x14ac:dyDescent="0.25">
      <c r="A646" s="17" t="s">
        <v>10</v>
      </c>
      <c r="B646" s="17" t="s">
        <v>7123</v>
      </c>
      <c r="C646" s="17" t="s">
        <v>1742</v>
      </c>
      <c r="D646" s="17" t="s">
        <v>7141</v>
      </c>
      <c r="E646" s="17" t="s">
        <v>3671</v>
      </c>
      <c r="F646" s="17" t="s">
        <v>3672</v>
      </c>
      <c r="G646" s="17" t="s">
        <v>7161</v>
      </c>
      <c r="H646" t="s">
        <v>7476</v>
      </c>
      <c r="I646" s="1">
        <v>2</v>
      </c>
      <c r="J646" s="1">
        <v>2</v>
      </c>
      <c r="K646" t="s">
        <v>6638</v>
      </c>
      <c r="L646" s="5">
        <f>VLOOKUP(D:D,[1]Munka2!$A:$B,2,FALSE)</f>
        <v>1</v>
      </c>
      <c r="M646" s="5">
        <f>_xlfn.IFNA(Táblázat1[[#This Row],[Kész2020]],0)</f>
        <v>1</v>
      </c>
      <c r="N646" s="5">
        <f>IF(Táblázat1[[#This Row],[Karb./akt.év]]-Táblázat1[[#This Row],[Kész2020_2]]&lt;0,0,Táblázat1[[#This Row],[Karb./akt.év]]-Táblázat1[[#This Row],[Kész2020_2]])</f>
        <v>1</v>
      </c>
    </row>
    <row r="647" spans="1:14" hidden="1" x14ac:dyDescent="0.25">
      <c r="A647" s="17" t="s">
        <v>10</v>
      </c>
      <c r="B647" s="17" t="s">
        <v>269</v>
      </c>
      <c r="C647" s="17" t="s">
        <v>1743</v>
      </c>
      <c r="D647" s="17" t="s">
        <v>2017</v>
      </c>
      <c r="E647" s="17" t="s">
        <v>3811</v>
      </c>
      <c r="F647" s="17" t="s">
        <v>3812</v>
      </c>
      <c r="G647" s="17" t="s">
        <v>5237</v>
      </c>
      <c r="H647" t="s">
        <v>7476</v>
      </c>
      <c r="I647" s="1">
        <v>2</v>
      </c>
      <c r="J647" s="1">
        <v>2</v>
      </c>
      <c r="K647" t="s">
        <v>6637</v>
      </c>
      <c r="L647" s="5">
        <f>VLOOKUP(D:D,[1]Munka2!$A:$B,2,FALSE)</f>
        <v>1</v>
      </c>
      <c r="M647" s="5">
        <f>_xlfn.IFNA(Táblázat1[[#This Row],[Kész2020]],0)</f>
        <v>1</v>
      </c>
      <c r="N647" s="5">
        <f>IF(Táblázat1[[#This Row],[Karb./akt.év]]-Táblázat1[[#This Row],[Kész2020_2]]&lt;0,0,Táblázat1[[#This Row],[Karb./akt.év]]-Táblázat1[[#This Row],[Kész2020_2]])</f>
        <v>1</v>
      </c>
    </row>
    <row r="648" spans="1:14" x14ac:dyDescent="0.25">
      <c r="A648" s="17" t="s">
        <v>10</v>
      </c>
      <c r="B648" s="17" t="s">
        <v>7124</v>
      </c>
      <c r="C648" s="17" t="s">
        <v>1742</v>
      </c>
      <c r="D648" s="17" t="s">
        <v>7142</v>
      </c>
      <c r="E648" s="17" t="s">
        <v>4337</v>
      </c>
      <c r="F648" s="17" t="s">
        <v>4338</v>
      </c>
      <c r="G648" s="17" t="s">
        <v>6580</v>
      </c>
      <c r="H648" t="s">
        <v>7476</v>
      </c>
      <c r="I648" s="1">
        <v>2</v>
      </c>
      <c r="J648" s="1">
        <v>2</v>
      </c>
      <c r="K648" t="s">
        <v>7017</v>
      </c>
      <c r="L648" s="5" t="e">
        <f>VLOOKUP(D:D,[1]Munka2!$A:$B,2,FALSE)</f>
        <v>#N/A</v>
      </c>
      <c r="M648" s="5">
        <f>_xlfn.IFNA(Táblázat1[[#This Row],[Kész2020]],0)</f>
        <v>0</v>
      </c>
      <c r="N648" s="5">
        <f>IF(Táblázat1[[#This Row],[Karb./akt.év]]-Táblázat1[[#This Row],[Kész2020_2]]&lt;0,0,Táblázat1[[#This Row],[Karb./akt.év]]-Táblázat1[[#This Row],[Kész2020_2]])</f>
        <v>2</v>
      </c>
    </row>
    <row r="649" spans="1:14" hidden="1" x14ac:dyDescent="0.25">
      <c r="A649" s="17" t="s">
        <v>10</v>
      </c>
      <c r="B649" s="17" t="s">
        <v>1401</v>
      </c>
      <c r="C649" s="17" t="s">
        <v>1743</v>
      </c>
      <c r="D649" s="17" t="s">
        <v>3228</v>
      </c>
      <c r="E649" s="17" t="s">
        <v>3667</v>
      </c>
      <c r="F649" s="17" t="s">
        <v>3668</v>
      </c>
      <c r="G649" s="17" t="s">
        <v>6306</v>
      </c>
      <c r="H649" t="s">
        <v>7476</v>
      </c>
      <c r="I649" s="1">
        <v>2</v>
      </c>
      <c r="J649" s="1">
        <v>2</v>
      </c>
      <c r="K649" t="s">
        <v>6637</v>
      </c>
      <c r="L649" s="5">
        <f>VLOOKUP(D:D,[1]Munka2!$A:$B,2,FALSE)</f>
        <v>1</v>
      </c>
      <c r="M649" s="5">
        <f>_xlfn.IFNA(Táblázat1[[#This Row],[Kész2020]],0)</f>
        <v>1</v>
      </c>
      <c r="N649" s="5">
        <f>IF(Táblázat1[[#This Row],[Karb./akt.év]]-Táblázat1[[#This Row],[Kész2020_2]]&lt;0,0,Táblázat1[[#This Row],[Karb./akt.év]]-Táblázat1[[#This Row],[Kész2020_2]])</f>
        <v>1</v>
      </c>
    </row>
    <row r="650" spans="1:14" hidden="1" x14ac:dyDescent="0.25">
      <c r="A650" s="17" t="s">
        <v>10</v>
      </c>
      <c r="B650" s="17" t="s">
        <v>564</v>
      </c>
      <c r="C650" s="17" t="s">
        <v>1743</v>
      </c>
      <c r="D650" s="17" t="s">
        <v>2336</v>
      </c>
      <c r="E650" s="17" t="s">
        <v>3928</v>
      </c>
      <c r="F650" s="17" t="s">
        <v>3929</v>
      </c>
      <c r="G650" s="17" t="s">
        <v>5527</v>
      </c>
      <c r="H650" t="s">
        <v>7476</v>
      </c>
      <c r="I650" s="1">
        <v>2</v>
      </c>
      <c r="J650" s="1">
        <v>2</v>
      </c>
      <c r="K650" t="s">
        <v>8102</v>
      </c>
      <c r="L650" s="5">
        <f>VLOOKUP(D:D,[1]Munka2!$A:$B,2,FALSE)</f>
        <v>1</v>
      </c>
      <c r="M650" s="5">
        <f>_xlfn.IFNA(Táblázat1[[#This Row],[Kész2020]],0)</f>
        <v>1</v>
      </c>
      <c r="N650" s="5">
        <f>IF(Táblázat1[[#This Row],[Karb./akt.év]]-Táblázat1[[#This Row],[Kész2020_2]]&lt;0,0,Táblázat1[[#This Row],[Karb./akt.év]]-Táblázat1[[#This Row],[Kész2020_2]])</f>
        <v>1</v>
      </c>
    </row>
    <row r="651" spans="1:14" x14ac:dyDescent="0.25">
      <c r="A651" s="17" t="s">
        <v>10</v>
      </c>
      <c r="B651" s="17" t="s">
        <v>1025</v>
      </c>
      <c r="C651" s="17" t="s">
        <v>1743</v>
      </c>
      <c r="D651" s="17" t="s">
        <v>2814</v>
      </c>
      <c r="E651" s="17" t="s">
        <v>4026</v>
      </c>
      <c r="F651" s="17" t="s">
        <v>4027</v>
      </c>
      <c r="G651" s="17" t="s">
        <v>5953</v>
      </c>
      <c r="H651" t="s">
        <v>7476</v>
      </c>
      <c r="I651" s="1">
        <v>2</v>
      </c>
      <c r="J651" s="1">
        <v>2</v>
      </c>
      <c r="K651" t="s">
        <v>7014</v>
      </c>
      <c r="L651" s="5" t="e">
        <f>VLOOKUP(D:D,[1]Munka2!$A:$B,2,FALSE)</f>
        <v>#N/A</v>
      </c>
      <c r="M651" s="5">
        <f>_xlfn.IFNA(Táblázat1[[#This Row],[Kész2020]],0)</f>
        <v>0</v>
      </c>
      <c r="N651" s="5">
        <f>IF(Táblázat1[[#This Row],[Karb./akt.év]]-Táblázat1[[#This Row],[Kész2020_2]]&lt;0,0,Táblázat1[[#This Row],[Karb./akt.év]]-Táblázat1[[#This Row],[Kész2020_2]])</f>
        <v>2</v>
      </c>
    </row>
    <row r="652" spans="1:14" hidden="1" x14ac:dyDescent="0.25">
      <c r="A652" s="17" t="s">
        <v>10</v>
      </c>
      <c r="B652" s="17" t="s">
        <v>104</v>
      </c>
      <c r="C652" s="17" t="s">
        <v>1743</v>
      </c>
      <c r="D652" s="17" t="s">
        <v>1843</v>
      </c>
      <c r="E652" s="17" t="s">
        <v>3689</v>
      </c>
      <c r="F652" s="17" t="s">
        <v>3690</v>
      </c>
      <c r="G652" s="17" t="s">
        <v>5075</v>
      </c>
      <c r="H652" t="s">
        <v>7476</v>
      </c>
      <c r="I652" s="1">
        <v>2</v>
      </c>
      <c r="J652" s="1">
        <v>2</v>
      </c>
      <c r="K652" t="s">
        <v>6784</v>
      </c>
      <c r="L652" s="5">
        <f>VLOOKUP(D:D,[1]Munka2!$A:$B,2,FALSE)</f>
        <v>1</v>
      </c>
      <c r="M652" s="5">
        <f>_xlfn.IFNA(Táblázat1[[#This Row],[Kész2020]],0)</f>
        <v>1</v>
      </c>
      <c r="N652" s="5">
        <f>IF(Táblázat1[[#This Row],[Karb./akt.év]]-Táblázat1[[#This Row],[Kész2020_2]]&lt;0,0,Táblázat1[[#This Row],[Karb./akt.év]]-Táblázat1[[#This Row],[Kész2020_2]])</f>
        <v>1</v>
      </c>
    </row>
    <row r="653" spans="1:14" hidden="1" x14ac:dyDescent="0.25">
      <c r="A653" s="17" t="s">
        <v>10</v>
      </c>
      <c r="B653" s="17" t="s">
        <v>728</v>
      </c>
      <c r="C653" s="17" t="s">
        <v>1743</v>
      </c>
      <c r="D653" s="17" t="s">
        <v>2505</v>
      </c>
      <c r="E653" s="17" t="s">
        <v>4318</v>
      </c>
      <c r="F653" s="17" t="s">
        <v>3679</v>
      </c>
      <c r="G653" s="17" t="s">
        <v>5678</v>
      </c>
      <c r="H653" t="s">
        <v>7476</v>
      </c>
      <c r="I653" s="1">
        <v>2</v>
      </c>
      <c r="J653" s="1">
        <v>2</v>
      </c>
      <c r="K653" t="s">
        <v>6635</v>
      </c>
      <c r="L653" s="5">
        <f>VLOOKUP(D:D,[1]Munka2!$A:$B,2,FALSE)</f>
        <v>1</v>
      </c>
      <c r="M653" s="5">
        <f>_xlfn.IFNA(Táblázat1[[#This Row],[Kész2020]],0)</f>
        <v>1</v>
      </c>
      <c r="N653" s="5">
        <f>IF(Táblázat1[[#This Row],[Karb./akt.év]]-Táblázat1[[#This Row],[Kész2020_2]]&lt;0,0,Táblázat1[[#This Row],[Karb./akt.év]]-Táblázat1[[#This Row],[Kész2020_2]])</f>
        <v>1</v>
      </c>
    </row>
    <row r="654" spans="1:14" hidden="1" x14ac:dyDescent="0.25">
      <c r="A654" s="17" t="s">
        <v>10</v>
      </c>
      <c r="B654" s="17" t="s">
        <v>1562</v>
      </c>
      <c r="C654" s="17" t="s">
        <v>1743</v>
      </c>
      <c r="D654" s="17" t="s">
        <v>3407</v>
      </c>
      <c r="E654" s="17" t="s">
        <v>3599</v>
      </c>
      <c r="F654" s="17" t="s">
        <v>3600</v>
      </c>
      <c r="G654" s="17" t="s">
        <v>6466</v>
      </c>
      <c r="H654" t="s">
        <v>7476</v>
      </c>
      <c r="I654" s="1">
        <v>2</v>
      </c>
      <c r="J654" s="1">
        <v>2</v>
      </c>
      <c r="K654" t="s">
        <v>6784</v>
      </c>
      <c r="L654" s="5">
        <f>VLOOKUP(D:D,[1]Munka2!$A:$B,2,FALSE)</f>
        <v>1</v>
      </c>
      <c r="M654" s="5">
        <f>_xlfn.IFNA(Táblázat1[[#This Row],[Kész2020]],0)</f>
        <v>1</v>
      </c>
      <c r="N654" s="5">
        <f>IF(Táblázat1[[#This Row],[Karb./akt.év]]-Táblázat1[[#This Row],[Kész2020_2]]&lt;0,0,Táblázat1[[#This Row],[Karb./akt.év]]-Táblázat1[[#This Row],[Kész2020_2]])</f>
        <v>1</v>
      </c>
    </row>
    <row r="655" spans="1:14" hidden="1" x14ac:dyDescent="0.25">
      <c r="A655" s="17" t="s">
        <v>10</v>
      </c>
      <c r="B655" s="17" t="s">
        <v>586</v>
      </c>
      <c r="C655" s="17" t="s">
        <v>1743</v>
      </c>
      <c r="D655" s="17" t="s">
        <v>2359</v>
      </c>
      <c r="E655" s="17" t="s">
        <v>4040</v>
      </c>
      <c r="F655" s="17" t="s">
        <v>4041</v>
      </c>
      <c r="G655" s="17" t="s">
        <v>5550</v>
      </c>
      <c r="H655" t="s">
        <v>7476</v>
      </c>
      <c r="I655" s="1">
        <v>2</v>
      </c>
      <c r="J655" s="1">
        <v>2</v>
      </c>
      <c r="K655" t="s">
        <v>8102</v>
      </c>
      <c r="L655" s="5">
        <f>VLOOKUP(D:D,[1]Munka2!$A:$B,2,FALSE)</f>
        <v>1</v>
      </c>
      <c r="M655" s="5">
        <f>_xlfn.IFNA(Táblázat1[[#This Row],[Kész2020]],0)</f>
        <v>1</v>
      </c>
      <c r="N655" s="5">
        <f>IF(Táblázat1[[#This Row],[Karb./akt.év]]-Táblázat1[[#This Row],[Kész2020_2]]&lt;0,0,Táblázat1[[#This Row],[Karb./akt.év]]-Táblázat1[[#This Row],[Kész2020_2]])</f>
        <v>1</v>
      </c>
    </row>
    <row r="656" spans="1:14" hidden="1" x14ac:dyDescent="0.25">
      <c r="A656" s="17" t="s">
        <v>10</v>
      </c>
      <c r="B656" s="17" t="s">
        <v>7125</v>
      </c>
      <c r="C656" s="17" t="s">
        <v>1742</v>
      </c>
      <c r="D656" s="17" t="s">
        <v>7143</v>
      </c>
      <c r="E656" s="17" t="s">
        <v>3625</v>
      </c>
      <c r="F656" s="17" t="s">
        <v>3626</v>
      </c>
      <c r="G656" s="17" t="s">
        <v>5077</v>
      </c>
      <c r="H656" t="s">
        <v>7476</v>
      </c>
      <c r="I656" s="1">
        <v>2</v>
      </c>
      <c r="J656" s="1">
        <v>2</v>
      </c>
      <c r="K656" t="s">
        <v>6642</v>
      </c>
      <c r="L656" s="5">
        <f>VLOOKUP(D:D,[1]Munka2!$A:$B,2,FALSE)</f>
        <v>1</v>
      </c>
      <c r="M656" s="5">
        <f>_xlfn.IFNA(Táblázat1[[#This Row],[Kész2020]],0)</f>
        <v>1</v>
      </c>
      <c r="N656" s="5">
        <f>IF(Táblázat1[[#This Row],[Karb./akt.év]]-Táblázat1[[#This Row],[Kész2020_2]]&lt;0,0,Táblázat1[[#This Row],[Karb./akt.év]]-Táblázat1[[#This Row],[Kész2020_2]])</f>
        <v>1</v>
      </c>
    </row>
    <row r="657" spans="1:14" hidden="1" x14ac:dyDescent="0.25">
      <c r="A657" s="17" t="s">
        <v>10</v>
      </c>
      <c r="B657" s="17" t="s">
        <v>1102</v>
      </c>
      <c r="C657" s="17" t="s">
        <v>1743</v>
      </c>
      <c r="D657" s="17" t="s">
        <v>2895</v>
      </c>
      <c r="E657" s="17" t="s">
        <v>4564</v>
      </c>
      <c r="F657" s="17" t="s">
        <v>4621</v>
      </c>
      <c r="G657" s="17" t="s">
        <v>6031</v>
      </c>
      <c r="H657" t="s">
        <v>7476</v>
      </c>
      <c r="I657" s="1">
        <v>2</v>
      </c>
      <c r="J657" s="1">
        <v>2</v>
      </c>
      <c r="K657" t="s">
        <v>6634</v>
      </c>
      <c r="L657" s="5">
        <f>VLOOKUP(D:D,[1]Munka2!$A:$B,2,FALSE)</f>
        <v>1</v>
      </c>
      <c r="M657" s="5">
        <f>_xlfn.IFNA(Táblázat1[[#This Row],[Kész2020]],0)</f>
        <v>1</v>
      </c>
      <c r="N657" s="5">
        <f>IF(Táblázat1[[#This Row],[Karb./akt.év]]-Táblázat1[[#This Row],[Kész2020_2]]&lt;0,0,Táblázat1[[#This Row],[Karb./akt.év]]-Táblázat1[[#This Row],[Kész2020_2]])</f>
        <v>1</v>
      </c>
    </row>
    <row r="658" spans="1:14" hidden="1" x14ac:dyDescent="0.25">
      <c r="A658" s="17" t="s">
        <v>10</v>
      </c>
      <c r="B658" s="17" t="s">
        <v>631</v>
      </c>
      <c r="C658" s="17" t="s">
        <v>1743</v>
      </c>
      <c r="D658" s="17" t="s">
        <v>2406</v>
      </c>
      <c r="E658" s="17" t="s">
        <v>3661</v>
      </c>
      <c r="F658" s="17" t="s">
        <v>3662</v>
      </c>
      <c r="G658" s="17" t="s">
        <v>5590</v>
      </c>
      <c r="H658" t="s">
        <v>7476</v>
      </c>
      <c r="I658" s="1">
        <v>2</v>
      </c>
      <c r="J658" s="1">
        <v>2</v>
      </c>
      <c r="K658" t="s">
        <v>6637</v>
      </c>
      <c r="L658" s="5">
        <f>VLOOKUP(D:D,[1]Munka2!$A:$B,2,FALSE)</f>
        <v>1</v>
      </c>
      <c r="M658" s="5">
        <f>_xlfn.IFNA(Táblázat1[[#This Row],[Kész2020]],0)</f>
        <v>1</v>
      </c>
      <c r="N658" s="5">
        <f>IF(Táblázat1[[#This Row],[Karb./akt.év]]-Táblázat1[[#This Row],[Kész2020_2]]&lt;0,0,Táblázat1[[#This Row],[Karb./akt.év]]-Táblázat1[[#This Row],[Kész2020_2]])</f>
        <v>1</v>
      </c>
    </row>
    <row r="659" spans="1:14" hidden="1" x14ac:dyDescent="0.25">
      <c r="A659" s="17" t="s">
        <v>10</v>
      </c>
      <c r="B659" s="17" t="s">
        <v>7126</v>
      </c>
      <c r="C659" s="17" t="s">
        <v>1742</v>
      </c>
      <c r="D659" s="17" t="s">
        <v>7144</v>
      </c>
      <c r="E659" s="17" t="s">
        <v>3703</v>
      </c>
      <c r="F659" s="17" t="s">
        <v>3704</v>
      </c>
      <c r="G659" s="17" t="s">
        <v>7162</v>
      </c>
      <c r="H659" t="s">
        <v>7476</v>
      </c>
      <c r="I659" s="1">
        <v>2</v>
      </c>
      <c r="J659" s="1">
        <v>2</v>
      </c>
      <c r="K659" t="s">
        <v>8102</v>
      </c>
      <c r="L659" s="5">
        <f>VLOOKUP(D:D,[1]Munka2!$A:$B,2,FALSE)</f>
        <v>1</v>
      </c>
      <c r="M659" s="5">
        <f>_xlfn.IFNA(Táblázat1[[#This Row],[Kész2020]],0)</f>
        <v>1</v>
      </c>
      <c r="N659" s="5">
        <f>IF(Táblázat1[[#This Row],[Karb./akt.év]]-Táblázat1[[#This Row],[Kész2020_2]]&lt;0,0,Táblázat1[[#This Row],[Karb./akt.év]]-Táblázat1[[#This Row],[Kész2020_2]])</f>
        <v>1</v>
      </c>
    </row>
    <row r="660" spans="1:14" hidden="1" x14ac:dyDescent="0.25">
      <c r="A660" s="17" t="s">
        <v>10</v>
      </c>
      <c r="B660" s="17" t="s">
        <v>7127</v>
      </c>
      <c r="C660" s="17" t="s">
        <v>1742</v>
      </c>
      <c r="D660" s="17" t="s">
        <v>7146</v>
      </c>
      <c r="E660" s="17" t="s">
        <v>3836</v>
      </c>
      <c r="F660" s="17" t="s">
        <v>3837</v>
      </c>
      <c r="G660" s="17" t="s">
        <v>5611</v>
      </c>
      <c r="H660" t="s">
        <v>7476</v>
      </c>
      <c r="I660" s="1">
        <v>2</v>
      </c>
      <c r="J660" s="1">
        <v>2</v>
      </c>
      <c r="K660" t="s">
        <v>8103</v>
      </c>
      <c r="L660" s="5">
        <f>VLOOKUP(D:D,[1]Munka2!$A:$B,2,FALSE)</f>
        <v>1</v>
      </c>
      <c r="M660" s="5">
        <f>_xlfn.IFNA(Táblázat1[[#This Row],[Kész2020]],0)</f>
        <v>1</v>
      </c>
      <c r="N660" s="5">
        <f>IF(Táblázat1[[#This Row],[Karb./akt.év]]-Táblázat1[[#This Row],[Kész2020_2]]&lt;0,0,Táblázat1[[#This Row],[Karb./akt.év]]-Táblázat1[[#This Row],[Kész2020_2]])</f>
        <v>1</v>
      </c>
    </row>
    <row r="661" spans="1:14" hidden="1" x14ac:dyDescent="0.25">
      <c r="A661" s="17" t="s">
        <v>10</v>
      </c>
      <c r="B661" s="17" t="s">
        <v>7215</v>
      </c>
      <c r="C661" s="17" t="s">
        <v>1742</v>
      </c>
      <c r="D661" s="17" t="s">
        <v>7450</v>
      </c>
      <c r="E661" s="17" t="s">
        <v>3916</v>
      </c>
      <c r="F661" s="17" t="s">
        <v>3917</v>
      </c>
      <c r="G661" s="17" t="s">
        <v>5263</v>
      </c>
      <c r="H661" t="s">
        <v>7476</v>
      </c>
      <c r="I661" s="1">
        <v>2</v>
      </c>
      <c r="J661" s="1">
        <v>2</v>
      </c>
      <c r="K661" t="s">
        <v>6639</v>
      </c>
      <c r="L661" s="5">
        <f>VLOOKUP(D:D,[1]Munka2!$A:$B,2,FALSE)</f>
        <v>1</v>
      </c>
      <c r="M661" s="5">
        <f>_xlfn.IFNA(Táblázat1[[#This Row],[Kész2020]],0)</f>
        <v>1</v>
      </c>
      <c r="N661" s="5">
        <f>IF(Táblázat1[[#This Row],[Karb./akt.év]]-Táblázat1[[#This Row],[Kész2020_2]]&lt;0,0,Táblázat1[[#This Row],[Karb./akt.év]]-Táblázat1[[#This Row],[Kész2020_2]])</f>
        <v>1</v>
      </c>
    </row>
    <row r="662" spans="1:14" x14ac:dyDescent="0.25">
      <c r="A662" s="17" t="s">
        <v>10</v>
      </c>
      <c r="B662" s="17" t="s">
        <v>7128</v>
      </c>
      <c r="C662" s="17" t="s">
        <v>1742</v>
      </c>
      <c r="D662" s="17" t="s">
        <v>7145</v>
      </c>
      <c r="E662" s="17" t="s">
        <v>3711</v>
      </c>
      <c r="F662" s="17" t="s">
        <v>3712</v>
      </c>
      <c r="G662" s="17" t="s">
        <v>7163</v>
      </c>
      <c r="H662" t="s">
        <v>7476</v>
      </c>
      <c r="I662" s="1">
        <v>2</v>
      </c>
      <c r="J662" s="1">
        <v>2</v>
      </c>
      <c r="K662" t="s">
        <v>6633</v>
      </c>
      <c r="L662" s="5" t="e">
        <f>VLOOKUP(D:D,[1]Munka2!$A:$B,2,FALSE)</f>
        <v>#N/A</v>
      </c>
      <c r="M662" s="5">
        <f>_xlfn.IFNA(Táblázat1[[#This Row],[Kész2020]],0)</f>
        <v>0</v>
      </c>
      <c r="N662" s="5">
        <f>IF(Táblázat1[[#This Row],[Karb./akt.év]]-Táblázat1[[#This Row],[Kész2020_2]]&lt;0,0,Táblázat1[[#This Row],[Karb./akt.év]]-Táblázat1[[#This Row],[Kész2020_2]])</f>
        <v>2</v>
      </c>
    </row>
    <row r="663" spans="1:14" x14ac:dyDescent="0.25">
      <c r="A663" s="17" t="s">
        <v>10</v>
      </c>
      <c r="B663" s="17" t="s">
        <v>656</v>
      </c>
      <c r="C663" s="17" t="s">
        <v>1742</v>
      </c>
      <c r="D663" s="17" t="s">
        <v>2431</v>
      </c>
      <c r="E663" s="17" t="s">
        <v>4026</v>
      </c>
      <c r="F663" s="17" t="s">
        <v>4027</v>
      </c>
      <c r="G663" s="17" t="s">
        <v>5614</v>
      </c>
      <c r="H663" t="s">
        <v>7476</v>
      </c>
      <c r="I663" s="1">
        <v>2</v>
      </c>
      <c r="J663" s="1">
        <v>2</v>
      </c>
      <c r="K663" t="s">
        <v>7014</v>
      </c>
      <c r="L663" s="5" t="e">
        <f>VLOOKUP(D:D,[1]Munka2!$A:$B,2,FALSE)</f>
        <v>#N/A</v>
      </c>
      <c r="M663" s="5">
        <f>_xlfn.IFNA(Táblázat1[[#This Row],[Kész2020]],0)</f>
        <v>0</v>
      </c>
      <c r="N663" s="5">
        <f>IF(Táblázat1[[#This Row],[Karb./akt.év]]-Táblázat1[[#This Row],[Kész2020_2]]&lt;0,0,Táblázat1[[#This Row],[Karb./akt.év]]-Táblázat1[[#This Row],[Kész2020_2]])</f>
        <v>2</v>
      </c>
    </row>
    <row r="664" spans="1:14" hidden="1" x14ac:dyDescent="0.25">
      <c r="A664" s="17" t="s">
        <v>10</v>
      </c>
      <c r="B664" s="17" t="s">
        <v>7129</v>
      </c>
      <c r="C664" s="17" t="s">
        <v>1742</v>
      </c>
      <c r="D664" s="17" t="s">
        <v>7147</v>
      </c>
      <c r="E664" s="17" t="s">
        <v>3763</v>
      </c>
      <c r="F664" s="17" t="s">
        <v>3764</v>
      </c>
      <c r="G664" s="17" t="s">
        <v>6188</v>
      </c>
      <c r="H664" t="s">
        <v>7476</v>
      </c>
      <c r="I664" s="1">
        <v>2</v>
      </c>
      <c r="J664" s="1">
        <v>2</v>
      </c>
      <c r="K664" t="s">
        <v>8103</v>
      </c>
      <c r="L664" s="5">
        <f>VLOOKUP(D:D,[1]Munka2!$A:$B,2,FALSE)</f>
        <v>1</v>
      </c>
      <c r="M664" s="5">
        <f>_xlfn.IFNA(Táblázat1[[#This Row],[Kész2020]],0)</f>
        <v>1</v>
      </c>
      <c r="N664" s="5">
        <f>IF(Táblázat1[[#This Row],[Karb./akt.év]]-Táblázat1[[#This Row],[Kész2020_2]]&lt;0,0,Táblázat1[[#This Row],[Karb./akt.év]]-Táblázat1[[#This Row],[Kész2020_2]])</f>
        <v>1</v>
      </c>
    </row>
    <row r="665" spans="1:14" hidden="1" x14ac:dyDescent="0.25">
      <c r="A665" s="17" t="s">
        <v>10</v>
      </c>
      <c r="B665" s="17" t="s">
        <v>7272</v>
      </c>
      <c r="C665" s="17" t="s">
        <v>1743</v>
      </c>
      <c r="D665" s="17" t="s">
        <v>7302</v>
      </c>
      <c r="E665" s="17" t="s">
        <v>4608</v>
      </c>
      <c r="F665" s="17" t="s">
        <v>3664</v>
      </c>
      <c r="G665" s="17" t="s">
        <v>5996</v>
      </c>
      <c r="H665" t="s">
        <v>7476</v>
      </c>
      <c r="I665" s="1">
        <v>2</v>
      </c>
      <c r="J665" s="1">
        <v>2</v>
      </c>
      <c r="K665" t="s">
        <v>6638</v>
      </c>
      <c r="L665" s="5">
        <f>VLOOKUP(D:D,[1]Munka2!$A:$B,2,FALSE)</f>
        <v>1</v>
      </c>
      <c r="M665" s="5">
        <f>_xlfn.IFNA(Táblázat1[[#This Row],[Kész2020]],0)</f>
        <v>1</v>
      </c>
      <c r="N665" s="5">
        <f>IF(Táblázat1[[#This Row],[Karb./akt.év]]-Táblázat1[[#This Row],[Kész2020_2]]&lt;0,0,Táblázat1[[#This Row],[Karb./akt.év]]-Táblázat1[[#This Row],[Kész2020_2]])</f>
        <v>1</v>
      </c>
    </row>
    <row r="666" spans="1:14" hidden="1" x14ac:dyDescent="0.25">
      <c r="A666" s="17" t="s">
        <v>10</v>
      </c>
      <c r="B666" s="17" t="s">
        <v>1224</v>
      </c>
      <c r="C666" s="17" t="s">
        <v>1743</v>
      </c>
      <c r="D666" s="17" t="s">
        <v>3031</v>
      </c>
      <c r="E666" s="17" t="s">
        <v>4726</v>
      </c>
      <c r="F666" s="17" t="s">
        <v>4078</v>
      </c>
      <c r="G666" s="17" t="s">
        <v>6153</v>
      </c>
      <c r="H666" t="s">
        <v>7476</v>
      </c>
      <c r="I666" s="1">
        <v>2</v>
      </c>
      <c r="J666" s="1">
        <v>2</v>
      </c>
      <c r="K666" t="s">
        <v>8103</v>
      </c>
      <c r="L666" s="5">
        <f>VLOOKUP(D:D,[1]Munka2!$A:$B,2,FALSE)</f>
        <v>1</v>
      </c>
      <c r="M666" s="5">
        <f>_xlfn.IFNA(Táblázat1[[#This Row],[Kész2020]],0)</f>
        <v>1</v>
      </c>
      <c r="N666" s="5">
        <f>IF(Táblázat1[[#This Row],[Karb./akt.év]]-Táblázat1[[#This Row],[Kész2020_2]]&lt;0,0,Táblázat1[[#This Row],[Karb./akt.év]]-Táblázat1[[#This Row],[Kész2020_2]])</f>
        <v>1</v>
      </c>
    </row>
    <row r="667" spans="1:14" hidden="1" x14ac:dyDescent="0.25">
      <c r="A667" s="17" t="s">
        <v>10</v>
      </c>
      <c r="B667" s="17" t="s">
        <v>1310</v>
      </c>
      <c r="C667" s="17" t="s">
        <v>1743</v>
      </c>
      <c r="D667" s="17" t="s">
        <v>3125</v>
      </c>
      <c r="E667" s="17" t="s">
        <v>4574</v>
      </c>
      <c r="F667" s="17" t="s">
        <v>3681</v>
      </c>
      <c r="G667" s="17" t="s">
        <v>6229</v>
      </c>
      <c r="H667" t="s">
        <v>7476</v>
      </c>
      <c r="I667" s="1">
        <v>2</v>
      </c>
      <c r="J667" s="1">
        <v>2</v>
      </c>
      <c r="K667" t="s">
        <v>6637</v>
      </c>
      <c r="L667" s="5">
        <f>VLOOKUP(D:D,[1]Munka2!$A:$B,2,FALSE)</f>
        <v>1</v>
      </c>
      <c r="M667" s="5">
        <f>_xlfn.IFNA(Táblázat1[[#This Row],[Kész2020]],0)</f>
        <v>1</v>
      </c>
      <c r="N667" s="5">
        <f>IF(Táblázat1[[#This Row],[Karb./akt.év]]-Táblázat1[[#This Row],[Kész2020_2]]&lt;0,0,Táblázat1[[#This Row],[Karb./akt.év]]-Táblázat1[[#This Row],[Kész2020_2]])</f>
        <v>1</v>
      </c>
    </row>
    <row r="668" spans="1:14" hidden="1" x14ac:dyDescent="0.25">
      <c r="A668" s="17" t="s">
        <v>10</v>
      </c>
      <c r="B668" s="17" t="s">
        <v>1569</v>
      </c>
      <c r="C668" s="17" t="s">
        <v>1736</v>
      </c>
      <c r="D668" s="17" t="s">
        <v>3414</v>
      </c>
      <c r="E668" s="17" t="s">
        <v>3818</v>
      </c>
      <c r="F668" s="17" t="s">
        <v>3819</v>
      </c>
      <c r="G668" s="17" t="s">
        <v>6472</v>
      </c>
      <c r="H668" t="s">
        <v>7476</v>
      </c>
      <c r="I668" s="1">
        <v>2</v>
      </c>
      <c r="J668" s="1">
        <v>2</v>
      </c>
      <c r="K668" t="s">
        <v>6634</v>
      </c>
      <c r="L668" s="5">
        <f>VLOOKUP(D:D,[1]Munka2!$A:$B,2,FALSE)</f>
        <v>1</v>
      </c>
      <c r="M668" s="5">
        <f>_xlfn.IFNA(Táblázat1[[#This Row],[Kész2020]],0)</f>
        <v>1</v>
      </c>
      <c r="N668" s="5">
        <f>IF(Táblázat1[[#This Row],[Karb./akt.év]]-Táblázat1[[#This Row],[Kész2020_2]]&lt;0,0,Táblázat1[[#This Row],[Karb./akt.év]]-Táblázat1[[#This Row],[Kész2020_2]])</f>
        <v>1</v>
      </c>
    </row>
    <row r="669" spans="1:14" x14ac:dyDescent="0.25">
      <c r="A669" s="17" t="s">
        <v>10</v>
      </c>
      <c r="B669" s="17" t="s">
        <v>1197</v>
      </c>
      <c r="C669" s="17" t="s">
        <v>1743</v>
      </c>
      <c r="D669" s="17" t="s">
        <v>3003</v>
      </c>
      <c r="E669" s="17" t="s">
        <v>3817</v>
      </c>
      <c r="F669" s="17" t="s">
        <v>3598</v>
      </c>
      <c r="G669" s="17" t="s">
        <v>6126</v>
      </c>
      <c r="H669" t="s">
        <v>7476</v>
      </c>
      <c r="I669" s="1">
        <v>2</v>
      </c>
      <c r="J669" s="1">
        <v>2</v>
      </c>
      <c r="K669" t="s">
        <v>6633</v>
      </c>
      <c r="L669" s="5" t="e">
        <f>VLOOKUP(D:D,[1]Munka2!$A:$B,2,FALSE)</f>
        <v>#N/A</v>
      </c>
      <c r="M669" s="5">
        <f>_xlfn.IFNA(Táblázat1[[#This Row],[Kész2020]],0)</f>
        <v>0</v>
      </c>
      <c r="N669" s="5">
        <f>IF(Táblázat1[[#This Row],[Karb./akt.év]]-Táblázat1[[#This Row],[Kész2020_2]]&lt;0,0,Táblázat1[[#This Row],[Karb./akt.év]]-Táblázat1[[#This Row],[Kész2020_2]])</f>
        <v>2</v>
      </c>
    </row>
    <row r="670" spans="1:14" hidden="1" x14ac:dyDescent="0.25">
      <c r="A670" s="17" t="s">
        <v>10</v>
      </c>
      <c r="B670" s="17" t="s">
        <v>794</v>
      </c>
      <c r="C670" s="17" t="s">
        <v>1743</v>
      </c>
      <c r="D670" s="17" t="s">
        <v>2570</v>
      </c>
      <c r="E670" s="17" t="s">
        <v>4366</v>
      </c>
      <c r="F670" s="17" t="s">
        <v>4367</v>
      </c>
      <c r="G670" s="17" t="s">
        <v>5736</v>
      </c>
      <c r="H670" t="s">
        <v>7476</v>
      </c>
      <c r="I670" s="1">
        <v>2</v>
      </c>
      <c r="J670" s="1">
        <v>2</v>
      </c>
      <c r="K670" t="s">
        <v>7017</v>
      </c>
      <c r="L670" s="5">
        <f>VLOOKUP(D:D,[1]Munka2!$A:$B,2,FALSE)</f>
        <v>1</v>
      </c>
      <c r="M670" s="5">
        <f>_xlfn.IFNA(Táblázat1[[#This Row],[Kész2020]],0)</f>
        <v>1</v>
      </c>
      <c r="N670" s="5">
        <f>IF(Táblázat1[[#This Row],[Karb./akt.év]]-Táblázat1[[#This Row],[Kész2020_2]]&lt;0,0,Táblázat1[[#This Row],[Karb./akt.év]]-Táblázat1[[#This Row],[Kész2020_2]])</f>
        <v>1</v>
      </c>
    </row>
    <row r="671" spans="1:14" hidden="1" x14ac:dyDescent="0.25">
      <c r="A671" s="17" t="s">
        <v>10</v>
      </c>
      <c r="B671" s="17" t="s">
        <v>41</v>
      </c>
      <c r="C671" s="17" t="s">
        <v>1742</v>
      </c>
      <c r="D671" s="17" t="s">
        <v>1779</v>
      </c>
      <c r="E671" s="17" t="s">
        <v>3615</v>
      </c>
      <c r="F671" s="17" t="s">
        <v>3616</v>
      </c>
      <c r="G671" s="17" t="s">
        <v>5018</v>
      </c>
      <c r="H671" t="s">
        <v>7476</v>
      </c>
      <c r="I671" s="1">
        <v>2</v>
      </c>
      <c r="J671" s="1">
        <v>2</v>
      </c>
      <c r="K671" t="s">
        <v>6639</v>
      </c>
      <c r="L671" s="5">
        <f>VLOOKUP(D:D,[1]Munka2!$A:$B,2,FALSE)</f>
        <v>1</v>
      </c>
      <c r="M671" s="5">
        <f>_xlfn.IFNA(Táblázat1[[#This Row],[Kész2020]],0)</f>
        <v>1</v>
      </c>
      <c r="N671" s="5">
        <f>IF(Táblázat1[[#This Row],[Karb./akt.év]]-Táblázat1[[#This Row],[Kész2020_2]]&lt;0,0,Táblázat1[[#This Row],[Karb./akt.év]]-Táblázat1[[#This Row],[Kész2020_2]])</f>
        <v>1</v>
      </c>
    </row>
    <row r="672" spans="1:14" hidden="1" x14ac:dyDescent="0.25">
      <c r="A672" s="17" t="s">
        <v>10</v>
      </c>
      <c r="B672" s="17" t="s">
        <v>1172</v>
      </c>
      <c r="C672" s="17" t="s">
        <v>1742</v>
      </c>
      <c r="D672" s="17" t="s">
        <v>2970</v>
      </c>
      <c r="E672" s="17" t="s">
        <v>4676</v>
      </c>
      <c r="F672" s="17" t="s">
        <v>3755</v>
      </c>
      <c r="G672" s="17" t="s">
        <v>6097</v>
      </c>
      <c r="H672" t="s">
        <v>7476</v>
      </c>
      <c r="I672" s="1">
        <v>2</v>
      </c>
      <c r="J672" s="1">
        <v>2</v>
      </c>
      <c r="K672" t="s">
        <v>6640</v>
      </c>
      <c r="L672" s="5">
        <f>VLOOKUP(D:D,[1]Munka2!$A:$B,2,FALSE)</f>
        <v>1</v>
      </c>
      <c r="M672" s="5">
        <f>_xlfn.IFNA(Táblázat1[[#This Row],[Kész2020]],0)</f>
        <v>1</v>
      </c>
      <c r="N672" s="5">
        <f>IF(Táblázat1[[#This Row],[Karb./akt.év]]-Táblázat1[[#This Row],[Kész2020_2]]&lt;0,0,Táblázat1[[#This Row],[Karb./akt.év]]-Táblázat1[[#This Row],[Kész2020_2]])</f>
        <v>1</v>
      </c>
    </row>
    <row r="673" spans="1:14" hidden="1" x14ac:dyDescent="0.25">
      <c r="A673" s="17" t="s">
        <v>10</v>
      </c>
      <c r="B673" s="17" t="s">
        <v>1613</v>
      </c>
      <c r="C673" s="17" t="s">
        <v>1743</v>
      </c>
      <c r="D673" s="17" t="s">
        <v>3464</v>
      </c>
      <c r="E673" s="17" t="s">
        <v>3880</v>
      </c>
      <c r="F673" s="17" t="s">
        <v>3755</v>
      </c>
      <c r="G673" s="17" t="s">
        <v>6515</v>
      </c>
      <c r="H673" t="s">
        <v>7476</v>
      </c>
      <c r="I673" s="1">
        <v>2</v>
      </c>
      <c r="J673" s="1">
        <v>2</v>
      </c>
      <c r="K673" t="s">
        <v>6640</v>
      </c>
      <c r="L673" s="5">
        <f>VLOOKUP(D:D,[1]Munka2!$A:$B,2,FALSE)</f>
        <v>1</v>
      </c>
      <c r="M673" s="5">
        <f>_xlfn.IFNA(Táblázat1[[#This Row],[Kész2020]],0)</f>
        <v>1</v>
      </c>
      <c r="N673" s="5">
        <f>IF(Táblázat1[[#This Row],[Karb./akt.év]]-Táblázat1[[#This Row],[Kész2020_2]]&lt;0,0,Táblázat1[[#This Row],[Karb./akt.év]]-Táblázat1[[#This Row],[Kész2020_2]])</f>
        <v>1</v>
      </c>
    </row>
    <row r="674" spans="1:14" hidden="1" x14ac:dyDescent="0.25">
      <c r="A674" s="17" t="s">
        <v>10</v>
      </c>
      <c r="B674" s="17" t="s">
        <v>600</v>
      </c>
      <c r="C674" s="17" t="s">
        <v>1742</v>
      </c>
      <c r="D674" s="17" t="s">
        <v>2373</v>
      </c>
      <c r="E674" s="17" t="s">
        <v>4215</v>
      </c>
      <c r="F674" s="17" t="s">
        <v>4216</v>
      </c>
      <c r="G674" s="17" t="s">
        <v>5562</v>
      </c>
      <c r="H674" t="s">
        <v>7476</v>
      </c>
      <c r="I674" s="1">
        <v>2</v>
      </c>
      <c r="J674" s="1">
        <v>2</v>
      </c>
      <c r="K674" t="s">
        <v>6641</v>
      </c>
      <c r="L674" s="5">
        <f>VLOOKUP(D:D,[1]Munka2!$A:$B,2,FALSE)</f>
        <v>1</v>
      </c>
      <c r="M674" s="5">
        <f>_xlfn.IFNA(Táblázat1[[#This Row],[Kész2020]],0)</f>
        <v>1</v>
      </c>
      <c r="N674" s="5">
        <f>IF(Táblázat1[[#This Row],[Karb./akt.év]]-Táblázat1[[#This Row],[Kész2020_2]]&lt;0,0,Táblázat1[[#This Row],[Karb./akt.év]]-Táblázat1[[#This Row],[Kész2020_2]])</f>
        <v>1</v>
      </c>
    </row>
    <row r="675" spans="1:14" hidden="1" x14ac:dyDescent="0.25">
      <c r="A675" s="17" t="s">
        <v>10</v>
      </c>
      <c r="B675" s="17" t="s">
        <v>1328</v>
      </c>
      <c r="C675" s="17" t="s">
        <v>1742</v>
      </c>
      <c r="D675" s="17" t="s">
        <v>3143</v>
      </c>
      <c r="E675" s="17" t="s">
        <v>4187</v>
      </c>
      <c r="F675" s="17" t="s">
        <v>4188</v>
      </c>
      <c r="G675" s="17" t="s">
        <v>6248</v>
      </c>
      <c r="H675" t="s">
        <v>7476</v>
      </c>
      <c r="I675" s="1">
        <v>2</v>
      </c>
      <c r="J675" s="1">
        <v>2</v>
      </c>
      <c r="K675" t="s">
        <v>6785</v>
      </c>
      <c r="L675" s="5">
        <f>VLOOKUP(D:D,[1]Munka2!$A:$B,2,FALSE)</f>
        <v>1</v>
      </c>
      <c r="M675" s="5">
        <f>_xlfn.IFNA(Táblázat1[[#This Row],[Kész2020]],0)</f>
        <v>1</v>
      </c>
      <c r="N675" s="5">
        <f>IF(Táblázat1[[#This Row],[Karb./akt.év]]-Táblázat1[[#This Row],[Kész2020_2]]&lt;0,0,Táblázat1[[#This Row],[Karb./akt.év]]-Táblázat1[[#This Row],[Kész2020_2]])</f>
        <v>1</v>
      </c>
    </row>
    <row r="676" spans="1:14" x14ac:dyDescent="0.25">
      <c r="A676" s="17" t="s">
        <v>10</v>
      </c>
      <c r="B676" s="17" t="s">
        <v>711</v>
      </c>
      <c r="C676" s="17" t="s">
        <v>1742</v>
      </c>
      <c r="D676" s="17" t="s">
        <v>2488</v>
      </c>
      <c r="E676" s="17" t="s">
        <v>3745</v>
      </c>
      <c r="F676" s="17" t="s">
        <v>3598</v>
      </c>
      <c r="G676" s="17" t="s">
        <v>5665</v>
      </c>
      <c r="H676" t="s">
        <v>7476</v>
      </c>
      <c r="I676" s="1">
        <v>2</v>
      </c>
      <c r="J676" s="1">
        <v>2</v>
      </c>
      <c r="K676" t="s">
        <v>8101</v>
      </c>
      <c r="L676" s="5" t="e">
        <f>VLOOKUP(D:D,[1]Munka2!$A:$B,2,FALSE)</f>
        <v>#N/A</v>
      </c>
      <c r="M676" s="5">
        <f>_xlfn.IFNA(Táblázat1[[#This Row],[Kész2020]],0)</f>
        <v>0</v>
      </c>
      <c r="N676" s="5">
        <f>IF(Táblázat1[[#This Row],[Karb./akt.év]]-Táblázat1[[#This Row],[Kész2020_2]]&lt;0,0,Táblázat1[[#This Row],[Karb./akt.év]]-Táblázat1[[#This Row],[Kész2020_2]])</f>
        <v>2</v>
      </c>
    </row>
    <row r="677" spans="1:14" hidden="1" x14ac:dyDescent="0.25">
      <c r="A677" s="17" t="s">
        <v>10</v>
      </c>
      <c r="B677" s="17" t="s">
        <v>1554</v>
      </c>
      <c r="C677" s="17" t="s">
        <v>1742</v>
      </c>
      <c r="D677" s="17" t="s">
        <v>3399</v>
      </c>
      <c r="E677" s="17" t="s">
        <v>3988</v>
      </c>
      <c r="F677" s="17" t="s">
        <v>3989</v>
      </c>
      <c r="G677" s="17" t="s">
        <v>6459</v>
      </c>
      <c r="H677" t="s">
        <v>7476</v>
      </c>
      <c r="I677" s="1">
        <v>2</v>
      </c>
      <c r="J677" s="1">
        <v>2</v>
      </c>
      <c r="K677" t="s">
        <v>6636</v>
      </c>
      <c r="L677" s="5">
        <f>VLOOKUP(D:D,[1]Munka2!$A:$B,2,FALSE)</f>
        <v>1</v>
      </c>
      <c r="M677" s="5">
        <f>_xlfn.IFNA(Táblázat1[[#This Row],[Kész2020]],0)</f>
        <v>1</v>
      </c>
      <c r="N677" s="5">
        <f>IF(Táblázat1[[#This Row],[Karb./akt.év]]-Táblázat1[[#This Row],[Kész2020_2]]&lt;0,0,Táblázat1[[#This Row],[Karb./akt.év]]-Táblázat1[[#This Row],[Kész2020_2]])</f>
        <v>1</v>
      </c>
    </row>
    <row r="678" spans="1:14" hidden="1" x14ac:dyDescent="0.25">
      <c r="A678" s="17" t="s">
        <v>10</v>
      </c>
      <c r="B678" s="17" t="s">
        <v>1313</v>
      </c>
      <c r="C678" s="17" t="s">
        <v>1742</v>
      </c>
      <c r="D678" s="17" t="s">
        <v>3128</v>
      </c>
      <c r="E678" s="17" t="s">
        <v>4264</v>
      </c>
      <c r="F678" s="17" t="s">
        <v>3598</v>
      </c>
      <c r="G678" s="17" t="s">
        <v>6232</v>
      </c>
      <c r="H678" t="s">
        <v>7476</v>
      </c>
      <c r="I678" s="1">
        <v>2</v>
      </c>
      <c r="J678" s="1">
        <v>2</v>
      </c>
      <c r="K678" t="s">
        <v>6641</v>
      </c>
      <c r="L678" s="5">
        <f>VLOOKUP(D:D,[1]Munka2!$A:$B,2,FALSE)</f>
        <v>1</v>
      </c>
      <c r="M678" s="5">
        <f>_xlfn.IFNA(Táblázat1[[#This Row],[Kész2020]],0)</f>
        <v>1</v>
      </c>
      <c r="N678" s="5">
        <f>IF(Táblázat1[[#This Row],[Karb./akt.év]]-Táblázat1[[#This Row],[Kész2020_2]]&lt;0,0,Táblázat1[[#This Row],[Karb./akt.év]]-Táblázat1[[#This Row],[Kész2020_2]])</f>
        <v>1</v>
      </c>
    </row>
    <row r="679" spans="1:14" hidden="1" x14ac:dyDescent="0.25">
      <c r="A679" s="17" t="s">
        <v>10</v>
      </c>
      <c r="B679" s="17" t="s">
        <v>974</v>
      </c>
      <c r="C679" s="17" t="s">
        <v>1742</v>
      </c>
      <c r="D679" s="17" t="s">
        <v>2761</v>
      </c>
      <c r="E679" s="17" t="s">
        <v>4133</v>
      </c>
      <c r="F679" s="17" t="s">
        <v>4134</v>
      </c>
      <c r="G679" s="17" t="s">
        <v>5902</v>
      </c>
      <c r="H679" t="s">
        <v>7476</v>
      </c>
      <c r="I679" s="1">
        <v>2</v>
      </c>
      <c r="J679" s="1">
        <v>2</v>
      </c>
      <c r="K679" t="s">
        <v>8102</v>
      </c>
      <c r="L679" s="5">
        <f>VLOOKUP(D:D,[1]Munka2!$A:$B,2,FALSE)</f>
        <v>1</v>
      </c>
      <c r="M679" s="5">
        <f>_xlfn.IFNA(Táblázat1[[#This Row],[Kész2020]],0)</f>
        <v>1</v>
      </c>
      <c r="N679" s="5">
        <f>IF(Táblázat1[[#This Row],[Karb./akt.év]]-Táblázat1[[#This Row],[Kész2020_2]]&lt;0,0,Táblázat1[[#This Row],[Karb./akt.év]]-Táblázat1[[#This Row],[Kész2020_2]])</f>
        <v>1</v>
      </c>
    </row>
    <row r="680" spans="1:14" hidden="1" x14ac:dyDescent="0.25">
      <c r="A680" s="17" t="s">
        <v>10</v>
      </c>
      <c r="B680" s="17" t="s">
        <v>1662</v>
      </c>
      <c r="C680" s="17" t="s">
        <v>1742</v>
      </c>
      <c r="D680" s="17" t="s">
        <v>3519</v>
      </c>
      <c r="E680" s="17" t="s">
        <v>4641</v>
      </c>
      <c r="F680" s="17" t="s">
        <v>4642</v>
      </c>
      <c r="G680" s="17" t="s">
        <v>6560</v>
      </c>
      <c r="H680" t="s">
        <v>7476</v>
      </c>
      <c r="I680" s="1">
        <v>2</v>
      </c>
      <c r="J680" s="1">
        <v>2</v>
      </c>
      <c r="K680" t="s">
        <v>8102</v>
      </c>
      <c r="L680" s="5">
        <f>VLOOKUP(D:D,[1]Munka2!$A:$B,2,FALSE)</f>
        <v>1</v>
      </c>
      <c r="M680" s="5">
        <f>_xlfn.IFNA(Táblázat1[[#This Row],[Kész2020]],0)</f>
        <v>1</v>
      </c>
      <c r="N680" s="5">
        <f>IF(Táblázat1[[#This Row],[Karb./akt.év]]-Táblázat1[[#This Row],[Kész2020_2]]&lt;0,0,Táblázat1[[#This Row],[Karb./akt.év]]-Táblázat1[[#This Row],[Kész2020_2]])</f>
        <v>1</v>
      </c>
    </row>
    <row r="681" spans="1:14" hidden="1" x14ac:dyDescent="0.25">
      <c r="A681" s="17" t="s">
        <v>10</v>
      </c>
      <c r="B681" s="17" t="s">
        <v>543</v>
      </c>
      <c r="C681" s="17" t="s">
        <v>1742</v>
      </c>
      <c r="D681" s="17" t="s">
        <v>2308</v>
      </c>
      <c r="E681" s="17" t="s">
        <v>4159</v>
      </c>
      <c r="F681" s="17" t="s">
        <v>4160</v>
      </c>
      <c r="G681" s="17" t="s">
        <v>5501</v>
      </c>
      <c r="H681" t="s">
        <v>7476</v>
      </c>
      <c r="I681" s="1">
        <v>2</v>
      </c>
      <c r="J681" s="1">
        <v>2</v>
      </c>
      <c r="K681" t="s">
        <v>6642</v>
      </c>
      <c r="L681" s="5">
        <f>VLOOKUP(D:D,[1]Munka2!$A:$B,2,FALSE)</f>
        <v>1</v>
      </c>
      <c r="M681" s="5">
        <f>_xlfn.IFNA(Táblázat1[[#This Row],[Kész2020]],0)</f>
        <v>1</v>
      </c>
      <c r="N681" s="5">
        <f>IF(Táblázat1[[#This Row],[Karb./akt.év]]-Táblázat1[[#This Row],[Kész2020_2]]&lt;0,0,Táblázat1[[#This Row],[Karb./akt.év]]-Táblázat1[[#This Row],[Kész2020_2]])</f>
        <v>1</v>
      </c>
    </row>
    <row r="682" spans="1:14" hidden="1" x14ac:dyDescent="0.25">
      <c r="A682" s="17" t="s">
        <v>10</v>
      </c>
      <c r="B682" s="17" t="s">
        <v>108</v>
      </c>
      <c r="C682" s="17" t="s">
        <v>1742</v>
      </c>
      <c r="D682" s="17" t="s">
        <v>1847</v>
      </c>
      <c r="E682" s="17" t="s">
        <v>3695</v>
      </c>
      <c r="F682" s="17" t="s">
        <v>3696</v>
      </c>
      <c r="G682" s="17" t="s">
        <v>5079</v>
      </c>
      <c r="H682" t="s">
        <v>7476</v>
      </c>
      <c r="I682" s="1">
        <v>2</v>
      </c>
      <c r="J682" s="1">
        <v>2</v>
      </c>
      <c r="K682" t="s">
        <v>6638</v>
      </c>
      <c r="L682" s="5">
        <f>VLOOKUP(D:D,[1]Munka2!$A:$B,2,FALSE)</f>
        <v>1</v>
      </c>
      <c r="M682" s="5">
        <f>_xlfn.IFNA(Táblázat1[[#This Row],[Kész2020]],0)</f>
        <v>1</v>
      </c>
      <c r="N682" s="5">
        <f>IF(Táblázat1[[#This Row],[Karb./akt.év]]-Táblázat1[[#This Row],[Kész2020_2]]&lt;0,0,Táblázat1[[#This Row],[Karb./akt.év]]-Táblázat1[[#This Row],[Kész2020_2]])</f>
        <v>1</v>
      </c>
    </row>
    <row r="683" spans="1:14" hidden="1" x14ac:dyDescent="0.25">
      <c r="A683" s="17" t="s">
        <v>10</v>
      </c>
      <c r="B683" s="17" t="s">
        <v>647</v>
      </c>
      <c r="C683" s="17" t="s">
        <v>1742</v>
      </c>
      <c r="D683" s="17" t="s">
        <v>2421</v>
      </c>
      <c r="E683" s="17" t="s">
        <v>4190</v>
      </c>
      <c r="F683" s="17" t="s">
        <v>4191</v>
      </c>
      <c r="G683" s="17" t="s">
        <v>5604</v>
      </c>
      <c r="H683" t="s">
        <v>7476</v>
      </c>
      <c r="I683" s="1">
        <v>2</v>
      </c>
      <c r="J683" s="1">
        <v>2</v>
      </c>
      <c r="K683" t="s">
        <v>7354</v>
      </c>
      <c r="L683" s="5">
        <f>VLOOKUP(D:D,[1]Munka2!$A:$B,2,FALSE)</f>
        <v>1</v>
      </c>
      <c r="M683" s="5">
        <f>_xlfn.IFNA(Táblázat1[[#This Row],[Kész2020]],0)</f>
        <v>1</v>
      </c>
      <c r="N683" s="5">
        <f>IF(Táblázat1[[#This Row],[Karb./akt.év]]-Táblázat1[[#This Row],[Kész2020_2]]&lt;0,0,Táblázat1[[#This Row],[Karb./akt.év]]-Táblázat1[[#This Row],[Kész2020_2]])</f>
        <v>1</v>
      </c>
    </row>
    <row r="684" spans="1:14" x14ac:dyDescent="0.25">
      <c r="A684" s="17" t="s">
        <v>10</v>
      </c>
      <c r="B684" s="17" t="s">
        <v>961</v>
      </c>
      <c r="C684" s="17" t="s">
        <v>1742</v>
      </c>
      <c r="D684" s="17" t="s">
        <v>2747</v>
      </c>
      <c r="E684" s="17" t="s">
        <v>4543</v>
      </c>
      <c r="F684" s="17" t="s">
        <v>4544</v>
      </c>
      <c r="G684" s="17" t="s">
        <v>5890</v>
      </c>
      <c r="H684" t="s">
        <v>7476</v>
      </c>
      <c r="I684" s="1">
        <v>2</v>
      </c>
      <c r="J684" s="1">
        <v>2</v>
      </c>
      <c r="K684" t="s">
        <v>6635</v>
      </c>
      <c r="L684" s="5" t="e">
        <f>VLOOKUP(D:D,[1]Munka2!$A:$B,2,FALSE)</f>
        <v>#N/A</v>
      </c>
      <c r="M684" s="5">
        <f>_xlfn.IFNA(Táblázat1[[#This Row],[Kész2020]],0)</f>
        <v>0</v>
      </c>
      <c r="N684" s="5">
        <f>IF(Táblázat1[[#This Row],[Karb./akt.év]]-Táblázat1[[#This Row],[Kész2020_2]]&lt;0,0,Táblázat1[[#This Row],[Karb./akt.év]]-Táblázat1[[#This Row],[Kész2020_2]])</f>
        <v>2</v>
      </c>
    </row>
    <row r="685" spans="1:14" hidden="1" x14ac:dyDescent="0.25">
      <c r="A685" s="17" t="s">
        <v>10</v>
      </c>
      <c r="B685" s="17" t="s">
        <v>721</v>
      </c>
      <c r="C685" s="17" t="s">
        <v>1742</v>
      </c>
      <c r="D685" s="17" t="s">
        <v>7418</v>
      </c>
      <c r="E685" s="17" t="s">
        <v>4187</v>
      </c>
      <c r="F685" s="17" t="s">
        <v>4188</v>
      </c>
      <c r="G685" s="17" t="s">
        <v>5673</v>
      </c>
      <c r="H685" t="s">
        <v>7476</v>
      </c>
      <c r="I685" s="1">
        <v>2</v>
      </c>
      <c r="J685" s="1">
        <v>2</v>
      </c>
      <c r="K685" t="s">
        <v>6785</v>
      </c>
      <c r="L685" s="5">
        <f>VLOOKUP(D:D,[1]Munka2!$A:$B,2,FALSE)</f>
        <v>1</v>
      </c>
      <c r="M685" s="5">
        <f>_xlfn.IFNA(Táblázat1[[#This Row],[Kész2020]],0)</f>
        <v>1</v>
      </c>
      <c r="N685" s="5">
        <f>IF(Táblázat1[[#This Row],[Karb./akt.év]]-Táblázat1[[#This Row],[Kész2020_2]]&lt;0,0,Táblázat1[[#This Row],[Karb./akt.év]]-Táblázat1[[#This Row],[Kész2020_2]])</f>
        <v>1</v>
      </c>
    </row>
    <row r="686" spans="1:14" hidden="1" x14ac:dyDescent="0.25">
      <c r="A686" s="17" t="s">
        <v>10</v>
      </c>
      <c r="B686" s="17" t="s">
        <v>7130</v>
      </c>
      <c r="C686" s="17" t="s">
        <v>1742</v>
      </c>
      <c r="D686" s="17" t="s">
        <v>7148</v>
      </c>
      <c r="E686" s="17" t="s">
        <v>3788</v>
      </c>
      <c r="F686" s="17" t="s">
        <v>3789</v>
      </c>
      <c r="G686" s="17" t="s">
        <v>7164</v>
      </c>
      <c r="H686" t="s">
        <v>7476</v>
      </c>
      <c r="I686" s="1">
        <v>2</v>
      </c>
      <c r="J686" s="1">
        <v>2</v>
      </c>
      <c r="K686" t="s">
        <v>6634</v>
      </c>
      <c r="L686" s="5">
        <f>VLOOKUP(D:D,[1]Munka2!$A:$B,2,FALSE)</f>
        <v>1</v>
      </c>
      <c r="M686" s="5">
        <f>_xlfn.IFNA(Táblázat1[[#This Row],[Kész2020]],0)</f>
        <v>1</v>
      </c>
      <c r="N686" s="5">
        <f>IF(Táblázat1[[#This Row],[Karb./akt.év]]-Táblázat1[[#This Row],[Kész2020_2]]&lt;0,0,Táblázat1[[#This Row],[Karb./akt.év]]-Táblázat1[[#This Row],[Kész2020_2]])</f>
        <v>1</v>
      </c>
    </row>
    <row r="687" spans="1:14" hidden="1" x14ac:dyDescent="0.25">
      <c r="A687" s="17" t="s">
        <v>10</v>
      </c>
      <c r="B687" s="17" t="s">
        <v>827</v>
      </c>
      <c r="C687" s="17" t="s">
        <v>1736</v>
      </c>
      <c r="D687" s="17" t="s">
        <v>2605</v>
      </c>
      <c r="E687" s="17" t="s">
        <v>4190</v>
      </c>
      <c r="F687" s="17" t="s">
        <v>4191</v>
      </c>
      <c r="G687" s="17" t="s">
        <v>5767</v>
      </c>
      <c r="H687" t="s">
        <v>7476</v>
      </c>
      <c r="I687" s="1">
        <v>2</v>
      </c>
      <c r="J687" s="1">
        <v>2</v>
      </c>
      <c r="K687" t="s">
        <v>7354</v>
      </c>
      <c r="L687" s="5">
        <f>VLOOKUP(D:D,[1]Munka2!$A:$B,2,FALSE)</f>
        <v>1</v>
      </c>
      <c r="M687" s="5">
        <f>_xlfn.IFNA(Táblázat1[[#This Row],[Kész2020]],0)</f>
        <v>1</v>
      </c>
      <c r="N687" s="5">
        <f>IF(Táblázat1[[#This Row],[Karb./akt.év]]-Táblázat1[[#This Row],[Kész2020_2]]&lt;0,0,Táblázat1[[#This Row],[Karb./akt.év]]-Táblázat1[[#This Row],[Kész2020_2]])</f>
        <v>1</v>
      </c>
    </row>
    <row r="688" spans="1:14" x14ac:dyDescent="0.25">
      <c r="A688" s="17" t="s">
        <v>10</v>
      </c>
      <c r="B688" s="17" t="s">
        <v>341</v>
      </c>
      <c r="C688" s="17" t="s">
        <v>1735</v>
      </c>
      <c r="D688" s="17" t="s">
        <v>2092</v>
      </c>
      <c r="E688" s="17" t="s">
        <v>3625</v>
      </c>
      <c r="F688" s="17" t="s">
        <v>3626</v>
      </c>
      <c r="G688" s="17" t="s">
        <v>5305</v>
      </c>
      <c r="H688" t="s">
        <v>7476</v>
      </c>
      <c r="I688" s="1">
        <v>2</v>
      </c>
      <c r="J688" s="1">
        <v>2</v>
      </c>
      <c r="K688" t="s">
        <v>6642</v>
      </c>
      <c r="L688" s="5" t="e">
        <f>VLOOKUP(D:D,[1]Munka2!$A:$B,2,FALSE)</f>
        <v>#N/A</v>
      </c>
      <c r="M688" s="5">
        <f>_xlfn.IFNA(Táblázat1[[#This Row],[Kész2020]],0)</f>
        <v>0</v>
      </c>
      <c r="N688" s="5">
        <f>IF(Táblázat1[[#This Row],[Karb./akt.év]]-Táblázat1[[#This Row],[Kész2020_2]]&lt;0,0,Táblázat1[[#This Row],[Karb./akt.év]]-Táblázat1[[#This Row],[Kész2020_2]])</f>
        <v>2</v>
      </c>
    </row>
    <row r="689" spans="1:14" hidden="1" x14ac:dyDescent="0.25">
      <c r="A689" s="17" t="s">
        <v>10</v>
      </c>
      <c r="B689" s="17" t="s">
        <v>760</v>
      </c>
      <c r="C689" s="17" t="s">
        <v>1743</v>
      </c>
      <c r="D689" s="17" t="s">
        <v>2535</v>
      </c>
      <c r="E689" s="17" t="s">
        <v>4332</v>
      </c>
      <c r="F689" s="17" t="s">
        <v>3598</v>
      </c>
      <c r="G689" s="17" t="s">
        <v>5705</v>
      </c>
      <c r="H689" t="s">
        <v>7476</v>
      </c>
      <c r="I689" s="1">
        <v>2</v>
      </c>
      <c r="J689" s="1">
        <v>2</v>
      </c>
      <c r="K689" t="s">
        <v>6785</v>
      </c>
      <c r="L689" s="5">
        <f>VLOOKUP(D:D,[1]Munka2!$A:$B,2,FALSE)</f>
        <v>1</v>
      </c>
      <c r="M689" s="5">
        <f>_xlfn.IFNA(Táblázat1[[#This Row],[Kész2020]],0)</f>
        <v>1</v>
      </c>
      <c r="N689" s="5">
        <f>IF(Táblázat1[[#This Row],[Karb./akt.év]]-Táblázat1[[#This Row],[Kész2020_2]]&lt;0,0,Táblázat1[[#This Row],[Karb./akt.év]]-Táblázat1[[#This Row],[Kész2020_2]])</f>
        <v>1</v>
      </c>
    </row>
    <row r="690" spans="1:14" hidden="1" x14ac:dyDescent="0.25">
      <c r="A690" s="17" t="s">
        <v>10</v>
      </c>
      <c r="B690" s="17" t="s">
        <v>7131</v>
      </c>
      <c r="C690" s="17" t="s">
        <v>1742</v>
      </c>
      <c r="D690" s="17" t="s">
        <v>7149</v>
      </c>
      <c r="E690" s="17" t="s">
        <v>4194</v>
      </c>
      <c r="F690" s="17" t="s">
        <v>4195</v>
      </c>
      <c r="G690" s="17" t="s">
        <v>5532</v>
      </c>
      <c r="H690" t="s">
        <v>7476</v>
      </c>
      <c r="I690" s="1">
        <v>2</v>
      </c>
      <c r="J690" s="1">
        <v>2</v>
      </c>
      <c r="K690" t="s">
        <v>6639</v>
      </c>
      <c r="L690" s="5">
        <f>VLOOKUP(D:D,[1]Munka2!$A:$B,2,FALSE)</f>
        <v>1</v>
      </c>
      <c r="M690" s="5">
        <f>_xlfn.IFNA(Táblázat1[[#This Row],[Kész2020]],0)</f>
        <v>1</v>
      </c>
      <c r="N690" s="5">
        <f>IF(Táblázat1[[#This Row],[Karb./akt.év]]-Táblázat1[[#This Row],[Kész2020_2]]&lt;0,0,Táblázat1[[#This Row],[Karb./akt.év]]-Táblázat1[[#This Row],[Kész2020_2]])</f>
        <v>1</v>
      </c>
    </row>
    <row r="691" spans="1:14" hidden="1" x14ac:dyDescent="0.25">
      <c r="A691" s="17" t="s">
        <v>10</v>
      </c>
      <c r="B691" s="17" t="s">
        <v>7132</v>
      </c>
      <c r="C691" s="17" t="s">
        <v>1742</v>
      </c>
      <c r="D691" s="17" t="s">
        <v>7150</v>
      </c>
      <c r="E691" s="17" t="s">
        <v>4899</v>
      </c>
      <c r="F691" s="17" t="s">
        <v>3598</v>
      </c>
      <c r="G691" s="17" t="s">
        <v>6369</v>
      </c>
      <c r="H691" t="s">
        <v>7476</v>
      </c>
      <c r="I691" s="1">
        <v>2</v>
      </c>
      <c r="J691" s="1">
        <v>2</v>
      </c>
      <c r="K691" t="s">
        <v>6633</v>
      </c>
      <c r="L691" s="5">
        <f>VLOOKUP(D:D,[1]Munka2!$A:$B,2,FALSE)</f>
        <v>1</v>
      </c>
      <c r="M691" s="5">
        <f>_xlfn.IFNA(Táblázat1[[#This Row],[Kész2020]],0)</f>
        <v>1</v>
      </c>
      <c r="N691" s="5">
        <f>IF(Táblázat1[[#This Row],[Karb./akt.év]]-Táblázat1[[#This Row],[Kész2020_2]]&lt;0,0,Táblázat1[[#This Row],[Karb./akt.év]]-Táblázat1[[#This Row],[Kész2020_2]])</f>
        <v>1</v>
      </c>
    </row>
    <row r="692" spans="1:14" hidden="1" x14ac:dyDescent="0.25">
      <c r="A692" s="17" t="s">
        <v>10</v>
      </c>
      <c r="B692" s="17" t="s">
        <v>83</v>
      </c>
      <c r="C692" s="17" t="s">
        <v>1743</v>
      </c>
      <c r="D692" s="17" t="s">
        <v>1822</v>
      </c>
      <c r="E692" s="17" t="s">
        <v>3667</v>
      </c>
      <c r="F692" s="17" t="s">
        <v>3668</v>
      </c>
      <c r="G692" s="17" t="s">
        <v>5055</v>
      </c>
      <c r="H692" t="s">
        <v>7476</v>
      </c>
      <c r="I692" s="1">
        <v>2</v>
      </c>
      <c r="J692" s="1">
        <v>2</v>
      </c>
      <c r="K692" t="s">
        <v>6637</v>
      </c>
      <c r="L692" s="5">
        <f>VLOOKUP(D:D,[1]Munka2!$A:$B,2,FALSE)</f>
        <v>1</v>
      </c>
      <c r="M692" s="5">
        <f>_xlfn.IFNA(Táblázat1[[#This Row],[Kész2020]],0)</f>
        <v>1</v>
      </c>
      <c r="N692" s="5">
        <f>IF(Táblázat1[[#This Row],[Karb./akt.év]]-Táblázat1[[#This Row],[Kész2020_2]]&lt;0,0,Táblázat1[[#This Row],[Karb./akt.év]]-Táblázat1[[#This Row],[Kész2020_2]])</f>
        <v>1</v>
      </c>
    </row>
    <row r="693" spans="1:14" hidden="1" x14ac:dyDescent="0.25">
      <c r="A693" s="17" t="s">
        <v>10</v>
      </c>
      <c r="B693" s="17" t="s">
        <v>7133</v>
      </c>
      <c r="C693" s="17" t="s">
        <v>1742</v>
      </c>
      <c r="D693" s="17" t="s">
        <v>7151</v>
      </c>
      <c r="E693" s="17" t="s">
        <v>3965</v>
      </c>
      <c r="F693" s="17" t="s">
        <v>3714</v>
      </c>
      <c r="G693" s="17" t="s">
        <v>7165</v>
      </c>
      <c r="H693" t="s">
        <v>7476</v>
      </c>
      <c r="I693" s="1">
        <v>2</v>
      </c>
      <c r="J693" s="1">
        <v>2</v>
      </c>
      <c r="K693" t="s">
        <v>6636</v>
      </c>
      <c r="L693" s="5">
        <f>VLOOKUP(D:D,[1]Munka2!$A:$B,2,FALSE)</f>
        <v>1</v>
      </c>
      <c r="M693" s="5">
        <f>_xlfn.IFNA(Táblázat1[[#This Row],[Kész2020]],0)</f>
        <v>1</v>
      </c>
      <c r="N693" s="5">
        <f>IF(Táblázat1[[#This Row],[Karb./akt.év]]-Táblázat1[[#This Row],[Kész2020_2]]&lt;0,0,Táblázat1[[#This Row],[Karb./akt.év]]-Táblázat1[[#This Row],[Kész2020_2]])</f>
        <v>1</v>
      </c>
    </row>
    <row r="694" spans="1:14" hidden="1" x14ac:dyDescent="0.25">
      <c r="A694" s="17" t="s">
        <v>10</v>
      </c>
      <c r="B694" s="17" t="s">
        <v>6744</v>
      </c>
      <c r="C694" s="17" t="s">
        <v>1735</v>
      </c>
      <c r="D694" s="17" t="s">
        <v>6748</v>
      </c>
      <c r="E694" s="17" t="s">
        <v>3678</v>
      </c>
      <c r="F694" s="17" t="s">
        <v>3679</v>
      </c>
      <c r="G694" s="17" t="s">
        <v>6752</v>
      </c>
      <c r="H694" t="s">
        <v>7476</v>
      </c>
      <c r="I694" s="1">
        <v>2</v>
      </c>
      <c r="J694" s="1">
        <v>2</v>
      </c>
      <c r="K694" t="s">
        <v>6635</v>
      </c>
      <c r="L694" s="5">
        <f>VLOOKUP(D:D,[1]Munka2!$A:$B,2,FALSE)</f>
        <v>1</v>
      </c>
      <c r="M694" s="5">
        <f>_xlfn.IFNA(Táblázat1[[#This Row],[Kész2020]],0)</f>
        <v>1</v>
      </c>
      <c r="N694" s="5">
        <f>IF(Táblázat1[[#This Row],[Karb./akt.év]]-Táblázat1[[#This Row],[Kész2020_2]]&lt;0,0,Táblázat1[[#This Row],[Karb./akt.év]]-Táblázat1[[#This Row],[Kész2020_2]])</f>
        <v>1</v>
      </c>
    </row>
    <row r="695" spans="1:14" hidden="1" x14ac:dyDescent="0.25">
      <c r="A695" s="17" t="s">
        <v>10</v>
      </c>
      <c r="B695" s="17" t="s">
        <v>7273</v>
      </c>
      <c r="C695" s="17" t="s">
        <v>1742</v>
      </c>
      <c r="D695" s="17" t="s">
        <v>7303</v>
      </c>
      <c r="E695" s="17" t="s">
        <v>4359</v>
      </c>
      <c r="F695" s="17" t="s">
        <v>3598</v>
      </c>
      <c r="G695" s="17" t="s">
        <v>5985</v>
      </c>
      <c r="H695" t="s">
        <v>7476</v>
      </c>
      <c r="I695" s="1">
        <v>2</v>
      </c>
      <c r="J695" s="1">
        <v>2</v>
      </c>
      <c r="K695" t="s">
        <v>6641</v>
      </c>
      <c r="L695" s="5">
        <f>VLOOKUP(D:D,[1]Munka2!$A:$B,2,FALSE)</f>
        <v>1</v>
      </c>
      <c r="M695" s="5">
        <f>_xlfn.IFNA(Táblázat1[[#This Row],[Kész2020]],0)</f>
        <v>1</v>
      </c>
      <c r="N695" s="5">
        <f>IF(Táblázat1[[#This Row],[Karb./akt.év]]-Táblázat1[[#This Row],[Kész2020_2]]&lt;0,0,Táblázat1[[#This Row],[Karb./akt.év]]-Táblázat1[[#This Row],[Kész2020_2]])</f>
        <v>1</v>
      </c>
    </row>
    <row r="696" spans="1:14" x14ac:dyDescent="0.25">
      <c r="A696" s="17" t="s">
        <v>10</v>
      </c>
      <c r="B696" s="17" t="s">
        <v>6758</v>
      </c>
      <c r="C696" s="17" t="s">
        <v>1742</v>
      </c>
      <c r="D696" s="17" t="s">
        <v>6769</v>
      </c>
      <c r="E696" s="17" t="s">
        <v>4899</v>
      </c>
      <c r="F696" s="17" t="s">
        <v>3598</v>
      </c>
      <c r="G696" s="17" t="s">
        <v>6777</v>
      </c>
      <c r="H696" t="s">
        <v>7476</v>
      </c>
      <c r="I696" s="1">
        <v>2</v>
      </c>
      <c r="J696" s="1">
        <v>2</v>
      </c>
      <c r="K696" t="s">
        <v>6633</v>
      </c>
      <c r="L696" s="5" t="e">
        <f>VLOOKUP(D:D,[1]Munka2!$A:$B,2,FALSE)</f>
        <v>#N/A</v>
      </c>
      <c r="M696" s="5">
        <f>_xlfn.IFNA(Táblázat1[[#This Row],[Kész2020]],0)</f>
        <v>0</v>
      </c>
      <c r="N696" s="5">
        <f>IF(Táblázat1[[#This Row],[Karb./akt.év]]-Táblázat1[[#This Row],[Kész2020_2]]&lt;0,0,Táblázat1[[#This Row],[Karb./akt.év]]-Táblázat1[[#This Row],[Kész2020_2]])</f>
        <v>2</v>
      </c>
    </row>
    <row r="697" spans="1:14" hidden="1" x14ac:dyDescent="0.25">
      <c r="A697" s="17" t="s">
        <v>10</v>
      </c>
      <c r="B697" s="17" t="s">
        <v>1687</v>
      </c>
      <c r="C697" s="17" t="s">
        <v>1743</v>
      </c>
      <c r="D697" s="17" t="s">
        <v>3543</v>
      </c>
      <c r="E697" s="17" t="s">
        <v>3792</v>
      </c>
      <c r="F697" s="17" t="s">
        <v>3793</v>
      </c>
      <c r="G697" s="17" t="s">
        <v>6584</v>
      </c>
      <c r="H697" t="s">
        <v>7476</v>
      </c>
      <c r="I697" s="1">
        <v>2</v>
      </c>
      <c r="J697" s="1">
        <v>2</v>
      </c>
      <c r="K697" t="s">
        <v>6639</v>
      </c>
      <c r="L697" s="5">
        <f>VLOOKUP(D:D,[1]Munka2!$A:$B,2,FALSE)</f>
        <v>1</v>
      </c>
      <c r="M697" s="5">
        <f>_xlfn.IFNA(Táblázat1[[#This Row],[Kész2020]],0)</f>
        <v>1</v>
      </c>
      <c r="N697" s="5">
        <f>IF(Táblázat1[[#This Row],[Karb./akt.év]]-Táblázat1[[#This Row],[Kész2020_2]]&lt;0,0,Táblázat1[[#This Row],[Karb./akt.év]]-Táblázat1[[#This Row],[Kész2020_2]])</f>
        <v>1</v>
      </c>
    </row>
    <row r="698" spans="1:14" hidden="1" x14ac:dyDescent="0.25">
      <c r="A698" s="17" t="s">
        <v>10</v>
      </c>
      <c r="B698" s="17" t="s">
        <v>1720</v>
      </c>
      <c r="C698" s="17" t="s">
        <v>1743</v>
      </c>
      <c r="D698" s="17" t="s">
        <v>3578</v>
      </c>
      <c r="E698" s="17" t="s">
        <v>4536</v>
      </c>
      <c r="F698" s="17" t="s">
        <v>3598</v>
      </c>
      <c r="G698" s="17" t="s">
        <v>6614</v>
      </c>
      <c r="H698" t="s">
        <v>7476</v>
      </c>
      <c r="I698" s="1">
        <v>2</v>
      </c>
      <c r="J698" s="1">
        <v>2</v>
      </c>
      <c r="K698" t="s">
        <v>6785</v>
      </c>
      <c r="L698" s="5">
        <f>VLOOKUP(D:D,[1]Munka2!$A:$B,2,FALSE)</f>
        <v>1</v>
      </c>
      <c r="M698" s="5">
        <f>_xlfn.IFNA(Táblázat1[[#This Row],[Kész2020]],0)</f>
        <v>1</v>
      </c>
      <c r="N698" s="5">
        <f>IF(Táblázat1[[#This Row],[Karb./akt.év]]-Táblázat1[[#This Row],[Kész2020_2]]&lt;0,0,Táblázat1[[#This Row],[Karb./akt.év]]-Táblázat1[[#This Row],[Kész2020_2]])</f>
        <v>1</v>
      </c>
    </row>
    <row r="699" spans="1:14" x14ac:dyDescent="0.25">
      <c r="A699" s="17" t="s">
        <v>10</v>
      </c>
      <c r="B699" s="17" t="s">
        <v>7030</v>
      </c>
      <c r="C699" s="17" t="s">
        <v>1735</v>
      </c>
      <c r="D699" s="17" t="s">
        <v>7066</v>
      </c>
      <c r="E699" s="17" t="s">
        <v>4967</v>
      </c>
      <c r="F699" s="17" t="s">
        <v>3598</v>
      </c>
      <c r="G699" s="17" t="s">
        <v>6527</v>
      </c>
      <c r="H699" t="s">
        <v>7476</v>
      </c>
      <c r="I699" s="1">
        <v>2</v>
      </c>
      <c r="J699" s="1">
        <v>2</v>
      </c>
      <c r="K699" t="s">
        <v>6633</v>
      </c>
      <c r="L699" s="5" t="e">
        <f>VLOOKUP(D:D,[1]Munka2!$A:$B,2,FALSE)</f>
        <v>#N/A</v>
      </c>
      <c r="M699" s="5">
        <f>_xlfn.IFNA(Táblázat1[[#This Row],[Kész2020]],0)</f>
        <v>0</v>
      </c>
      <c r="N699" s="5">
        <f>IF(Táblázat1[[#This Row],[Karb./akt.év]]-Táblázat1[[#This Row],[Kész2020_2]]&lt;0,0,Táblázat1[[#This Row],[Karb./akt.év]]-Táblázat1[[#This Row],[Kész2020_2]])</f>
        <v>2</v>
      </c>
    </row>
    <row r="700" spans="1:14" x14ac:dyDescent="0.25">
      <c r="A700" s="17" t="s">
        <v>10</v>
      </c>
      <c r="B700" s="17" t="s">
        <v>791</v>
      </c>
      <c r="C700" s="17" t="s">
        <v>1743</v>
      </c>
      <c r="D700" s="17" t="s">
        <v>2567</v>
      </c>
      <c r="E700" s="17" t="s">
        <v>4362</v>
      </c>
      <c r="F700" s="17" t="s">
        <v>4363</v>
      </c>
      <c r="G700" s="17" t="s">
        <v>5733</v>
      </c>
      <c r="H700" t="s">
        <v>7476</v>
      </c>
      <c r="I700" s="1">
        <v>2</v>
      </c>
      <c r="J700" s="1">
        <v>2</v>
      </c>
      <c r="K700" t="s">
        <v>6784</v>
      </c>
      <c r="L700" s="5" t="e">
        <f>VLOOKUP(D:D,[1]Munka2!$A:$B,2,FALSE)</f>
        <v>#N/A</v>
      </c>
      <c r="M700" s="5">
        <f>_xlfn.IFNA(Táblázat1[[#This Row],[Kész2020]],0)</f>
        <v>0</v>
      </c>
      <c r="N700" s="5">
        <f>IF(Táblázat1[[#This Row],[Karb./akt.év]]-Táblázat1[[#This Row],[Kész2020_2]]&lt;0,0,Táblázat1[[#This Row],[Karb./akt.év]]-Táblázat1[[#This Row],[Kész2020_2]])</f>
        <v>2</v>
      </c>
    </row>
    <row r="701" spans="1:14" hidden="1" x14ac:dyDescent="0.25">
      <c r="A701" s="17" t="s">
        <v>10</v>
      </c>
      <c r="B701" s="17" t="s">
        <v>7537</v>
      </c>
      <c r="C701" s="17" t="s">
        <v>1742</v>
      </c>
      <c r="D701" s="17" t="s">
        <v>7600</v>
      </c>
      <c r="E701" s="17" t="s">
        <v>3811</v>
      </c>
      <c r="F701" s="17" t="s">
        <v>3812</v>
      </c>
      <c r="G701" s="17" t="s">
        <v>6546</v>
      </c>
      <c r="H701" t="s">
        <v>7476</v>
      </c>
      <c r="I701" s="1">
        <v>2</v>
      </c>
      <c r="J701" s="1">
        <v>2</v>
      </c>
      <c r="K701" t="s">
        <v>6637</v>
      </c>
      <c r="L701" s="5">
        <f>VLOOKUP(D:D,[1]Munka2!$A:$B,2,FALSE)</f>
        <v>1</v>
      </c>
      <c r="M701" s="5">
        <f>_xlfn.IFNA(Táblázat1[[#This Row],[Kész2020]],0)</f>
        <v>1</v>
      </c>
      <c r="N701" s="5">
        <f>IF(Táblázat1[[#This Row],[Karb./akt.év]]-Táblázat1[[#This Row],[Kész2020_2]]&lt;0,0,Táblázat1[[#This Row],[Karb./akt.év]]-Táblázat1[[#This Row],[Kész2020_2]])</f>
        <v>1</v>
      </c>
    </row>
    <row r="702" spans="1:14" x14ac:dyDescent="0.25">
      <c r="A702" s="17" t="s">
        <v>10</v>
      </c>
      <c r="B702" s="17" t="s">
        <v>271</v>
      </c>
      <c r="C702" s="17" t="s">
        <v>1743</v>
      </c>
      <c r="D702" s="17" t="s">
        <v>2019</v>
      </c>
      <c r="E702" s="17" t="s">
        <v>3894</v>
      </c>
      <c r="F702" s="17" t="s">
        <v>3895</v>
      </c>
      <c r="G702" s="17" t="s">
        <v>5238</v>
      </c>
      <c r="H702" t="s">
        <v>7476</v>
      </c>
      <c r="I702" s="1">
        <v>2</v>
      </c>
      <c r="J702" s="1">
        <v>2</v>
      </c>
      <c r="K702" t="s">
        <v>7354</v>
      </c>
      <c r="L702" s="5" t="e">
        <f>VLOOKUP(D:D,[1]Munka2!$A:$B,2,FALSE)</f>
        <v>#N/A</v>
      </c>
      <c r="M702" s="5">
        <f>_xlfn.IFNA(Táblázat1[[#This Row],[Kész2020]],0)</f>
        <v>0</v>
      </c>
      <c r="N702" s="5">
        <f>IF(Táblázat1[[#This Row],[Karb./akt.év]]-Táblázat1[[#This Row],[Kész2020_2]]&lt;0,0,Táblázat1[[#This Row],[Karb./akt.év]]-Táblázat1[[#This Row],[Kész2020_2]])</f>
        <v>2</v>
      </c>
    </row>
    <row r="703" spans="1:14" x14ac:dyDescent="0.25">
      <c r="A703" s="17" t="s">
        <v>10</v>
      </c>
      <c r="B703" s="17" t="s">
        <v>73</v>
      </c>
      <c r="C703" s="17" t="s">
        <v>1743</v>
      </c>
      <c r="D703" s="17" t="s">
        <v>1811</v>
      </c>
      <c r="E703" s="17" t="s">
        <v>3659</v>
      </c>
      <c r="F703" s="17" t="s">
        <v>3660</v>
      </c>
      <c r="G703" s="17" t="s">
        <v>5047</v>
      </c>
      <c r="H703" t="s">
        <v>7476</v>
      </c>
      <c r="I703" s="1">
        <v>2</v>
      </c>
      <c r="J703" s="1">
        <v>2</v>
      </c>
      <c r="K703" t="s">
        <v>7354</v>
      </c>
      <c r="L703" s="5" t="e">
        <f>VLOOKUP(D:D,[1]Munka2!$A:$B,2,FALSE)</f>
        <v>#N/A</v>
      </c>
      <c r="M703" s="5">
        <f>_xlfn.IFNA(Táblázat1[[#This Row],[Kész2020]],0)</f>
        <v>0</v>
      </c>
      <c r="N703" s="5">
        <f>IF(Táblázat1[[#This Row],[Karb./akt.év]]-Táblázat1[[#This Row],[Kész2020_2]]&lt;0,0,Táblázat1[[#This Row],[Karb./akt.év]]-Táblázat1[[#This Row],[Kész2020_2]])</f>
        <v>2</v>
      </c>
    </row>
    <row r="704" spans="1:14" x14ac:dyDescent="0.25">
      <c r="A704" s="17" t="s">
        <v>10</v>
      </c>
      <c r="B704" s="17" t="s">
        <v>567</v>
      </c>
      <c r="C704" s="17" t="s">
        <v>1743</v>
      </c>
      <c r="D704" s="17" t="s">
        <v>2340</v>
      </c>
      <c r="E704" s="17" t="s">
        <v>4192</v>
      </c>
      <c r="F704" s="17" t="s">
        <v>4193</v>
      </c>
      <c r="G704" s="17" t="s">
        <v>5531</v>
      </c>
      <c r="H704" t="s">
        <v>7476</v>
      </c>
      <c r="I704" s="1">
        <v>2</v>
      </c>
      <c r="J704" s="1">
        <v>2</v>
      </c>
      <c r="K704" t="s">
        <v>6635</v>
      </c>
      <c r="L704" s="5" t="e">
        <f>VLOOKUP(D:D,[1]Munka2!$A:$B,2,FALSE)</f>
        <v>#N/A</v>
      </c>
      <c r="M704" s="5">
        <f>_xlfn.IFNA(Táblázat1[[#This Row],[Kész2020]],0)</f>
        <v>0</v>
      </c>
      <c r="N704" s="5">
        <f>IF(Táblázat1[[#This Row],[Karb./akt.év]]-Táblázat1[[#This Row],[Kész2020_2]]&lt;0,0,Táblázat1[[#This Row],[Karb./akt.év]]-Táblázat1[[#This Row],[Kész2020_2]])</f>
        <v>2</v>
      </c>
    </row>
    <row r="705" spans="1:14" x14ac:dyDescent="0.25">
      <c r="A705" s="17" t="s">
        <v>10</v>
      </c>
      <c r="B705" s="17" t="s">
        <v>1283</v>
      </c>
      <c r="C705" s="17" t="s">
        <v>1743</v>
      </c>
      <c r="D705" s="17" t="s">
        <v>3096</v>
      </c>
      <c r="E705" s="17" t="s">
        <v>3773</v>
      </c>
      <c r="F705" s="17" t="s">
        <v>3774</v>
      </c>
      <c r="G705" s="17" t="s">
        <v>6205</v>
      </c>
      <c r="H705" t="s">
        <v>7476</v>
      </c>
      <c r="I705" s="1">
        <v>2</v>
      </c>
      <c r="J705" s="1">
        <v>2</v>
      </c>
      <c r="K705" t="s">
        <v>7014</v>
      </c>
      <c r="L705" s="5" t="e">
        <f>VLOOKUP(D:D,[1]Munka2!$A:$B,2,FALSE)</f>
        <v>#N/A</v>
      </c>
      <c r="M705" s="5">
        <f>_xlfn.IFNA(Táblázat1[[#This Row],[Kész2020]],0)</f>
        <v>0</v>
      </c>
      <c r="N705" s="5">
        <f>IF(Táblázat1[[#This Row],[Karb./akt.év]]-Táblázat1[[#This Row],[Kész2020_2]]&lt;0,0,Táblázat1[[#This Row],[Karb./akt.év]]-Táblázat1[[#This Row],[Kész2020_2]])</f>
        <v>2</v>
      </c>
    </row>
    <row r="706" spans="1:14" hidden="1" x14ac:dyDescent="0.25">
      <c r="A706" s="17" t="s">
        <v>10</v>
      </c>
      <c r="B706" s="17" t="s">
        <v>198</v>
      </c>
      <c r="C706" s="17" t="s">
        <v>1743</v>
      </c>
      <c r="D706" s="17" t="s">
        <v>1939</v>
      </c>
      <c r="E706" s="17" t="s">
        <v>3818</v>
      </c>
      <c r="F706" s="17" t="s">
        <v>3819</v>
      </c>
      <c r="G706" s="17" t="s">
        <v>5168</v>
      </c>
      <c r="H706" t="s">
        <v>7476</v>
      </c>
      <c r="I706" s="1">
        <v>2</v>
      </c>
      <c r="J706" s="1">
        <v>2</v>
      </c>
      <c r="K706" t="s">
        <v>6634</v>
      </c>
      <c r="L706" s="5">
        <f>VLOOKUP(D:D,[1]Munka2!$A:$B,2,FALSE)</f>
        <v>1</v>
      </c>
      <c r="M706" s="5">
        <f>_xlfn.IFNA(Táblázat1[[#This Row],[Kész2020]],0)</f>
        <v>1</v>
      </c>
      <c r="N706" s="5">
        <f>IF(Táblázat1[[#This Row],[Karb./akt.év]]-Táblázat1[[#This Row],[Kész2020_2]]&lt;0,0,Táblázat1[[#This Row],[Karb./akt.év]]-Táblázat1[[#This Row],[Kész2020_2]])</f>
        <v>1</v>
      </c>
    </row>
    <row r="707" spans="1:14" hidden="1" x14ac:dyDescent="0.25">
      <c r="A707" s="17" t="s">
        <v>10</v>
      </c>
      <c r="B707" s="17" t="s">
        <v>1612</v>
      </c>
      <c r="C707" s="17" t="s">
        <v>1743</v>
      </c>
      <c r="D707" s="17" t="s">
        <v>3463</v>
      </c>
      <c r="E707" s="17" t="s">
        <v>3932</v>
      </c>
      <c r="F707" s="17" t="s">
        <v>3933</v>
      </c>
      <c r="G707" s="17" t="s">
        <v>6514</v>
      </c>
      <c r="H707" t="s">
        <v>7476</v>
      </c>
      <c r="I707" s="1">
        <v>2</v>
      </c>
      <c r="J707" s="1">
        <v>2</v>
      </c>
      <c r="K707" t="s">
        <v>6634</v>
      </c>
      <c r="L707" s="5">
        <f>VLOOKUP(D:D,[1]Munka2!$A:$B,2,FALSE)</f>
        <v>1</v>
      </c>
      <c r="M707" s="5">
        <f>_xlfn.IFNA(Táblázat1[[#This Row],[Kész2020]],0)</f>
        <v>1</v>
      </c>
      <c r="N707" s="5">
        <f>IF(Táblázat1[[#This Row],[Karb./akt.év]]-Táblázat1[[#This Row],[Kész2020_2]]&lt;0,0,Táblázat1[[#This Row],[Karb./akt.év]]-Táblázat1[[#This Row],[Kész2020_2]])</f>
        <v>1</v>
      </c>
    </row>
    <row r="708" spans="1:14" hidden="1" x14ac:dyDescent="0.25">
      <c r="A708" s="17" t="s">
        <v>10</v>
      </c>
      <c r="B708" s="17" t="s">
        <v>265</v>
      </c>
      <c r="C708" s="17" t="s">
        <v>1743</v>
      </c>
      <c r="D708" s="17" t="s">
        <v>2012</v>
      </c>
      <c r="E708" s="17" t="s">
        <v>3890</v>
      </c>
      <c r="F708" s="17" t="s">
        <v>3891</v>
      </c>
      <c r="G708" s="17" t="s">
        <v>5232</v>
      </c>
      <c r="H708" t="s">
        <v>7476</v>
      </c>
      <c r="I708" s="1">
        <v>2</v>
      </c>
      <c r="J708" s="1">
        <v>2</v>
      </c>
      <c r="K708" t="s">
        <v>8103</v>
      </c>
      <c r="L708" s="5">
        <f>VLOOKUP(D:D,[1]Munka2!$A:$B,2,FALSE)</f>
        <v>1</v>
      </c>
      <c r="M708" s="5">
        <f>_xlfn.IFNA(Táblázat1[[#This Row],[Kész2020]],0)</f>
        <v>1</v>
      </c>
      <c r="N708" s="5">
        <f>IF(Táblázat1[[#This Row],[Karb./akt.év]]-Táblázat1[[#This Row],[Kész2020_2]]&lt;0,0,Táblázat1[[#This Row],[Karb./akt.év]]-Táblázat1[[#This Row],[Kész2020_2]])</f>
        <v>1</v>
      </c>
    </row>
    <row r="709" spans="1:14" hidden="1" x14ac:dyDescent="0.25">
      <c r="A709" s="17" t="s">
        <v>10</v>
      </c>
      <c r="B709" s="17" t="s">
        <v>1657</v>
      </c>
      <c r="C709" s="17" t="s">
        <v>1743</v>
      </c>
      <c r="D709" s="17" t="s">
        <v>3514</v>
      </c>
      <c r="E709" s="17" t="s">
        <v>4355</v>
      </c>
      <c r="F709" s="17" t="s">
        <v>4356</v>
      </c>
      <c r="G709" s="17" t="s">
        <v>6555</v>
      </c>
      <c r="H709" t="s">
        <v>7476</v>
      </c>
      <c r="I709" s="1">
        <v>2</v>
      </c>
      <c r="J709" s="1">
        <v>2</v>
      </c>
      <c r="K709" t="s">
        <v>6637</v>
      </c>
      <c r="L709" s="5">
        <f>VLOOKUP(D:D,[1]Munka2!$A:$B,2,FALSE)</f>
        <v>1</v>
      </c>
      <c r="M709" s="5">
        <f>_xlfn.IFNA(Táblázat1[[#This Row],[Kész2020]],0)</f>
        <v>1</v>
      </c>
      <c r="N709" s="5">
        <f>IF(Táblázat1[[#This Row],[Karb./akt.év]]-Táblázat1[[#This Row],[Kész2020_2]]&lt;0,0,Táblázat1[[#This Row],[Karb./akt.év]]-Táblázat1[[#This Row],[Kész2020_2]])</f>
        <v>1</v>
      </c>
    </row>
    <row r="710" spans="1:14" hidden="1" x14ac:dyDescent="0.25">
      <c r="A710" s="17" t="s">
        <v>10</v>
      </c>
      <c r="B710" s="17" t="s">
        <v>63</v>
      </c>
      <c r="C710" s="17" t="s">
        <v>1743</v>
      </c>
      <c r="D710" s="17" t="s">
        <v>1802</v>
      </c>
      <c r="E710" s="17" t="s">
        <v>3650</v>
      </c>
      <c r="F710" s="17" t="s">
        <v>3651</v>
      </c>
      <c r="G710" s="17" t="s">
        <v>5038</v>
      </c>
      <c r="H710" t="s">
        <v>7476</v>
      </c>
      <c r="I710" s="1">
        <v>2</v>
      </c>
      <c r="J710" s="1">
        <v>2</v>
      </c>
      <c r="K710" t="s">
        <v>6639</v>
      </c>
      <c r="L710" s="5">
        <f>VLOOKUP(D:D,[1]Munka2!$A:$B,2,FALSE)</f>
        <v>1</v>
      </c>
      <c r="M710" s="5">
        <f>_xlfn.IFNA(Táblázat1[[#This Row],[Kész2020]],0)</f>
        <v>1</v>
      </c>
      <c r="N710" s="5">
        <f>IF(Táblázat1[[#This Row],[Karb./akt.év]]-Táblázat1[[#This Row],[Kész2020_2]]&lt;0,0,Táblázat1[[#This Row],[Karb./akt.év]]-Táblázat1[[#This Row],[Kész2020_2]])</f>
        <v>1</v>
      </c>
    </row>
    <row r="711" spans="1:14" hidden="1" x14ac:dyDescent="0.25">
      <c r="A711" s="17" t="s">
        <v>10</v>
      </c>
      <c r="B711" s="17" t="s">
        <v>275</v>
      </c>
      <c r="C711" s="17" t="s">
        <v>1743</v>
      </c>
      <c r="D711" s="17" t="s">
        <v>2024</v>
      </c>
      <c r="E711" s="17" t="s">
        <v>3775</v>
      </c>
      <c r="F711" s="17" t="s">
        <v>3776</v>
      </c>
      <c r="G711" s="17" t="s">
        <v>5243</v>
      </c>
      <c r="H711" t="s">
        <v>7476</v>
      </c>
      <c r="I711" s="1">
        <v>2</v>
      </c>
      <c r="J711" s="1">
        <v>2</v>
      </c>
      <c r="K711" t="s">
        <v>6634</v>
      </c>
      <c r="L711" s="5">
        <f>VLOOKUP(D:D,[1]Munka2!$A:$B,2,FALSE)</f>
        <v>1</v>
      </c>
      <c r="M711" s="5">
        <f>_xlfn.IFNA(Táblázat1[[#This Row],[Kész2020]],0)</f>
        <v>1</v>
      </c>
      <c r="N711" s="5">
        <f>IF(Táblázat1[[#This Row],[Karb./akt.év]]-Táblázat1[[#This Row],[Kész2020_2]]&lt;0,0,Táblázat1[[#This Row],[Karb./akt.év]]-Táblázat1[[#This Row],[Kész2020_2]])</f>
        <v>1</v>
      </c>
    </row>
    <row r="712" spans="1:14" hidden="1" x14ac:dyDescent="0.25">
      <c r="A712" s="17" t="s">
        <v>10</v>
      </c>
      <c r="B712" s="17" t="s">
        <v>702</v>
      </c>
      <c r="C712" s="17" t="s">
        <v>1743</v>
      </c>
      <c r="D712" s="17" t="s">
        <v>2478</v>
      </c>
      <c r="E712" s="17" t="s">
        <v>4306</v>
      </c>
      <c r="F712" s="17" t="s">
        <v>4307</v>
      </c>
      <c r="G712" s="17" t="s">
        <v>5656</v>
      </c>
      <c r="H712" t="s">
        <v>7476</v>
      </c>
      <c r="I712" s="1">
        <v>2</v>
      </c>
      <c r="J712" s="1">
        <v>2</v>
      </c>
      <c r="K712" t="s">
        <v>6639</v>
      </c>
      <c r="L712" s="5">
        <f>VLOOKUP(D:D,[1]Munka2!$A:$B,2,FALSE)</f>
        <v>1</v>
      </c>
      <c r="M712" s="5">
        <f>_xlfn.IFNA(Táblázat1[[#This Row],[Kész2020]],0)</f>
        <v>1</v>
      </c>
      <c r="N712" s="5">
        <f>IF(Táblázat1[[#This Row],[Karb./akt.év]]-Táblázat1[[#This Row],[Kész2020_2]]&lt;0,0,Táblázat1[[#This Row],[Karb./akt.év]]-Táblázat1[[#This Row],[Kész2020_2]])</f>
        <v>1</v>
      </c>
    </row>
    <row r="713" spans="1:14" hidden="1" x14ac:dyDescent="0.25">
      <c r="A713" s="17" t="s">
        <v>10</v>
      </c>
      <c r="B713" s="17" t="s">
        <v>183</v>
      </c>
      <c r="C713" s="17" t="s">
        <v>1743</v>
      </c>
      <c r="D713" s="17" t="s">
        <v>1924</v>
      </c>
      <c r="E713" s="17" t="s">
        <v>3797</v>
      </c>
      <c r="F713" s="17" t="s">
        <v>3598</v>
      </c>
      <c r="G713" s="17" t="s">
        <v>5154</v>
      </c>
      <c r="H713" t="s">
        <v>7476</v>
      </c>
      <c r="I713" s="1">
        <v>2</v>
      </c>
      <c r="J713" s="1">
        <v>2</v>
      </c>
      <c r="K713" t="s">
        <v>6641</v>
      </c>
      <c r="L713" s="5">
        <f>VLOOKUP(D:D,[1]Munka2!$A:$B,2,FALSE)</f>
        <v>1</v>
      </c>
      <c r="M713" s="5">
        <f>_xlfn.IFNA(Táblázat1[[#This Row],[Kész2020]],0)</f>
        <v>1</v>
      </c>
      <c r="N713" s="5">
        <f>IF(Táblázat1[[#This Row],[Karb./akt.év]]-Táblázat1[[#This Row],[Kész2020_2]]&lt;0,0,Táblázat1[[#This Row],[Karb./akt.év]]-Táblázat1[[#This Row],[Kész2020_2]])</f>
        <v>1</v>
      </c>
    </row>
    <row r="714" spans="1:14" hidden="1" x14ac:dyDescent="0.25">
      <c r="A714" s="17" t="s">
        <v>10</v>
      </c>
      <c r="B714" s="17" t="s">
        <v>420</v>
      </c>
      <c r="C714" s="17" t="s">
        <v>1743</v>
      </c>
      <c r="D714" s="17" t="s">
        <v>2175</v>
      </c>
      <c r="E714" s="17" t="s">
        <v>4037</v>
      </c>
      <c r="F714" s="17" t="s">
        <v>4038</v>
      </c>
      <c r="G714" s="17" t="s">
        <v>5385</v>
      </c>
      <c r="H714" t="s">
        <v>7476</v>
      </c>
      <c r="I714" s="1">
        <v>2</v>
      </c>
      <c r="J714" s="1">
        <v>2</v>
      </c>
      <c r="K714" t="s">
        <v>6642</v>
      </c>
      <c r="L714" s="5">
        <f>VLOOKUP(D:D,[1]Munka2!$A:$B,2,FALSE)</f>
        <v>1</v>
      </c>
      <c r="M714" s="5">
        <f>_xlfn.IFNA(Táblázat1[[#This Row],[Kész2020]],0)</f>
        <v>1</v>
      </c>
      <c r="N714" s="5">
        <f>IF(Táblázat1[[#This Row],[Karb./akt.év]]-Táblázat1[[#This Row],[Kész2020_2]]&lt;0,0,Táblázat1[[#This Row],[Karb./akt.év]]-Táblázat1[[#This Row],[Kész2020_2]])</f>
        <v>1</v>
      </c>
    </row>
    <row r="715" spans="1:14" hidden="1" x14ac:dyDescent="0.25">
      <c r="A715" s="17" t="s">
        <v>10</v>
      </c>
      <c r="B715" s="17" t="s">
        <v>570</v>
      </c>
      <c r="C715" s="17" t="s">
        <v>1743</v>
      </c>
      <c r="D715" s="17" t="s">
        <v>2343</v>
      </c>
      <c r="E715" s="17" t="s">
        <v>4198</v>
      </c>
      <c r="F715" s="17" t="s">
        <v>4199</v>
      </c>
      <c r="G715" s="17" t="s">
        <v>5535</v>
      </c>
      <c r="H715" t="s">
        <v>7476</v>
      </c>
      <c r="I715" s="1">
        <v>2</v>
      </c>
      <c r="J715" s="1">
        <v>2</v>
      </c>
      <c r="K715" t="s">
        <v>6634</v>
      </c>
      <c r="L715" s="5">
        <f>VLOOKUP(D:D,[1]Munka2!$A:$B,2,FALSE)</f>
        <v>1</v>
      </c>
      <c r="M715" s="5">
        <f>_xlfn.IFNA(Táblázat1[[#This Row],[Kész2020]],0)</f>
        <v>1</v>
      </c>
      <c r="N715" s="5">
        <f>IF(Táblázat1[[#This Row],[Karb./akt.év]]-Táblázat1[[#This Row],[Kész2020_2]]&lt;0,0,Táblázat1[[#This Row],[Karb./akt.év]]-Táblázat1[[#This Row],[Kész2020_2]])</f>
        <v>1</v>
      </c>
    </row>
    <row r="716" spans="1:14" hidden="1" x14ac:dyDescent="0.25">
      <c r="A716" s="17" t="s">
        <v>10</v>
      </c>
      <c r="B716" s="17" t="s">
        <v>7355</v>
      </c>
      <c r="C716" s="17" t="s">
        <v>1736</v>
      </c>
      <c r="D716" s="17" t="s">
        <v>7312</v>
      </c>
      <c r="E716" s="17" t="s">
        <v>3609</v>
      </c>
      <c r="F716" s="17" t="s">
        <v>3610</v>
      </c>
      <c r="G716" s="17" t="s">
        <v>7374</v>
      </c>
      <c r="H716" t="s">
        <v>7476</v>
      </c>
      <c r="I716" s="1">
        <v>2</v>
      </c>
      <c r="J716" s="1">
        <v>2</v>
      </c>
      <c r="K716" t="s">
        <v>6784</v>
      </c>
      <c r="L716" s="5">
        <f>VLOOKUP(D:D,[1]Munka2!$A:$B,2,FALSE)</f>
        <v>1</v>
      </c>
      <c r="M716" s="5">
        <f>_xlfn.IFNA(Táblázat1[[#This Row],[Kész2020]],0)</f>
        <v>1</v>
      </c>
      <c r="N716" s="5">
        <f>IF(Táblázat1[[#This Row],[Karb./akt.év]]-Táblázat1[[#This Row],[Kész2020_2]]&lt;0,0,Táblázat1[[#This Row],[Karb./akt.év]]-Táblázat1[[#This Row],[Kész2020_2]])</f>
        <v>1</v>
      </c>
    </row>
    <row r="717" spans="1:14" x14ac:dyDescent="0.25">
      <c r="A717" s="17" t="s">
        <v>10</v>
      </c>
      <c r="B717" s="17" t="s">
        <v>7274</v>
      </c>
      <c r="C717" s="17" t="s">
        <v>1743</v>
      </c>
      <c r="D717" s="17" t="s">
        <v>2498</v>
      </c>
      <c r="E717" s="17" t="s">
        <v>3729</v>
      </c>
      <c r="F717" s="17" t="s">
        <v>3598</v>
      </c>
      <c r="G717" s="17" t="s">
        <v>6033</v>
      </c>
      <c r="H717" t="s">
        <v>7476</v>
      </c>
      <c r="I717" s="1">
        <v>2</v>
      </c>
      <c r="J717" s="1">
        <v>2</v>
      </c>
      <c r="K717" t="s">
        <v>8101</v>
      </c>
      <c r="L717" s="5" t="e">
        <f>VLOOKUP(D:D,[1]Munka2!$A:$B,2,FALSE)</f>
        <v>#N/A</v>
      </c>
      <c r="M717" s="5">
        <f>_xlfn.IFNA(Táblázat1[[#This Row],[Kész2020]],0)</f>
        <v>0</v>
      </c>
      <c r="N717" s="5">
        <f>IF(Táblázat1[[#This Row],[Karb./akt.év]]-Táblázat1[[#This Row],[Kész2020_2]]&lt;0,0,Táblázat1[[#This Row],[Karb./akt.év]]-Táblázat1[[#This Row],[Kész2020_2]])</f>
        <v>2</v>
      </c>
    </row>
    <row r="718" spans="1:14" hidden="1" x14ac:dyDescent="0.25">
      <c r="A718" s="17" t="s">
        <v>10</v>
      </c>
      <c r="B718" s="17" t="s">
        <v>7275</v>
      </c>
      <c r="C718" s="17" t="s">
        <v>1742</v>
      </c>
      <c r="D718" s="17" t="s">
        <v>7305</v>
      </c>
      <c r="E718" s="17" t="s">
        <v>3834</v>
      </c>
      <c r="F718" s="17" t="s">
        <v>3835</v>
      </c>
      <c r="G718" s="17" t="s">
        <v>6553</v>
      </c>
      <c r="H718" t="s">
        <v>7476</v>
      </c>
      <c r="I718" s="1">
        <v>2</v>
      </c>
      <c r="J718" s="1">
        <v>2</v>
      </c>
      <c r="K718" t="s">
        <v>6636</v>
      </c>
      <c r="L718" s="5">
        <f>VLOOKUP(D:D,[1]Munka2!$A:$B,2,FALSE)</f>
        <v>1</v>
      </c>
      <c r="M718" s="5">
        <f>_xlfn.IFNA(Táblázat1[[#This Row],[Kész2020]],0)</f>
        <v>1</v>
      </c>
      <c r="N718" s="5">
        <f>IF(Táblázat1[[#This Row],[Karb./akt.év]]-Táblázat1[[#This Row],[Kész2020_2]]&lt;0,0,Táblázat1[[#This Row],[Karb./akt.év]]-Táblázat1[[#This Row],[Kész2020_2]])</f>
        <v>1</v>
      </c>
    </row>
    <row r="719" spans="1:14" x14ac:dyDescent="0.25">
      <c r="A719" s="17" t="s">
        <v>10</v>
      </c>
      <c r="B719" s="17" t="s">
        <v>7276</v>
      </c>
      <c r="C719" s="17" t="s">
        <v>1742</v>
      </c>
      <c r="D719" s="17" t="s">
        <v>7306</v>
      </c>
      <c r="E719" s="17" t="s">
        <v>4009</v>
      </c>
      <c r="F719" s="17" t="s">
        <v>4010</v>
      </c>
      <c r="G719" s="17" t="s">
        <v>5344</v>
      </c>
      <c r="H719" t="s">
        <v>7476</v>
      </c>
      <c r="I719" s="1">
        <v>2</v>
      </c>
      <c r="J719" s="1">
        <v>2</v>
      </c>
      <c r="K719" t="s">
        <v>6638</v>
      </c>
      <c r="L719" s="5" t="e">
        <f>VLOOKUP(D:D,[1]Munka2!$A:$B,2,FALSE)</f>
        <v>#N/A</v>
      </c>
      <c r="M719" s="5">
        <f>_xlfn.IFNA(Táblázat1[[#This Row],[Kész2020]],0)</f>
        <v>0</v>
      </c>
      <c r="N719" s="5">
        <f>IF(Táblázat1[[#This Row],[Karb./akt.év]]-Táblázat1[[#This Row],[Kész2020_2]]&lt;0,0,Táblázat1[[#This Row],[Karb./akt.év]]-Táblázat1[[#This Row],[Kész2020_2]])</f>
        <v>2</v>
      </c>
    </row>
    <row r="720" spans="1:14" hidden="1" x14ac:dyDescent="0.25">
      <c r="A720" s="17" t="s">
        <v>10</v>
      </c>
      <c r="B720" s="17" t="s">
        <v>7277</v>
      </c>
      <c r="C720" s="17" t="s">
        <v>1743</v>
      </c>
      <c r="D720" s="17" t="s">
        <v>3206</v>
      </c>
      <c r="E720" s="17" t="s">
        <v>4061</v>
      </c>
      <c r="F720" s="17" t="s">
        <v>4062</v>
      </c>
      <c r="G720" s="17" t="s">
        <v>6015</v>
      </c>
      <c r="H720" t="s">
        <v>7476</v>
      </c>
      <c r="I720" s="1">
        <v>2</v>
      </c>
      <c r="J720" s="1">
        <v>2</v>
      </c>
      <c r="K720" t="s">
        <v>6636</v>
      </c>
      <c r="L720" s="5">
        <f>VLOOKUP(D:D,[1]Munka2!$A:$B,2,FALSE)</f>
        <v>1</v>
      </c>
      <c r="M720" s="5">
        <f>_xlfn.IFNA(Táblázat1[[#This Row],[Kész2020]],0)</f>
        <v>1</v>
      </c>
      <c r="N720" s="5">
        <f>IF(Táblázat1[[#This Row],[Karb./akt.év]]-Táblázat1[[#This Row],[Kész2020_2]]&lt;0,0,Táblázat1[[#This Row],[Karb./akt.év]]-Táblázat1[[#This Row],[Kész2020_2]])</f>
        <v>1</v>
      </c>
    </row>
    <row r="721" spans="1:14" x14ac:dyDescent="0.25">
      <c r="A721" s="17" t="s">
        <v>10</v>
      </c>
      <c r="B721" s="17" t="s">
        <v>187</v>
      </c>
      <c r="C721" s="17" t="s">
        <v>1743</v>
      </c>
      <c r="D721" s="17" t="s">
        <v>1928</v>
      </c>
      <c r="E721" s="17" t="s">
        <v>3802</v>
      </c>
      <c r="F721" s="17" t="s">
        <v>3803</v>
      </c>
      <c r="G721" s="17" t="s">
        <v>5157</v>
      </c>
      <c r="H721" t="s">
        <v>7476</v>
      </c>
      <c r="I721" s="1">
        <v>2</v>
      </c>
      <c r="J721" s="1">
        <v>2</v>
      </c>
      <c r="K721" t="s">
        <v>6635</v>
      </c>
      <c r="L721" s="5" t="e">
        <f>VLOOKUP(D:D,[1]Munka2!$A:$B,2,FALSE)</f>
        <v>#N/A</v>
      </c>
      <c r="M721" s="5">
        <f>_xlfn.IFNA(Táblázat1[[#This Row],[Kész2020]],0)</f>
        <v>0</v>
      </c>
      <c r="N721" s="5">
        <f>IF(Táblázat1[[#This Row],[Karb./akt.év]]-Táblázat1[[#This Row],[Kész2020_2]]&lt;0,0,Táblázat1[[#This Row],[Karb./akt.év]]-Táblázat1[[#This Row],[Kész2020_2]])</f>
        <v>2</v>
      </c>
    </row>
    <row r="722" spans="1:14" hidden="1" x14ac:dyDescent="0.25">
      <c r="A722" s="17" t="s">
        <v>10</v>
      </c>
      <c r="B722" s="17" t="s">
        <v>1218</v>
      </c>
      <c r="C722" s="17" t="s">
        <v>1743</v>
      </c>
      <c r="D722" s="17" t="s">
        <v>3025</v>
      </c>
      <c r="E722" s="17" t="s">
        <v>3605</v>
      </c>
      <c r="F722" s="17" t="s">
        <v>3606</v>
      </c>
      <c r="G722" s="17" t="s">
        <v>6147</v>
      </c>
      <c r="H722" t="s">
        <v>7476</v>
      </c>
      <c r="I722" s="1">
        <v>2</v>
      </c>
      <c r="J722" s="1">
        <v>2</v>
      </c>
      <c r="K722" t="s">
        <v>6635</v>
      </c>
      <c r="L722" s="5">
        <f>VLOOKUP(D:D,[1]Munka2!$A:$B,2,FALSE)</f>
        <v>1</v>
      </c>
      <c r="M722" s="5">
        <f>_xlfn.IFNA(Táblázat1[[#This Row],[Kész2020]],0)</f>
        <v>1</v>
      </c>
      <c r="N722" s="5">
        <f>IF(Táblázat1[[#This Row],[Karb./akt.év]]-Táblázat1[[#This Row],[Kész2020_2]]&lt;0,0,Táblázat1[[#This Row],[Karb./akt.év]]-Táblázat1[[#This Row],[Kész2020_2]])</f>
        <v>1</v>
      </c>
    </row>
    <row r="723" spans="1:14" hidden="1" x14ac:dyDescent="0.25">
      <c r="A723" s="17" t="s">
        <v>10</v>
      </c>
      <c r="B723" s="17" t="s">
        <v>149</v>
      </c>
      <c r="C723" s="17" t="s">
        <v>1743</v>
      </c>
      <c r="D723" s="17" t="s">
        <v>1889</v>
      </c>
      <c r="E723" s="17" t="s">
        <v>3749</v>
      </c>
      <c r="F723" s="17" t="s">
        <v>3750</v>
      </c>
      <c r="G723" s="17" t="s">
        <v>5121</v>
      </c>
      <c r="H723" t="s">
        <v>7476</v>
      </c>
      <c r="I723" s="1">
        <v>2</v>
      </c>
      <c r="J723" s="1">
        <v>2</v>
      </c>
      <c r="K723" t="s">
        <v>8103</v>
      </c>
      <c r="L723" s="5">
        <f>VLOOKUP(D:D,[1]Munka2!$A:$B,2,FALSE)</f>
        <v>1</v>
      </c>
      <c r="M723" s="5">
        <f>_xlfn.IFNA(Táblázat1[[#This Row],[Kész2020]],0)</f>
        <v>1</v>
      </c>
      <c r="N723" s="5">
        <f>IF(Táblázat1[[#This Row],[Karb./akt.év]]-Táblázat1[[#This Row],[Kész2020_2]]&lt;0,0,Táblázat1[[#This Row],[Karb./akt.év]]-Táblázat1[[#This Row],[Kész2020_2]])</f>
        <v>1</v>
      </c>
    </row>
    <row r="724" spans="1:14" x14ac:dyDescent="0.25">
      <c r="A724" s="17" t="s">
        <v>10</v>
      </c>
      <c r="B724" s="17" t="s">
        <v>264</v>
      </c>
      <c r="C724" s="17" t="s">
        <v>1743</v>
      </c>
      <c r="D724" s="17" t="s">
        <v>2011</v>
      </c>
      <c r="E724" s="17" t="s">
        <v>3888</v>
      </c>
      <c r="F724" s="17" t="s">
        <v>3889</v>
      </c>
      <c r="G724" s="17" t="s">
        <v>5231</v>
      </c>
      <c r="H724" t="s">
        <v>7476</v>
      </c>
      <c r="I724" s="1">
        <v>2</v>
      </c>
      <c r="J724" s="1">
        <v>2</v>
      </c>
      <c r="K724" t="s">
        <v>7354</v>
      </c>
      <c r="L724" s="5" t="e">
        <f>VLOOKUP(D:D,[1]Munka2!$A:$B,2,FALSE)</f>
        <v>#N/A</v>
      </c>
      <c r="M724" s="5">
        <f>_xlfn.IFNA(Táblázat1[[#This Row],[Kész2020]],0)</f>
        <v>0</v>
      </c>
      <c r="N724" s="5">
        <f>IF(Táblázat1[[#This Row],[Karb./akt.év]]-Táblázat1[[#This Row],[Kész2020_2]]&lt;0,0,Táblázat1[[#This Row],[Karb./akt.év]]-Táblázat1[[#This Row],[Kész2020_2]])</f>
        <v>2</v>
      </c>
    </row>
    <row r="725" spans="1:14" hidden="1" x14ac:dyDescent="0.25">
      <c r="A725" s="17" t="s">
        <v>10</v>
      </c>
      <c r="B725" s="17" t="s">
        <v>1329</v>
      </c>
      <c r="C725" s="17" t="s">
        <v>1743</v>
      </c>
      <c r="D725" s="17" t="s">
        <v>3144</v>
      </c>
      <c r="E725" s="17" t="s">
        <v>4818</v>
      </c>
      <c r="F725" s="17" t="s">
        <v>4819</v>
      </c>
      <c r="G725" s="17" t="s">
        <v>6249</v>
      </c>
      <c r="H725" t="s">
        <v>7476</v>
      </c>
      <c r="I725" s="1">
        <v>2</v>
      </c>
      <c r="J725" s="1">
        <v>2</v>
      </c>
      <c r="K725" t="s">
        <v>8103</v>
      </c>
      <c r="L725" s="5">
        <f>VLOOKUP(D:D,[1]Munka2!$A:$B,2,FALSE)</f>
        <v>1</v>
      </c>
      <c r="M725" s="5">
        <f>_xlfn.IFNA(Táblázat1[[#This Row],[Kész2020]],0)</f>
        <v>1</v>
      </c>
      <c r="N725" s="5">
        <f>IF(Táblázat1[[#This Row],[Karb./akt.év]]-Táblázat1[[#This Row],[Kész2020_2]]&lt;0,0,Táblázat1[[#This Row],[Karb./akt.év]]-Táblázat1[[#This Row],[Kész2020_2]])</f>
        <v>1</v>
      </c>
    </row>
    <row r="726" spans="1:14" hidden="1" x14ac:dyDescent="0.25">
      <c r="A726" s="17" t="s">
        <v>10</v>
      </c>
      <c r="B726" s="17" t="s">
        <v>1314</v>
      </c>
      <c r="C726" s="17" t="s">
        <v>1743</v>
      </c>
      <c r="D726" s="17" t="s">
        <v>3129</v>
      </c>
      <c r="E726" s="17" t="s">
        <v>4810</v>
      </c>
      <c r="F726" s="17" t="s">
        <v>4811</v>
      </c>
      <c r="G726" s="17" t="s">
        <v>6233</v>
      </c>
      <c r="H726" t="s">
        <v>7476</v>
      </c>
      <c r="I726" s="1">
        <v>2</v>
      </c>
      <c r="J726" s="1">
        <v>2</v>
      </c>
      <c r="K726" t="s">
        <v>6636</v>
      </c>
      <c r="L726" s="5">
        <f>VLOOKUP(D:D,[1]Munka2!$A:$B,2,FALSE)</f>
        <v>1</v>
      </c>
      <c r="M726" s="5">
        <f>_xlfn.IFNA(Táblázat1[[#This Row],[Kész2020]],0)</f>
        <v>1</v>
      </c>
      <c r="N726" s="5">
        <f>IF(Táblázat1[[#This Row],[Karb./akt.év]]-Táblázat1[[#This Row],[Kész2020_2]]&lt;0,0,Táblázat1[[#This Row],[Karb./akt.év]]-Táblázat1[[#This Row],[Kész2020_2]])</f>
        <v>1</v>
      </c>
    </row>
    <row r="727" spans="1:14" hidden="1" x14ac:dyDescent="0.25">
      <c r="A727" s="17" t="s">
        <v>10</v>
      </c>
      <c r="B727" s="17" t="s">
        <v>747</v>
      </c>
      <c r="C727" s="17" t="s">
        <v>1743</v>
      </c>
      <c r="D727" s="17" t="s">
        <v>2523</v>
      </c>
      <c r="E727" s="17" t="s">
        <v>4325</v>
      </c>
      <c r="F727" s="17" t="s">
        <v>4326</v>
      </c>
      <c r="G727" s="17" t="s">
        <v>5692</v>
      </c>
      <c r="H727" t="s">
        <v>7476</v>
      </c>
      <c r="I727" s="1">
        <v>2</v>
      </c>
      <c r="J727" s="1">
        <v>2</v>
      </c>
      <c r="K727" t="s">
        <v>6640</v>
      </c>
      <c r="L727" s="5">
        <f>VLOOKUP(D:D,[1]Munka2!$A:$B,2,FALSE)</f>
        <v>1</v>
      </c>
      <c r="M727" s="5">
        <f>_xlfn.IFNA(Táblázat1[[#This Row],[Kész2020]],0)</f>
        <v>1</v>
      </c>
      <c r="N727" s="5">
        <f>IF(Táblázat1[[#This Row],[Karb./akt.év]]-Táblázat1[[#This Row],[Kész2020_2]]&lt;0,0,Táblázat1[[#This Row],[Karb./akt.év]]-Táblázat1[[#This Row],[Kész2020_2]])</f>
        <v>1</v>
      </c>
    </row>
    <row r="728" spans="1:14" hidden="1" x14ac:dyDescent="0.25">
      <c r="A728" s="17" t="s">
        <v>10</v>
      </c>
      <c r="B728" s="17" t="s">
        <v>7675</v>
      </c>
      <c r="C728" s="17" t="s">
        <v>1742</v>
      </c>
      <c r="D728" s="17" t="s">
        <v>7676</v>
      </c>
      <c r="E728" s="17" t="s">
        <v>3740</v>
      </c>
      <c r="F728" s="17" t="s">
        <v>3679</v>
      </c>
      <c r="G728" s="17" t="s">
        <v>6500</v>
      </c>
      <c r="H728" t="s">
        <v>7476</v>
      </c>
      <c r="I728" s="1">
        <v>2</v>
      </c>
      <c r="J728" s="1">
        <v>2</v>
      </c>
      <c r="K728" t="s">
        <v>6635</v>
      </c>
      <c r="L728" s="5">
        <f>VLOOKUP(D:D,[1]Munka2!$A:$B,2,FALSE)</f>
        <v>1</v>
      </c>
      <c r="M728" s="5">
        <f>_xlfn.IFNA(Táblázat1[[#This Row],[Kész2020]],0)</f>
        <v>1</v>
      </c>
      <c r="N728" s="5">
        <f>IF(Táblázat1[[#This Row],[Karb./akt.év]]-Táblázat1[[#This Row],[Kész2020_2]]&lt;0,0,Táblázat1[[#This Row],[Karb./akt.év]]-Táblázat1[[#This Row],[Kész2020_2]])</f>
        <v>1</v>
      </c>
    </row>
    <row r="729" spans="1:14" x14ac:dyDescent="0.25">
      <c r="A729" s="17" t="s">
        <v>10</v>
      </c>
      <c r="B729" s="17" t="s">
        <v>7356</v>
      </c>
      <c r="C729" s="17" t="s">
        <v>1742</v>
      </c>
      <c r="D729" s="17" t="s">
        <v>7365</v>
      </c>
      <c r="E729" s="17" t="s">
        <v>3945</v>
      </c>
      <c r="F729" s="17" t="s">
        <v>3946</v>
      </c>
      <c r="G729" s="17" t="s">
        <v>5287</v>
      </c>
      <c r="H729" t="s">
        <v>7476</v>
      </c>
      <c r="I729" s="1">
        <v>2</v>
      </c>
      <c r="J729" s="1">
        <v>2</v>
      </c>
      <c r="K729" t="s">
        <v>8103</v>
      </c>
      <c r="L729" s="5" t="e">
        <f>VLOOKUP(D:D,[1]Munka2!$A:$B,2,FALSE)</f>
        <v>#N/A</v>
      </c>
      <c r="M729" s="5">
        <f>_xlfn.IFNA(Táblázat1[[#This Row],[Kész2020]],0)</f>
        <v>0</v>
      </c>
      <c r="N729" s="5">
        <f>IF(Táblázat1[[#This Row],[Karb./akt.év]]-Táblázat1[[#This Row],[Kész2020_2]]&lt;0,0,Táblázat1[[#This Row],[Karb./akt.év]]-Táblázat1[[#This Row],[Kész2020_2]])</f>
        <v>2</v>
      </c>
    </row>
    <row r="730" spans="1:14" hidden="1" x14ac:dyDescent="0.25">
      <c r="A730" s="17" t="s">
        <v>10</v>
      </c>
      <c r="B730" s="17" t="s">
        <v>1157</v>
      </c>
      <c r="C730" s="17" t="s">
        <v>1736</v>
      </c>
      <c r="D730" s="17" t="s">
        <v>2955</v>
      </c>
      <c r="E730" s="17" t="s">
        <v>4662</v>
      </c>
      <c r="F730" s="17" t="s">
        <v>4663</v>
      </c>
      <c r="G730" s="17" t="s">
        <v>6084</v>
      </c>
      <c r="H730" t="s">
        <v>7476</v>
      </c>
      <c r="I730" s="1">
        <v>2</v>
      </c>
      <c r="J730" s="1">
        <v>2</v>
      </c>
      <c r="K730" t="s">
        <v>6634</v>
      </c>
      <c r="L730" s="5">
        <f>VLOOKUP(D:D,[1]Munka2!$A:$B,2,FALSE)</f>
        <v>1</v>
      </c>
      <c r="M730" s="5">
        <f>_xlfn.IFNA(Táblázat1[[#This Row],[Kész2020]],0)</f>
        <v>1</v>
      </c>
      <c r="N730" s="5">
        <f>IF(Táblázat1[[#This Row],[Karb./akt.év]]-Táblázat1[[#This Row],[Kész2020_2]]&lt;0,0,Táblázat1[[#This Row],[Karb./akt.év]]-Táblázat1[[#This Row],[Kész2020_2]])</f>
        <v>1</v>
      </c>
    </row>
    <row r="731" spans="1:14" hidden="1" x14ac:dyDescent="0.25">
      <c r="A731" s="17" t="s">
        <v>10</v>
      </c>
      <c r="B731" s="17" t="s">
        <v>805</v>
      </c>
      <c r="C731" s="17" t="s">
        <v>1743</v>
      </c>
      <c r="D731" s="17" t="s">
        <v>2582</v>
      </c>
      <c r="E731" s="17" t="s">
        <v>4372</v>
      </c>
      <c r="F731" s="17" t="s">
        <v>4373</v>
      </c>
      <c r="G731" s="17" t="s">
        <v>5746</v>
      </c>
      <c r="H731" t="s">
        <v>7476</v>
      </c>
      <c r="I731" s="1">
        <v>2</v>
      </c>
      <c r="J731" s="1">
        <v>2</v>
      </c>
      <c r="K731" t="s">
        <v>7354</v>
      </c>
      <c r="L731" s="5">
        <f>VLOOKUP(D:D,[1]Munka2!$A:$B,2,FALSE)</f>
        <v>1</v>
      </c>
      <c r="M731" s="5">
        <f>_xlfn.IFNA(Táblázat1[[#This Row],[Kész2020]],0)</f>
        <v>1</v>
      </c>
      <c r="N731" s="5">
        <f>IF(Táblázat1[[#This Row],[Karb./akt.év]]-Táblázat1[[#This Row],[Kész2020_2]]&lt;0,0,Táblázat1[[#This Row],[Karb./akt.év]]-Táblázat1[[#This Row],[Kész2020_2]])</f>
        <v>1</v>
      </c>
    </row>
    <row r="732" spans="1:14" hidden="1" x14ac:dyDescent="0.25">
      <c r="A732" s="17" t="s">
        <v>10</v>
      </c>
      <c r="B732" s="17" t="s">
        <v>1522</v>
      </c>
      <c r="C732" s="17" t="s">
        <v>1743</v>
      </c>
      <c r="D732" s="17" t="s">
        <v>3364</v>
      </c>
      <c r="E732" s="17" t="s">
        <v>4066</v>
      </c>
      <c r="F732" s="17" t="s">
        <v>3681</v>
      </c>
      <c r="G732" s="17" t="s">
        <v>6429</v>
      </c>
      <c r="H732" t="s">
        <v>7476</v>
      </c>
      <c r="I732" s="1">
        <v>2</v>
      </c>
      <c r="J732" s="1">
        <v>2</v>
      </c>
      <c r="K732" t="s">
        <v>6637</v>
      </c>
      <c r="L732" s="5">
        <f>VLOOKUP(D:D,[1]Munka2!$A:$B,2,FALSE)</f>
        <v>1</v>
      </c>
      <c r="M732" s="5">
        <f>_xlfn.IFNA(Táblázat1[[#This Row],[Kész2020]],0)</f>
        <v>1</v>
      </c>
      <c r="N732" s="5">
        <f>IF(Táblázat1[[#This Row],[Karb./akt.év]]-Táblázat1[[#This Row],[Kész2020_2]]&lt;0,0,Táblázat1[[#This Row],[Karb./akt.év]]-Táblázat1[[#This Row],[Kész2020_2]])</f>
        <v>1</v>
      </c>
    </row>
    <row r="733" spans="1:14" x14ac:dyDescent="0.25">
      <c r="A733" s="17" t="s">
        <v>10</v>
      </c>
      <c r="B733" s="17" t="s">
        <v>217</v>
      </c>
      <c r="C733" s="17" t="s">
        <v>1742</v>
      </c>
      <c r="D733" s="17" t="s">
        <v>1959</v>
      </c>
      <c r="E733" s="17" t="s">
        <v>3619</v>
      </c>
      <c r="F733" s="17" t="s">
        <v>3620</v>
      </c>
      <c r="G733" s="17" t="s">
        <v>5185</v>
      </c>
      <c r="H733" t="s">
        <v>7476</v>
      </c>
      <c r="I733" s="1">
        <v>2</v>
      </c>
      <c r="J733" s="1">
        <v>2</v>
      </c>
      <c r="K733" t="s">
        <v>6642</v>
      </c>
      <c r="L733" s="5" t="e">
        <f>VLOOKUP(D:D,[1]Munka2!$A:$B,2,FALSE)</f>
        <v>#N/A</v>
      </c>
      <c r="M733" s="5">
        <f>_xlfn.IFNA(Táblázat1[[#This Row],[Kész2020]],0)</f>
        <v>0</v>
      </c>
      <c r="N733" s="5">
        <f>IF(Táblázat1[[#This Row],[Karb./akt.év]]-Táblázat1[[#This Row],[Kész2020_2]]&lt;0,0,Táblázat1[[#This Row],[Karb./akt.év]]-Táblázat1[[#This Row],[Kész2020_2]])</f>
        <v>2</v>
      </c>
    </row>
    <row r="734" spans="1:14" hidden="1" x14ac:dyDescent="0.25">
      <c r="A734" s="17" t="s">
        <v>10</v>
      </c>
      <c r="B734" s="17" t="s">
        <v>994</v>
      </c>
      <c r="C734" s="17" t="s">
        <v>1742</v>
      </c>
      <c r="D734" s="17" t="s">
        <v>2783</v>
      </c>
      <c r="E734" s="17" t="s">
        <v>3792</v>
      </c>
      <c r="F734" s="17" t="s">
        <v>3793</v>
      </c>
      <c r="G734" s="17" t="s">
        <v>5923</v>
      </c>
      <c r="H734" t="s">
        <v>7476</v>
      </c>
      <c r="I734" s="1">
        <v>2</v>
      </c>
      <c r="J734" s="1">
        <v>2</v>
      </c>
      <c r="K734" t="s">
        <v>6639</v>
      </c>
      <c r="L734" s="5">
        <f>VLOOKUP(D:D,[1]Munka2!$A:$B,2,FALSE)</f>
        <v>1</v>
      </c>
      <c r="M734" s="5">
        <f>_xlfn.IFNA(Táblázat1[[#This Row],[Kész2020]],0)</f>
        <v>1</v>
      </c>
      <c r="N734" s="5">
        <f>IF(Táblázat1[[#This Row],[Karb./akt.év]]-Táblázat1[[#This Row],[Kész2020_2]]&lt;0,0,Táblázat1[[#This Row],[Karb./akt.év]]-Táblázat1[[#This Row],[Kész2020_2]])</f>
        <v>1</v>
      </c>
    </row>
    <row r="735" spans="1:14" hidden="1" x14ac:dyDescent="0.25">
      <c r="A735" s="17" t="s">
        <v>10</v>
      </c>
      <c r="B735" s="17" t="s">
        <v>993</v>
      </c>
      <c r="C735" s="17" t="s">
        <v>1742</v>
      </c>
      <c r="D735" s="17" t="s">
        <v>2782</v>
      </c>
      <c r="E735" s="17" t="s">
        <v>3816</v>
      </c>
      <c r="F735" s="17" t="s">
        <v>3598</v>
      </c>
      <c r="G735" s="17" t="s">
        <v>5922</v>
      </c>
      <c r="H735" t="s">
        <v>7476</v>
      </c>
      <c r="I735" s="1">
        <v>2</v>
      </c>
      <c r="J735" s="1">
        <v>2</v>
      </c>
      <c r="K735" t="s">
        <v>6785</v>
      </c>
      <c r="L735" s="5">
        <f>VLOOKUP(D:D,[1]Munka2!$A:$B,2,FALSE)</f>
        <v>1</v>
      </c>
      <c r="M735" s="5">
        <f>_xlfn.IFNA(Táblázat1[[#This Row],[Kész2020]],0)</f>
        <v>1</v>
      </c>
      <c r="N735" s="5">
        <f>IF(Táblázat1[[#This Row],[Karb./akt.év]]-Táblázat1[[#This Row],[Kész2020_2]]&lt;0,0,Táblázat1[[#This Row],[Karb./akt.év]]-Táblázat1[[#This Row],[Kész2020_2]])</f>
        <v>1</v>
      </c>
    </row>
    <row r="736" spans="1:14" hidden="1" x14ac:dyDescent="0.25">
      <c r="A736" s="17" t="s">
        <v>10</v>
      </c>
      <c r="B736" s="17" t="s">
        <v>992</v>
      </c>
      <c r="C736" s="17" t="s">
        <v>1742</v>
      </c>
      <c r="D736" s="17" t="s">
        <v>2781</v>
      </c>
      <c r="E736" s="17" t="s">
        <v>3816</v>
      </c>
      <c r="F736" s="17" t="s">
        <v>3598</v>
      </c>
      <c r="G736" s="17" t="s">
        <v>5922</v>
      </c>
      <c r="H736" t="s">
        <v>7476</v>
      </c>
      <c r="I736" s="1">
        <v>2</v>
      </c>
      <c r="J736" s="1">
        <v>2</v>
      </c>
      <c r="K736" t="s">
        <v>6785</v>
      </c>
      <c r="L736" s="5">
        <f>VLOOKUP(D:D,[1]Munka2!$A:$B,2,FALSE)</f>
        <v>1</v>
      </c>
      <c r="M736" s="5">
        <f>_xlfn.IFNA(Táblázat1[[#This Row],[Kész2020]],0)</f>
        <v>1</v>
      </c>
      <c r="N736" s="5">
        <f>IF(Táblázat1[[#This Row],[Karb./akt.év]]-Táblázat1[[#This Row],[Kész2020_2]]&lt;0,0,Táblázat1[[#This Row],[Karb./akt.év]]-Táblázat1[[#This Row],[Kész2020_2]])</f>
        <v>1</v>
      </c>
    </row>
    <row r="737" spans="1:14" hidden="1" x14ac:dyDescent="0.25">
      <c r="A737" s="17" t="s">
        <v>10</v>
      </c>
      <c r="B737" s="17" t="s">
        <v>1446</v>
      </c>
      <c r="C737" s="17" t="s">
        <v>1742</v>
      </c>
      <c r="D737" s="17" t="s">
        <v>3278</v>
      </c>
      <c r="E737" s="17" t="s">
        <v>4890</v>
      </c>
      <c r="F737" s="17" t="s">
        <v>4891</v>
      </c>
      <c r="G737" s="17" t="s">
        <v>6352</v>
      </c>
      <c r="H737" t="s">
        <v>7476</v>
      </c>
      <c r="I737" s="1">
        <v>2</v>
      </c>
      <c r="J737" s="1">
        <v>2</v>
      </c>
      <c r="K737" t="s">
        <v>6784</v>
      </c>
      <c r="L737" s="5">
        <f>VLOOKUP(D:D,[1]Munka2!$A:$B,2,FALSE)</f>
        <v>1</v>
      </c>
      <c r="M737" s="5">
        <f>_xlfn.IFNA(Táblázat1[[#This Row],[Kész2020]],0)</f>
        <v>1</v>
      </c>
      <c r="N737" s="5">
        <f>IF(Táblázat1[[#This Row],[Karb./akt.év]]-Táblázat1[[#This Row],[Kész2020_2]]&lt;0,0,Táblázat1[[#This Row],[Karb./akt.év]]-Táblázat1[[#This Row],[Kész2020_2]])</f>
        <v>1</v>
      </c>
    </row>
    <row r="738" spans="1:14" x14ac:dyDescent="0.25">
      <c r="A738" s="17" t="s">
        <v>10</v>
      </c>
      <c r="B738" s="17" t="s">
        <v>1307</v>
      </c>
      <c r="C738" s="17" t="s">
        <v>1742</v>
      </c>
      <c r="D738" s="17" t="s">
        <v>3122</v>
      </c>
      <c r="E738" s="17" t="s">
        <v>4262</v>
      </c>
      <c r="F738" s="17" t="s">
        <v>4263</v>
      </c>
      <c r="G738" s="17" t="s">
        <v>6226</v>
      </c>
      <c r="H738" t="s">
        <v>7476</v>
      </c>
      <c r="I738" s="1">
        <v>2</v>
      </c>
      <c r="J738" s="1">
        <v>2</v>
      </c>
      <c r="K738" t="s">
        <v>6642</v>
      </c>
      <c r="L738" s="5" t="e">
        <f>VLOOKUP(D:D,[1]Munka2!$A:$B,2,FALSE)</f>
        <v>#N/A</v>
      </c>
      <c r="M738" s="5">
        <f>_xlfn.IFNA(Táblázat1[[#This Row],[Kész2020]],0)</f>
        <v>0</v>
      </c>
      <c r="N738" s="5">
        <f>IF(Táblázat1[[#This Row],[Karb./akt.év]]-Táblázat1[[#This Row],[Kész2020_2]]&lt;0,0,Táblázat1[[#This Row],[Karb./akt.év]]-Táblázat1[[#This Row],[Kész2020_2]])</f>
        <v>2</v>
      </c>
    </row>
    <row r="739" spans="1:14" x14ac:dyDescent="0.25">
      <c r="A739" s="17" t="s">
        <v>10</v>
      </c>
      <c r="B739" s="17" t="s">
        <v>93</v>
      </c>
      <c r="C739" s="17" t="s">
        <v>1742</v>
      </c>
      <c r="D739" s="17" t="s">
        <v>1833</v>
      </c>
      <c r="E739" s="17" t="s">
        <v>3677</v>
      </c>
      <c r="F739" s="17" t="s">
        <v>3598</v>
      </c>
      <c r="G739" s="17" t="s">
        <v>5064</v>
      </c>
      <c r="H739" t="s">
        <v>7476</v>
      </c>
      <c r="I739" s="1">
        <v>2</v>
      </c>
      <c r="J739" s="1">
        <v>2</v>
      </c>
      <c r="K739" t="s">
        <v>8101</v>
      </c>
      <c r="L739" s="5" t="e">
        <f>VLOOKUP(D:D,[1]Munka2!$A:$B,2,FALSE)</f>
        <v>#N/A</v>
      </c>
      <c r="M739" s="5">
        <f>_xlfn.IFNA(Táblázat1[[#This Row],[Kész2020]],0)</f>
        <v>0</v>
      </c>
      <c r="N739" s="5">
        <f>IF(Táblázat1[[#This Row],[Karb./akt.év]]-Táblázat1[[#This Row],[Kész2020_2]]&lt;0,0,Táblázat1[[#This Row],[Karb./akt.év]]-Táblázat1[[#This Row],[Kész2020_2]])</f>
        <v>2</v>
      </c>
    </row>
    <row r="740" spans="1:14" x14ac:dyDescent="0.25">
      <c r="A740" s="17" t="s">
        <v>10</v>
      </c>
      <c r="B740" s="17" t="s">
        <v>581</v>
      </c>
      <c r="C740" s="17" t="s">
        <v>1743</v>
      </c>
      <c r="D740" s="17" t="s">
        <v>2354</v>
      </c>
      <c r="E740" s="17" t="s">
        <v>3597</v>
      </c>
      <c r="F740" s="17" t="s">
        <v>3598</v>
      </c>
      <c r="G740" s="17" t="s">
        <v>5545</v>
      </c>
      <c r="H740" t="s">
        <v>7476</v>
      </c>
      <c r="I740" s="1">
        <v>2</v>
      </c>
      <c r="J740" s="1">
        <v>2</v>
      </c>
      <c r="K740" t="s">
        <v>6633</v>
      </c>
      <c r="L740" s="5" t="e">
        <f>VLOOKUP(D:D,[1]Munka2!$A:$B,2,FALSE)</f>
        <v>#N/A</v>
      </c>
      <c r="M740" s="5">
        <f>_xlfn.IFNA(Táblázat1[[#This Row],[Kész2020]],0)</f>
        <v>0</v>
      </c>
      <c r="N740" s="5">
        <f>IF(Táblázat1[[#This Row],[Karb./akt.év]]-Táblázat1[[#This Row],[Kész2020_2]]&lt;0,0,Táblázat1[[#This Row],[Karb./akt.év]]-Táblázat1[[#This Row],[Kész2020_2]])</f>
        <v>2</v>
      </c>
    </row>
    <row r="741" spans="1:14" x14ac:dyDescent="0.25">
      <c r="A741" s="17" t="s">
        <v>10</v>
      </c>
      <c r="B741" s="17" t="s">
        <v>236</v>
      </c>
      <c r="C741" s="17" t="s">
        <v>1743</v>
      </c>
      <c r="D741" s="17" t="s">
        <v>1980</v>
      </c>
      <c r="E741" s="17" t="s">
        <v>3849</v>
      </c>
      <c r="F741" s="17" t="s">
        <v>3598</v>
      </c>
      <c r="G741" s="17" t="s">
        <v>5203</v>
      </c>
      <c r="H741" t="s">
        <v>7476</v>
      </c>
      <c r="I741" s="1">
        <v>2</v>
      </c>
      <c r="J741" s="1">
        <v>2</v>
      </c>
      <c r="K741" t="s">
        <v>7017</v>
      </c>
      <c r="L741" s="5" t="e">
        <f>VLOOKUP(D:D,[1]Munka2!$A:$B,2,FALSE)</f>
        <v>#N/A</v>
      </c>
      <c r="M741" s="5">
        <f>_xlfn.IFNA(Táblázat1[[#This Row],[Kész2020]],0)</f>
        <v>0</v>
      </c>
      <c r="N741" s="5">
        <f>IF(Táblázat1[[#This Row],[Karb./akt.év]]-Táblázat1[[#This Row],[Kész2020_2]]&lt;0,0,Táblázat1[[#This Row],[Karb./akt.év]]-Táblázat1[[#This Row],[Kész2020_2]])</f>
        <v>2</v>
      </c>
    </row>
    <row r="742" spans="1:14" x14ac:dyDescent="0.25">
      <c r="A742" s="17" t="s">
        <v>10</v>
      </c>
      <c r="B742" s="17" t="s">
        <v>297</v>
      </c>
      <c r="C742" s="17" t="s">
        <v>1743</v>
      </c>
      <c r="D742" s="17" t="s">
        <v>2046</v>
      </c>
      <c r="E742" s="17" t="s">
        <v>3918</v>
      </c>
      <c r="F742" s="17" t="s">
        <v>3919</v>
      </c>
      <c r="G742" s="17" t="s">
        <v>5264</v>
      </c>
      <c r="H742" t="s">
        <v>7476</v>
      </c>
      <c r="I742" s="1">
        <v>2</v>
      </c>
      <c r="J742" s="1">
        <v>2</v>
      </c>
      <c r="K742" t="s">
        <v>7014</v>
      </c>
      <c r="L742" s="5" t="e">
        <f>VLOOKUP(D:D,[1]Munka2!$A:$B,2,FALSE)</f>
        <v>#N/A</v>
      </c>
      <c r="M742" s="5">
        <f>_xlfn.IFNA(Táblázat1[[#This Row],[Kész2020]],0)</f>
        <v>0</v>
      </c>
      <c r="N742" s="5">
        <f>IF(Táblázat1[[#This Row],[Karb./akt.év]]-Táblázat1[[#This Row],[Kész2020_2]]&lt;0,0,Táblázat1[[#This Row],[Karb./akt.év]]-Táblázat1[[#This Row],[Kész2020_2]])</f>
        <v>2</v>
      </c>
    </row>
    <row r="743" spans="1:14" hidden="1" x14ac:dyDescent="0.25">
      <c r="A743" s="17" t="s">
        <v>10</v>
      </c>
      <c r="B743" s="17" t="s">
        <v>694</v>
      </c>
      <c r="C743" s="17" t="s">
        <v>1743</v>
      </c>
      <c r="D743" s="17" t="s">
        <v>2469</v>
      </c>
      <c r="E743" s="17" t="s">
        <v>4248</v>
      </c>
      <c r="F743" s="17" t="s">
        <v>4249</v>
      </c>
      <c r="G743" s="17" t="s">
        <v>5648</v>
      </c>
      <c r="H743" t="s">
        <v>7476</v>
      </c>
      <c r="I743" s="1">
        <v>2</v>
      </c>
      <c r="J743" s="1">
        <v>2</v>
      </c>
      <c r="K743" t="s">
        <v>6640</v>
      </c>
      <c r="L743" s="5">
        <f>VLOOKUP(D:D,[1]Munka2!$A:$B,2,FALSE)</f>
        <v>1</v>
      </c>
      <c r="M743" s="5">
        <f>_xlfn.IFNA(Táblázat1[[#This Row],[Kész2020]],0)</f>
        <v>1</v>
      </c>
      <c r="N743" s="5">
        <f>IF(Táblázat1[[#This Row],[Karb./akt.év]]-Táblázat1[[#This Row],[Kész2020_2]]&lt;0,0,Táblázat1[[#This Row],[Karb./akt.év]]-Táblázat1[[#This Row],[Kész2020_2]])</f>
        <v>1</v>
      </c>
    </row>
    <row r="744" spans="1:14" hidden="1" x14ac:dyDescent="0.25">
      <c r="A744" s="17" t="s">
        <v>10</v>
      </c>
      <c r="B744" s="17" t="s">
        <v>608</v>
      </c>
      <c r="C744" s="17" t="s">
        <v>1743</v>
      </c>
      <c r="D744" s="17" t="s">
        <v>2381</v>
      </c>
      <c r="E744" s="17" t="s">
        <v>3959</v>
      </c>
      <c r="F744" s="17" t="s">
        <v>3960</v>
      </c>
      <c r="G744" s="17" t="s">
        <v>5568</v>
      </c>
      <c r="H744" t="s">
        <v>7476</v>
      </c>
      <c r="I744" s="1">
        <v>2</v>
      </c>
      <c r="J744" s="1">
        <v>2</v>
      </c>
      <c r="K744" t="s">
        <v>6640</v>
      </c>
      <c r="L744" s="5">
        <f>VLOOKUP(D:D,[1]Munka2!$A:$B,2,FALSE)</f>
        <v>1</v>
      </c>
      <c r="M744" s="5">
        <f>_xlfn.IFNA(Táblázat1[[#This Row],[Kész2020]],0)</f>
        <v>1</v>
      </c>
      <c r="N744" s="5">
        <f>IF(Táblázat1[[#This Row],[Karb./akt.év]]-Táblázat1[[#This Row],[Kész2020_2]]&lt;0,0,Táblázat1[[#This Row],[Karb./akt.év]]-Táblázat1[[#This Row],[Kész2020_2]])</f>
        <v>1</v>
      </c>
    </row>
    <row r="745" spans="1:14" hidden="1" x14ac:dyDescent="0.25">
      <c r="A745" s="17" t="s">
        <v>10</v>
      </c>
      <c r="B745" s="17" t="s">
        <v>453</v>
      </c>
      <c r="C745" s="17" t="s">
        <v>1743</v>
      </c>
      <c r="D745" s="17" t="s">
        <v>2211</v>
      </c>
      <c r="E745" s="17" t="s">
        <v>3761</v>
      </c>
      <c r="F745" s="17" t="s">
        <v>3762</v>
      </c>
      <c r="G745" s="17" t="s">
        <v>5418</v>
      </c>
      <c r="H745" t="s">
        <v>7476</v>
      </c>
      <c r="I745" s="1">
        <v>2</v>
      </c>
      <c r="J745" s="1">
        <v>2</v>
      </c>
      <c r="K745" t="s">
        <v>6633</v>
      </c>
      <c r="L745" s="5">
        <f>VLOOKUP(D:D,[1]Munka2!$A:$B,2,FALSE)</f>
        <v>1</v>
      </c>
      <c r="M745" s="5">
        <f>_xlfn.IFNA(Táblázat1[[#This Row],[Kész2020]],0)</f>
        <v>1</v>
      </c>
      <c r="N745" s="5">
        <f>IF(Táblázat1[[#This Row],[Karb./akt.év]]-Táblázat1[[#This Row],[Kész2020_2]]&lt;0,0,Táblázat1[[#This Row],[Karb./akt.év]]-Táblázat1[[#This Row],[Kész2020_2]])</f>
        <v>1</v>
      </c>
    </row>
    <row r="746" spans="1:14" hidden="1" x14ac:dyDescent="0.25">
      <c r="A746" s="17" t="s">
        <v>10</v>
      </c>
      <c r="B746" s="17" t="s">
        <v>1236</v>
      </c>
      <c r="C746" s="17" t="s">
        <v>1743</v>
      </c>
      <c r="D746" s="17" t="s">
        <v>3045</v>
      </c>
      <c r="E746" s="17" t="s">
        <v>3736</v>
      </c>
      <c r="F746" s="17" t="s">
        <v>3737</v>
      </c>
      <c r="G746" s="17" t="s">
        <v>6164</v>
      </c>
      <c r="H746" t="s">
        <v>7476</v>
      </c>
      <c r="I746" s="1">
        <v>2</v>
      </c>
      <c r="J746" s="1">
        <v>2</v>
      </c>
      <c r="K746" t="s">
        <v>6638</v>
      </c>
      <c r="L746" s="5">
        <f>VLOOKUP(D:D,[1]Munka2!$A:$B,2,FALSE)</f>
        <v>1</v>
      </c>
      <c r="M746" s="5">
        <f>_xlfn.IFNA(Táblázat1[[#This Row],[Kész2020]],0)</f>
        <v>1</v>
      </c>
      <c r="N746" s="5">
        <f>IF(Táblázat1[[#This Row],[Karb./akt.év]]-Táblázat1[[#This Row],[Kész2020_2]]&lt;0,0,Táblázat1[[#This Row],[Karb./akt.év]]-Táblázat1[[#This Row],[Kész2020_2]])</f>
        <v>1</v>
      </c>
    </row>
    <row r="747" spans="1:14" hidden="1" x14ac:dyDescent="0.25">
      <c r="A747" s="17" t="s">
        <v>10</v>
      </c>
      <c r="B747" s="17" t="s">
        <v>272</v>
      </c>
      <c r="C747" s="17" t="s">
        <v>1743</v>
      </c>
      <c r="D747" s="17" t="s">
        <v>2020</v>
      </c>
      <c r="E747" s="17" t="s">
        <v>3804</v>
      </c>
      <c r="F747" s="17" t="s">
        <v>3805</v>
      </c>
      <c r="G747" s="17" t="s">
        <v>5239</v>
      </c>
      <c r="H747" t="s">
        <v>7476</v>
      </c>
      <c r="I747" s="1">
        <v>2</v>
      </c>
      <c r="J747" s="1">
        <v>2</v>
      </c>
      <c r="K747" t="s">
        <v>6635</v>
      </c>
      <c r="L747" s="5">
        <f>VLOOKUP(D:D,[1]Munka2!$A:$B,2,FALSE)</f>
        <v>1</v>
      </c>
      <c r="M747" s="5">
        <f>_xlfn.IFNA(Táblázat1[[#This Row],[Kész2020]],0)</f>
        <v>1</v>
      </c>
      <c r="N747" s="5">
        <f>IF(Táblázat1[[#This Row],[Karb./akt.év]]-Táblázat1[[#This Row],[Kész2020_2]]&lt;0,0,Táblázat1[[#This Row],[Karb./akt.év]]-Táblázat1[[#This Row],[Kész2020_2]])</f>
        <v>1</v>
      </c>
    </row>
    <row r="748" spans="1:14" hidden="1" x14ac:dyDescent="0.25">
      <c r="A748" s="17" t="s">
        <v>10</v>
      </c>
      <c r="B748" s="17" t="s">
        <v>455</v>
      </c>
      <c r="C748" s="17" t="s">
        <v>1763</v>
      </c>
      <c r="D748" s="17" t="s">
        <v>2212</v>
      </c>
      <c r="E748" s="17" t="s">
        <v>3691</v>
      </c>
      <c r="F748" s="17" t="s">
        <v>3692</v>
      </c>
      <c r="G748" s="17" t="s">
        <v>5420</v>
      </c>
      <c r="H748" t="s">
        <v>7476</v>
      </c>
      <c r="I748" s="1">
        <v>2</v>
      </c>
      <c r="J748" s="1">
        <v>2</v>
      </c>
      <c r="K748" t="s">
        <v>6642</v>
      </c>
      <c r="L748" s="5">
        <f>VLOOKUP(D:D,[1]Munka2!$A:$B,2,FALSE)</f>
        <v>1</v>
      </c>
      <c r="M748" s="5">
        <f>_xlfn.IFNA(Táblázat1[[#This Row],[Kész2020]],0)</f>
        <v>1</v>
      </c>
      <c r="N748" s="5">
        <f>IF(Táblázat1[[#This Row],[Karb./akt.év]]-Táblázat1[[#This Row],[Kész2020_2]]&lt;0,0,Táblázat1[[#This Row],[Karb./akt.év]]-Táblázat1[[#This Row],[Kész2020_2]])</f>
        <v>1</v>
      </c>
    </row>
    <row r="749" spans="1:14" x14ac:dyDescent="0.25">
      <c r="A749" s="17" t="s">
        <v>10</v>
      </c>
      <c r="B749" s="17" t="s">
        <v>1093</v>
      </c>
      <c r="C749" s="17" t="s">
        <v>1763</v>
      </c>
      <c r="D749" s="17" t="s">
        <v>2884</v>
      </c>
      <c r="E749" s="17" t="s">
        <v>4617</v>
      </c>
      <c r="F749" s="17" t="s">
        <v>3598</v>
      </c>
      <c r="G749" s="17" t="s">
        <v>6022</v>
      </c>
      <c r="H749" t="s">
        <v>7476</v>
      </c>
      <c r="I749" s="1">
        <v>2</v>
      </c>
      <c r="J749" s="1">
        <v>2</v>
      </c>
      <c r="K749" t="s">
        <v>6643</v>
      </c>
      <c r="L749" s="5" t="e">
        <f>VLOOKUP(D:D,[1]Munka2!$A:$B,2,FALSE)</f>
        <v>#N/A</v>
      </c>
      <c r="M749" s="5">
        <f>_xlfn.IFNA(Táblázat1[[#This Row],[Kész2020]],0)</f>
        <v>0</v>
      </c>
      <c r="N749" s="5">
        <f>IF(Táblázat1[[#This Row],[Karb./akt.év]]-Táblázat1[[#This Row],[Kész2020_2]]&lt;0,0,Táblázat1[[#This Row],[Karb./akt.év]]-Táblázat1[[#This Row],[Kész2020_2]])</f>
        <v>2</v>
      </c>
    </row>
    <row r="750" spans="1:14" hidden="1" x14ac:dyDescent="0.25">
      <c r="A750" s="17" t="s">
        <v>10</v>
      </c>
      <c r="B750" s="17" t="s">
        <v>681</v>
      </c>
      <c r="C750" s="17" t="s">
        <v>1763</v>
      </c>
      <c r="D750" s="17" t="s">
        <v>2456</v>
      </c>
      <c r="E750" s="17" t="s">
        <v>4294</v>
      </c>
      <c r="F750" s="17" t="s">
        <v>3664</v>
      </c>
      <c r="G750" s="17" t="s">
        <v>5638</v>
      </c>
      <c r="H750" t="s">
        <v>7476</v>
      </c>
      <c r="I750" s="1">
        <v>2</v>
      </c>
      <c r="J750" s="1">
        <v>2</v>
      </c>
      <c r="K750" t="s">
        <v>6638</v>
      </c>
      <c r="L750" s="5">
        <f>VLOOKUP(D:D,[1]Munka2!$A:$B,2,FALSE)</f>
        <v>1</v>
      </c>
      <c r="M750" s="5">
        <f>_xlfn.IFNA(Táblázat1[[#This Row],[Kész2020]],0)</f>
        <v>1</v>
      </c>
      <c r="N750" s="5">
        <f>IF(Táblázat1[[#This Row],[Karb./akt.év]]-Táblázat1[[#This Row],[Kész2020_2]]&lt;0,0,Táblázat1[[#This Row],[Karb./akt.év]]-Táblázat1[[#This Row],[Kész2020_2]])</f>
        <v>1</v>
      </c>
    </row>
    <row r="751" spans="1:14" x14ac:dyDescent="0.25">
      <c r="A751" s="17" t="s">
        <v>10</v>
      </c>
      <c r="B751" s="17" t="s">
        <v>403</v>
      </c>
      <c r="C751" s="17" t="s">
        <v>1763</v>
      </c>
      <c r="D751" s="17" t="s">
        <v>2158</v>
      </c>
      <c r="E751" s="17" t="s">
        <v>4022</v>
      </c>
      <c r="F751" s="17" t="s">
        <v>4023</v>
      </c>
      <c r="G751" s="17" t="s">
        <v>5370</v>
      </c>
      <c r="H751" t="s">
        <v>7476</v>
      </c>
      <c r="I751" s="1">
        <v>2</v>
      </c>
      <c r="J751" s="1">
        <v>2</v>
      </c>
      <c r="K751" t="s">
        <v>7014</v>
      </c>
      <c r="L751" s="5" t="e">
        <f>VLOOKUP(D:D,[1]Munka2!$A:$B,2,FALSE)</f>
        <v>#N/A</v>
      </c>
      <c r="M751" s="5">
        <f>_xlfn.IFNA(Táblázat1[[#This Row],[Kész2020]],0)</f>
        <v>0</v>
      </c>
      <c r="N751" s="5">
        <f>IF(Táblázat1[[#This Row],[Karb./akt.év]]-Táblázat1[[#This Row],[Kész2020_2]]&lt;0,0,Táblázat1[[#This Row],[Karb./akt.év]]-Táblázat1[[#This Row],[Kész2020_2]])</f>
        <v>2</v>
      </c>
    </row>
    <row r="752" spans="1:14" x14ac:dyDescent="0.25">
      <c r="A752" s="17" t="s">
        <v>10</v>
      </c>
      <c r="B752" s="17" t="s">
        <v>1156</v>
      </c>
      <c r="C752" s="17" t="s">
        <v>1745</v>
      </c>
      <c r="D752" s="17" t="s">
        <v>2954</v>
      </c>
      <c r="E752" s="17" t="s">
        <v>4660</v>
      </c>
      <c r="F752" s="17" t="s">
        <v>4661</v>
      </c>
      <c r="G752" s="17" t="s">
        <v>6083</v>
      </c>
      <c r="H752" t="s">
        <v>7476</v>
      </c>
      <c r="I752" s="1">
        <v>2</v>
      </c>
      <c r="J752" s="1">
        <v>2</v>
      </c>
      <c r="K752" t="s">
        <v>8103</v>
      </c>
      <c r="L752" s="5" t="e">
        <f>VLOOKUP(D:D,[1]Munka2!$A:$B,2,FALSE)</f>
        <v>#N/A</v>
      </c>
      <c r="M752" s="5">
        <f>_xlfn.IFNA(Táblázat1[[#This Row],[Kész2020]],0)</f>
        <v>0</v>
      </c>
      <c r="N752" s="5">
        <f>IF(Táblázat1[[#This Row],[Karb./akt.év]]-Táblázat1[[#This Row],[Kész2020_2]]&lt;0,0,Táblázat1[[#This Row],[Karb./akt.év]]-Táblázat1[[#This Row],[Kész2020_2]])</f>
        <v>2</v>
      </c>
    </row>
    <row r="753" spans="1:14" hidden="1" x14ac:dyDescent="0.25">
      <c r="A753" s="17" t="s">
        <v>10</v>
      </c>
      <c r="B753" s="17" t="s">
        <v>1137</v>
      </c>
      <c r="C753" s="17" t="s">
        <v>1745</v>
      </c>
      <c r="D753" s="17" t="s">
        <v>2934</v>
      </c>
      <c r="E753" s="17" t="s">
        <v>3792</v>
      </c>
      <c r="F753" s="17" t="s">
        <v>3793</v>
      </c>
      <c r="G753" s="17" t="s">
        <v>6067</v>
      </c>
      <c r="H753" t="s">
        <v>7476</v>
      </c>
      <c r="I753" s="1">
        <v>2</v>
      </c>
      <c r="J753" s="1">
        <v>2</v>
      </c>
      <c r="K753" t="s">
        <v>6639</v>
      </c>
      <c r="L753" s="5">
        <f>VLOOKUP(D:D,[1]Munka2!$A:$B,2,FALSE)</f>
        <v>1</v>
      </c>
      <c r="M753" s="5">
        <f>_xlfn.IFNA(Táblázat1[[#This Row],[Kész2020]],0)</f>
        <v>1</v>
      </c>
      <c r="N753" s="5">
        <f>IF(Táblázat1[[#This Row],[Karb./akt.év]]-Táblázat1[[#This Row],[Kész2020_2]]&lt;0,0,Táblázat1[[#This Row],[Karb./akt.év]]-Táblázat1[[#This Row],[Kész2020_2]])</f>
        <v>1</v>
      </c>
    </row>
    <row r="754" spans="1:14" hidden="1" x14ac:dyDescent="0.25">
      <c r="A754" s="17" t="s">
        <v>10</v>
      </c>
      <c r="B754" s="17" t="s">
        <v>72</v>
      </c>
      <c r="C754" s="17" t="s">
        <v>1745</v>
      </c>
      <c r="D754" s="17" t="s">
        <v>1810</v>
      </c>
      <c r="E754" s="17" t="s">
        <v>3657</v>
      </c>
      <c r="F754" s="17" t="s">
        <v>3658</v>
      </c>
      <c r="G754" s="17" t="s">
        <v>5046</v>
      </c>
      <c r="H754" t="s">
        <v>7476</v>
      </c>
      <c r="I754" s="1">
        <v>2</v>
      </c>
      <c r="J754" s="1">
        <v>2</v>
      </c>
      <c r="K754" t="s">
        <v>8102</v>
      </c>
      <c r="L754" s="5">
        <f>VLOOKUP(D:D,[1]Munka2!$A:$B,2,FALSE)</f>
        <v>1</v>
      </c>
      <c r="M754" s="5">
        <f>_xlfn.IFNA(Táblázat1[[#This Row],[Kész2020]],0)</f>
        <v>1</v>
      </c>
      <c r="N754" s="5">
        <f>IF(Táblázat1[[#This Row],[Karb./akt.év]]-Táblázat1[[#This Row],[Kész2020_2]]&lt;0,0,Táblázat1[[#This Row],[Karb./akt.év]]-Táblázat1[[#This Row],[Kész2020_2]])</f>
        <v>1</v>
      </c>
    </row>
    <row r="755" spans="1:14" hidden="1" x14ac:dyDescent="0.25">
      <c r="A755" s="17" t="s">
        <v>10</v>
      </c>
      <c r="B755" s="17" t="s">
        <v>1015</v>
      </c>
      <c r="C755" s="17" t="s">
        <v>1745</v>
      </c>
      <c r="D755" s="17" t="s">
        <v>2805</v>
      </c>
      <c r="E755" s="17" t="s">
        <v>4413</v>
      </c>
      <c r="F755" s="17" t="s">
        <v>4414</v>
      </c>
      <c r="G755" s="17" t="s">
        <v>5943</v>
      </c>
      <c r="H755" t="s">
        <v>7476</v>
      </c>
      <c r="I755" s="1">
        <v>2</v>
      </c>
      <c r="J755" s="1">
        <v>2</v>
      </c>
      <c r="K755" t="s">
        <v>6640</v>
      </c>
      <c r="L755" s="5">
        <f>VLOOKUP(D:D,[1]Munka2!$A:$B,2,FALSE)</f>
        <v>1</v>
      </c>
      <c r="M755" s="5">
        <f>_xlfn.IFNA(Táblázat1[[#This Row],[Kész2020]],0)</f>
        <v>1</v>
      </c>
      <c r="N755" s="5">
        <f>IF(Táblázat1[[#This Row],[Karb./akt.év]]-Táblázat1[[#This Row],[Kész2020_2]]&lt;0,0,Táblázat1[[#This Row],[Karb./akt.év]]-Táblázat1[[#This Row],[Kész2020_2]])</f>
        <v>1</v>
      </c>
    </row>
    <row r="756" spans="1:14" hidden="1" x14ac:dyDescent="0.25">
      <c r="A756" s="17" t="s">
        <v>10</v>
      </c>
      <c r="B756" s="17" t="s">
        <v>1213</v>
      </c>
      <c r="C756" s="17" t="s">
        <v>1745</v>
      </c>
      <c r="D756" s="17" t="s">
        <v>3019</v>
      </c>
      <c r="E756" s="17" t="s">
        <v>4220</v>
      </c>
      <c r="F756" s="17" t="s">
        <v>4221</v>
      </c>
      <c r="G756" s="17" t="s">
        <v>6141</v>
      </c>
      <c r="H756" t="s">
        <v>7476</v>
      </c>
      <c r="I756" s="1">
        <v>2</v>
      </c>
      <c r="J756" s="1">
        <v>2</v>
      </c>
      <c r="K756" t="s">
        <v>8102</v>
      </c>
      <c r="L756" s="5">
        <f>VLOOKUP(D:D,[1]Munka2!$A:$B,2,FALSE)</f>
        <v>1</v>
      </c>
      <c r="M756" s="5">
        <f>_xlfn.IFNA(Táblázat1[[#This Row],[Kész2020]],0)</f>
        <v>1</v>
      </c>
      <c r="N756" s="5">
        <f>IF(Táblázat1[[#This Row],[Karb./akt.év]]-Táblázat1[[#This Row],[Kész2020_2]]&lt;0,0,Táblázat1[[#This Row],[Karb./akt.év]]-Táblázat1[[#This Row],[Kész2020_2]])</f>
        <v>1</v>
      </c>
    </row>
    <row r="757" spans="1:14" x14ac:dyDescent="0.25">
      <c r="A757" s="17" t="s">
        <v>10</v>
      </c>
      <c r="B757" s="17" t="s">
        <v>225</v>
      </c>
      <c r="C757" s="17" t="s">
        <v>1745</v>
      </c>
      <c r="D757" s="17" t="s">
        <v>1969</v>
      </c>
      <c r="E757" s="17" t="s">
        <v>3838</v>
      </c>
      <c r="F757" s="17" t="s">
        <v>3839</v>
      </c>
      <c r="G757" s="17" t="s">
        <v>5193</v>
      </c>
      <c r="H757" t="s">
        <v>7476</v>
      </c>
      <c r="I757" s="1">
        <v>2</v>
      </c>
      <c r="J757" s="1">
        <v>2</v>
      </c>
      <c r="K757" t="s">
        <v>6784</v>
      </c>
      <c r="L757" s="5" t="e">
        <f>VLOOKUP(D:D,[1]Munka2!$A:$B,2,FALSE)</f>
        <v>#N/A</v>
      </c>
      <c r="M757" s="5">
        <f>_xlfn.IFNA(Táblázat1[[#This Row],[Kész2020]],0)</f>
        <v>0</v>
      </c>
      <c r="N757" s="5">
        <f>IF(Táblázat1[[#This Row],[Karb./akt.év]]-Táblázat1[[#This Row],[Kész2020_2]]&lt;0,0,Táblázat1[[#This Row],[Karb./akt.év]]-Táblázat1[[#This Row],[Kész2020_2]])</f>
        <v>2</v>
      </c>
    </row>
    <row r="758" spans="1:14" hidden="1" x14ac:dyDescent="0.25">
      <c r="A758" s="17" t="s">
        <v>10</v>
      </c>
      <c r="B758" s="17" t="s">
        <v>667</v>
      </c>
      <c r="C758" s="17" t="s">
        <v>1745</v>
      </c>
      <c r="D758" s="17" t="s">
        <v>2441</v>
      </c>
      <c r="E758" s="17" t="s">
        <v>3641</v>
      </c>
      <c r="F758" s="17" t="s">
        <v>3642</v>
      </c>
      <c r="G758" s="17" t="s">
        <v>5624</v>
      </c>
      <c r="H758" t="s">
        <v>7476</v>
      </c>
      <c r="I758" s="1">
        <v>2</v>
      </c>
      <c r="J758" s="1">
        <v>2</v>
      </c>
      <c r="K758" t="s">
        <v>7354</v>
      </c>
      <c r="L758" s="5">
        <f>VLOOKUP(D:D,[1]Munka2!$A:$B,2,FALSE)</f>
        <v>1</v>
      </c>
      <c r="M758" s="5">
        <f>_xlfn.IFNA(Táblázat1[[#This Row],[Kész2020]],0)</f>
        <v>1</v>
      </c>
      <c r="N758" s="5">
        <f>IF(Táblázat1[[#This Row],[Karb./akt.év]]-Táblázat1[[#This Row],[Kész2020_2]]&lt;0,0,Táblázat1[[#This Row],[Karb./akt.év]]-Táblázat1[[#This Row],[Kész2020_2]])</f>
        <v>1</v>
      </c>
    </row>
    <row r="759" spans="1:14" x14ac:dyDescent="0.25">
      <c r="A759" s="17" t="s">
        <v>10</v>
      </c>
      <c r="B759" s="17" t="s">
        <v>1611</v>
      </c>
      <c r="C759" s="17" t="s">
        <v>1745</v>
      </c>
      <c r="D759" s="17" t="s">
        <v>3462</v>
      </c>
      <c r="E759" s="17" t="s">
        <v>4965</v>
      </c>
      <c r="F759" s="17" t="s">
        <v>4966</v>
      </c>
      <c r="G759" s="17" t="s">
        <v>6513</v>
      </c>
      <c r="H759" t="s">
        <v>7476</v>
      </c>
      <c r="I759" s="1">
        <v>2</v>
      </c>
      <c r="J759" s="1">
        <v>2</v>
      </c>
      <c r="K759" t="s">
        <v>6642</v>
      </c>
      <c r="L759" s="5" t="e">
        <f>VLOOKUP(D:D,[1]Munka2!$A:$B,2,FALSE)</f>
        <v>#N/A</v>
      </c>
      <c r="M759" s="5">
        <f>_xlfn.IFNA(Táblázat1[[#This Row],[Kész2020]],0)</f>
        <v>0</v>
      </c>
      <c r="N759" s="5">
        <f>IF(Táblázat1[[#This Row],[Karb./akt.év]]-Táblázat1[[#This Row],[Kész2020_2]]&lt;0,0,Táblázat1[[#This Row],[Karb./akt.év]]-Táblázat1[[#This Row],[Kész2020_2]])</f>
        <v>2</v>
      </c>
    </row>
    <row r="760" spans="1:14" x14ac:dyDescent="0.25">
      <c r="A760" s="17" t="s">
        <v>10</v>
      </c>
      <c r="B760" s="17" t="s">
        <v>1209</v>
      </c>
      <c r="C760" s="17" t="s">
        <v>1745</v>
      </c>
      <c r="D760" s="17" t="s">
        <v>3015</v>
      </c>
      <c r="E760" s="17" t="s">
        <v>3824</v>
      </c>
      <c r="F760" s="17" t="s">
        <v>3598</v>
      </c>
      <c r="G760" s="17" t="s">
        <v>6138</v>
      </c>
      <c r="H760" t="s">
        <v>7476</v>
      </c>
      <c r="I760" s="1">
        <v>2</v>
      </c>
      <c r="J760" s="1">
        <v>2</v>
      </c>
      <c r="K760" t="s">
        <v>6643</v>
      </c>
      <c r="L760" s="5" t="e">
        <f>VLOOKUP(D:D,[1]Munka2!$A:$B,2,FALSE)</f>
        <v>#N/A</v>
      </c>
      <c r="M760" s="5">
        <f>_xlfn.IFNA(Táblázat1[[#This Row],[Kész2020]],0)</f>
        <v>0</v>
      </c>
      <c r="N760" s="5">
        <f>IF(Táblázat1[[#This Row],[Karb./akt.év]]-Táblázat1[[#This Row],[Kész2020_2]]&lt;0,0,Táblázat1[[#This Row],[Karb./akt.év]]-Táblázat1[[#This Row],[Kész2020_2]])</f>
        <v>2</v>
      </c>
    </row>
    <row r="761" spans="1:14" hidden="1" x14ac:dyDescent="0.25">
      <c r="A761" s="17" t="s">
        <v>10</v>
      </c>
      <c r="B761" s="17" t="s">
        <v>199</v>
      </c>
      <c r="C761" s="17" t="s">
        <v>1745</v>
      </c>
      <c r="D761" s="17" t="s">
        <v>1940</v>
      </c>
      <c r="E761" s="17" t="s">
        <v>3820</v>
      </c>
      <c r="F761" s="17" t="s">
        <v>3821</v>
      </c>
      <c r="G761" s="17" t="s">
        <v>5169</v>
      </c>
      <c r="H761" t="s">
        <v>7476</v>
      </c>
      <c r="I761" s="1">
        <v>2</v>
      </c>
      <c r="J761" s="1">
        <v>2</v>
      </c>
      <c r="K761" t="s">
        <v>6638</v>
      </c>
      <c r="L761" s="5">
        <f>VLOOKUP(D:D,[1]Munka2!$A:$B,2,FALSE)</f>
        <v>1</v>
      </c>
      <c r="M761" s="5">
        <f>_xlfn.IFNA(Táblázat1[[#This Row],[Kész2020]],0)</f>
        <v>1</v>
      </c>
      <c r="N761" s="5">
        <f>IF(Táblázat1[[#This Row],[Karb./akt.év]]-Táblázat1[[#This Row],[Kész2020_2]]&lt;0,0,Táblázat1[[#This Row],[Karb./akt.év]]-Táblázat1[[#This Row],[Kész2020_2]])</f>
        <v>1</v>
      </c>
    </row>
    <row r="762" spans="1:14" x14ac:dyDescent="0.25">
      <c r="A762" s="17" t="s">
        <v>10</v>
      </c>
      <c r="B762" s="17" t="s">
        <v>425</v>
      </c>
      <c r="C762" s="17" t="s">
        <v>1745</v>
      </c>
      <c r="D762" s="17" t="s">
        <v>2181</v>
      </c>
      <c r="E762" s="17" t="s">
        <v>3790</v>
      </c>
      <c r="F762" s="17" t="s">
        <v>3791</v>
      </c>
      <c r="G762" s="17" t="s">
        <v>5390</v>
      </c>
      <c r="H762" t="s">
        <v>7476</v>
      </c>
      <c r="I762" s="1">
        <v>2</v>
      </c>
      <c r="J762" s="1">
        <v>2</v>
      </c>
      <c r="K762" t="s">
        <v>6784</v>
      </c>
      <c r="L762" s="5" t="e">
        <f>VLOOKUP(D:D,[1]Munka2!$A:$B,2,FALSE)</f>
        <v>#N/A</v>
      </c>
      <c r="M762" s="5">
        <f>_xlfn.IFNA(Táblázat1[[#This Row],[Kész2020]],0)</f>
        <v>0</v>
      </c>
      <c r="N762" s="5">
        <f>IF(Táblázat1[[#This Row],[Karb./akt.év]]-Táblázat1[[#This Row],[Kész2020_2]]&lt;0,0,Táblázat1[[#This Row],[Karb./akt.év]]-Táblázat1[[#This Row],[Kész2020_2]])</f>
        <v>2</v>
      </c>
    </row>
    <row r="763" spans="1:14" hidden="1" x14ac:dyDescent="0.25">
      <c r="A763" s="17" t="s">
        <v>10</v>
      </c>
      <c r="B763" s="17" t="s">
        <v>1216</v>
      </c>
      <c r="C763" s="17" t="s">
        <v>1737</v>
      </c>
      <c r="D763" s="17" t="s">
        <v>3023</v>
      </c>
      <c r="E763" s="17" t="s">
        <v>4722</v>
      </c>
      <c r="F763" s="17" t="s">
        <v>3799</v>
      </c>
      <c r="G763" s="17" t="s">
        <v>6145</v>
      </c>
      <c r="H763" t="s">
        <v>7476</v>
      </c>
      <c r="I763" s="1">
        <v>2</v>
      </c>
      <c r="J763" s="1">
        <v>2</v>
      </c>
      <c r="K763" t="s">
        <v>6636</v>
      </c>
      <c r="L763" s="5">
        <f>VLOOKUP(D:D,[1]Munka2!$A:$B,2,FALSE)</f>
        <v>1</v>
      </c>
      <c r="M763" s="5">
        <f>_xlfn.IFNA(Táblázat1[[#This Row],[Kész2020]],0)</f>
        <v>1</v>
      </c>
      <c r="N763" s="5">
        <f>IF(Táblázat1[[#This Row],[Karb./akt.év]]-Táblázat1[[#This Row],[Kész2020_2]]&lt;0,0,Táblázat1[[#This Row],[Karb./akt.év]]-Táblázat1[[#This Row],[Kész2020_2]])</f>
        <v>1</v>
      </c>
    </row>
    <row r="764" spans="1:14" hidden="1" x14ac:dyDescent="0.25">
      <c r="A764" s="17" t="s">
        <v>10</v>
      </c>
      <c r="B764" s="17" t="s">
        <v>7216</v>
      </c>
      <c r="C764" s="17" t="s">
        <v>1735</v>
      </c>
      <c r="D764" s="17" t="s">
        <v>7236</v>
      </c>
      <c r="E764" s="17" t="s">
        <v>7252</v>
      </c>
      <c r="F764" s="17" t="s">
        <v>7253</v>
      </c>
      <c r="G764" s="17" t="s">
        <v>6267</v>
      </c>
      <c r="H764" t="s">
        <v>7476</v>
      </c>
      <c r="I764" s="1">
        <v>2</v>
      </c>
      <c r="J764" s="1">
        <v>2</v>
      </c>
      <c r="K764" t="s">
        <v>6640</v>
      </c>
      <c r="L764" s="5">
        <f>VLOOKUP(D:D,[1]Munka2!$A:$B,2,FALSE)</f>
        <v>1</v>
      </c>
      <c r="M764" s="5">
        <f>_xlfn.IFNA(Táblázat1[[#This Row],[Kész2020]],0)</f>
        <v>1</v>
      </c>
      <c r="N764" s="5">
        <f>IF(Táblázat1[[#This Row],[Karb./akt.év]]-Táblázat1[[#This Row],[Kész2020_2]]&lt;0,0,Táblázat1[[#This Row],[Karb./akt.év]]-Táblázat1[[#This Row],[Kész2020_2]])</f>
        <v>1</v>
      </c>
    </row>
    <row r="765" spans="1:14" hidden="1" x14ac:dyDescent="0.25">
      <c r="A765" s="17" t="s">
        <v>10</v>
      </c>
      <c r="B765" s="17" t="s">
        <v>7217</v>
      </c>
      <c r="C765" s="17" t="s">
        <v>1735</v>
      </c>
      <c r="D765" s="17" t="s">
        <v>7237</v>
      </c>
      <c r="E765" s="17" t="s">
        <v>7254</v>
      </c>
      <c r="F765" s="17" t="s">
        <v>7255</v>
      </c>
      <c r="G765" s="17" t="s">
        <v>6703</v>
      </c>
      <c r="H765" t="s">
        <v>7476</v>
      </c>
      <c r="I765" s="1">
        <v>2</v>
      </c>
      <c r="J765" s="1">
        <v>2</v>
      </c>
      <c r="K765" t="s">
        <v>6636</v>
      </c>
      <c r="L765" s="5">
        <f>VLOOKUP(D:D,[1]Munka2!$A:$B,2,FALSE)</f>
        <v>1</v>
      </c>
      <c r="M765" s="5">
        <f>_xlfn.IFNA(Táblázat1[[#This Row],[Kész2020]],0)</f>
        <v>1</v>
      </c>
      <c r="N765" s="5">
        <f>IF(Táblázat1[[#This Row],[Karb./akt.év]]-Táblázat1[[#This Row],[Kész2020_2]]&lt;0,0,Táblázat1[[#This Row],[Karb./akt.év]]-Táblázat1[[#This Row],[Kész2020_2]])</f>
        <v>1</v>
      </c>
    </row>
    <row r="766" spans="1:14" x14ac:dyDescent="0.25">
      <c r="A766" s="17" t="s">
        <v>10</v>
      </c>
      <c r="B766" s="17" t="s">
        <v>85</v>
      </c>
      <c r="C766" s="17" t="s">
        <v>1735</v>
      </c>
      <c r="D766" s="17" t="s">
        <v>1824</v>
      </c>
      <c r="E766" s="17" t="s">
        <v>3669</v>
      </c>
      <c r="F766" s="17" t="s">
        <v>3598</v>
      </c>
      <c r="G766" s="17" t="s">
        <v>5056</v>
      </c>
      <c r="H766" t="s">
        <v>7476</v>
      </c>
      <c r="I766" s="1">
        <v>2</v>
      </c>
      <c r="J766" s="1">
        <v>2</v>
      </c>
      <c r="K766" t="s">
        <v>8101</v>
      </c>
      <c r="L766" s="5" t="e">
        <f>VLOOKUP(D:D,[1]Munka2!$A:$B,2,FALSE)</f>
        <v>#N/A</v>
      </c>
      <c r="M766" s="5">
        <f>_xlfn.IFNA(Táblázat1[[#This Row],[Kész2020]],0)</f>
        <v>0</v>
      </c>
      <c r="N766" s="5">
        <f>IF(Táblázat1[[#This Row],[Karb./akt.év]]-Táblázat1[[#This Row],[Kész2020_2]]&lt;0,0,Táblázat1[[#This Row],[Karb./akt.év]]-Táblázat1[[#This Row],[Kész2020_2]])</f>
        <v>2</v>
      </c>
    </row>
    <row r="767" spans="1:14" hidden="1" x14ac:dyDescent="0.25">
      <c r="A767" s="17" t="s">
        <v>10</v>
      </c>
      <c r="B767" s="17" t="s">
        <v>1013</v>
      </c>
      <c r="C767" s="17" t="s">
        <v>1737</v>
      </c>
      <c r="D767" s="17" t="s">
        <v>2803</v>
      </c>
      <c r="E767" s="17" t="s">
        <v>3707</v>
      </c>
      <c r="F767" s="17" t="s">
        <v>3708</v>
      </c>
      <c r="G767" s="17" t="s">
        <v>5941</v>
      </c>
      <c r="H767" t="s">
        <v>7476</v>
      </c>
      <c r="I767" s="1">
        <v>2</v>
      </c>
      <c r="J767" s="1">
        <v>2</v>
      </c>
      <c r="K767" t="s">
        <v>6641</v>
      </c>
      <c r="L767" s="5">
        <f>VLOOKUP(D:D,[1]Munka2!$A:$B,2,FALSE)</f>
        <v>1</v>
      </c>
      <c r="M767" s="5">
        <f>_xlfn.IFNA(Táblázat1[[#This Row],[Kész2020]],0)</f>
        <v>1</v>
      </c>
      <c r="N767" s="5">
        <f>IF(Táblázat1[[#This Row],[Karb./akt.év]]-Táblázat1[[#This Row],[Kész2020_2]]&lt;0,0,Táblázat1[[#This Row],[Karb./akt.év]]-Táblázat1[[#This Row],[Kész2020_2]])</f>
        <v>1</v>
      </c>
    </row>
    <row r="768" spans="1:14" hidden="1" x14ac:dyDescent="0.25">
      <c r="A768" s="17" t="s">
        <v>10</v>
      </c>
      <c r="B768" s="17" t="s">
        <v>1696</v>
      </c>
      <c r="C768" s="17" t="s">
        <v>1737</v>
      </c>
      <c r="D768" s="17" t="s">
        <v>3552</v>
      </c>
      <c r="E768" s="17" t="s">
        <v>3697</v>
      </c>
      <c r="F768" s="17" t="s">
        <v>3698</v>
      </c>
      <c r="G768" s="17" t="s">
        <v>6592</v>
      </c>
      <c r="H768" t="s">
        <v>7476</v>
      </c>
      <c r="I768" s="1">
        <v>2</v>
      </c>
      <c r="J768" s="1">
        <v>2</v>
      </c>
      <c r="K768" t="s">
        <v>6639</v>
      </c>
      <c r="L768" s="5">
        <f>VLOOKUP(D:D,[1]Munka2!$A:$B,2,FALSE)</f>
        <v>1</v>
      </c>
      <c r="M768" s="5">
        <f>_xlfn.IFNA(Táblázat1[[#This Row],[Kész2020]],0)</f>
        <v>1</v>
      </c>
      <c r="N768" s="5">
        <f>IF(Táblázat1[[#This Row],[Karb./akt.év]]-Táblázat1[[#This Row],[Kész2020_2]]&lt;0,0,Táblázat1[[#This Row],[Karb./akt.év]]-Táblázat1[[#This Row],[Kész2020_2]])</f>
        <v>1</v>
      </c>
    </row>
    <row r="769" spans="1:14" x14ac:dyDescent="0.25">
      <c r="A769" s="17" t="s">
        <v>10</v>
      </c>
      <c r="B769" s="17" t="s">
        <v>1151</v>
      </c>
      <c r="C769" s="17" t="s">
        <v>1737</v>
      </c>
      <c r="D769" s="17" t="s">
        <v>2949</v>
      </c>
      <c r="E769" s="17" t="s">
        <v>3759</v>
      </c>
      <c r="F769" s="17" t="s">
        <v>3760</v>
      </c>
      <c r="G769" s="17" t="s">
        <v>6079</v>
      </c>
      <c r="H769" t="s">
        <v>7476</v>
      </c>
      <c r="I769" s="1">
        <v>2</v>
      </c>
      <c r="J769" s="1">
        <v>2</v>
      </c>
      <c r="K769" t="s">
        <v>6636</v>
      </c>
      <c r="L769" s="5" t="e">
        <f>VLOOKUP(D:D,[1]Munka2!$A:$B,2,FALSE)</f>
        <v>#N/A</v>
      </c>
      <c r="M769" s="5">
        <f>_xlfn.IFNA(Táblázat1[[#This Row],[Kész2020]],0)</f>
        <v>0</v>
      </c>
      <c r="N769" s="5">
        <f>IF(Táblázat1[[#This Row],[Karb./akt.év]]-Táblázat1[[#This Row],[Kész2020_2]]&lt;0,0,Táblázat1[[#This Row],[Karb./akt.év]]-Táblázat1[[#This Row],[Kész2020_2]])</f>
        <v>2</v>
      </c>
    </row>
    <row r="770" spans="1:14" x14ac:dyDescent="0.25">
      <c r="A770" s="17" t="s">
        <v>10</v>
      </c>
      <c r="B770" s="17" t="s">
        <v>7218</v>
      </c>
      <c r="C770" s="17" t="s">
        <v>1735</v>
      </c>
      <c r="D770" s="17" t="s">
        <v>7238</v>
      </c>
      <c r="E770" s="17" t="s">
        <v>4419</v>
      </c>
      <c r="F770" s="17" t="s">
        <v>4420</v>
      </c>
      <c r="G770" s="17" t="s">
        <v>5817</v>
      </c>
      <c r="H770" t="s">
        <v>7476</v>
      </c>
      <c r="I770" s="1">
        <v>2</v>
      </c>
      <c r="J770" s="1">
        <v>2</v>
      </c>
      <c r="K770" t="s">
        <v>6634</v>
      </c>
      <c r="L770" s="5" t="e">
        <f>VLOOKUP(D:D,[1]Munka2!$A:$B,2,FALSE)</f>
        <v>#N/A</v>
      </c>
      <c r="M770" s="5">
        <f>_xlfn.IFNA(Táblázat1[[#This Row],[Kész2020]],0)</f>
        <v>0</v>
      </c>
      <c r="N770" s="5">
        <f>IF(Táblázat1[[#This Row],[Karb./akt.év]]-Táblázat1[[#This Row],[Kész2020_2]]&lt;0,0,Táblázat1[[#This Row],[Karb./akt.év]]-Táblázat1[[#This Row],[Kész2020_2]])</f>
        <v>2</v>
      </c>
    </row>
    <row r="771" spans="1:14" x14ac:dyDescent="0.25">
      <c r="A771" s="17" t="s">
        <v>10</v>
      </c>
      <c r="B771" s="17" t="s">
        <v>776</v>
      </c>
      <c r="C771" s="17" t="s">
        <v>1735</v>
      </c>
      <c r="D771" s="17" t="s">
        <v>2552</v>
      </c>
      <c r="E771" s="17" t="s">
        <v>3659</v>
      </c>
      <c r="F771" s="17" t="s">
        <v>3660</v>
      </c>
      <c r="G771" s="17" t="s">
        <v>5720</v>
      </c>
      <c r="H771" t="s">
        <v>7476</v>
      </c>
      <c r="I771" s="1">
        <v>2</v>
      </c>
      <c r="J771" s="1">
        <v>2</v>
      </c>
      <c r="K771" t="s">
        <v>7354</v>
      </c>
      <c r="L771" s="5" t="e">
        <f>VLOOKUP(D:D,[1]Munka2!$A:$B,2,FALSE)</f>
        <v>#N/A</v>
      </c>
      <c r="M771" s="5">
        <f>_xlfn.IFNA(Táblázat1[[#This Row],[Kész2020]],0)</f>
        <v>0</v>
      </c>
      <c r="N771" s="5">
        <f>IF(Táblázat1[[#This Row],[Karb./akt.év]]-Táblázat1[[#This Row],[Kész2020_2]]&lt;0,0,Táblázat1[[#This Row],[Karb./akt.év]]-Táblázat1[[#This Row],[Kész2020_2]])</f>
        <v>2</v>
      </c>
    </row>
    <row r="772" spans="1:14" hidden="1" x14ac:dyDescent="0.25">
      <c r="A772" s="17" t="s">
        <v>10</v>
      </c>
      <c r="B772" s="17" t="s">
        <v>1210</v>
      </c>
      <c r="C772" s="17" t="s">
        <v>1735</v>
      </c>
      <c r="D772" s="17" t="s">
        <v>3016</v>
      </c>
      <c r="E772" s="17" t="s">
        <v>4205</v>
      </c>
      <c r="F772" s="17" t="s">
        <v>3598</v>
      </c>
      <c r="G772" s="17" t="s">
        <v>6139</v>
      </c>
      <c r="H772" t="s">
        <v>7476</v>
      </c>
      <c r="I772" s="1">
        <v>2</v>
      </c>
      <c r="J772" s="1">
        <v>2</v>
      </c>
      <c r="K772" t="s">
        <v>7017</v>
      </c>
      <c r="L772" s="5">
        <f>VLOOKUP(D:D,[1]Munka2!$A:$B,2,FALSE)</f>
        <v>1</v>
      </c>
      <c r="M772" s="5">
        <f>_xlfn.IFNA(Táblázat1[[#This Row],[Kész2020]],0)</f>
        <v>1</v>
      </c>
      <c r="N772" s="5">
        <f>IF(Táblázat1[[#This Row],[Karb./akt.év]]-Táblázat1[[#This Row],[Kész2020_2]]&lt;0,0,Táblázat1[[#This Row],[Karb./akt.év]]-Táblázat1[[#This Row],[Kész2020_2]])</f>
        <v>1</v>
      </c>
    </row>
    <row r="773" spans="1:14" x14ac:dyDescent="0.25">
      <c r="A773" s="17" t="s">
        <v>10</v>
      </c>
      <c r="B773" s="17" t="s">
        <v>59</v>
      </c>
      <c r="C773" s="17" t="s">
        <v>1735</v>
      </c>
      <c r="D773" s="17" t="s">
        <v>1798</v>
      </c>
      <c r="E773" s="17" t="s">
        <v>3640</v>
      </c>
      <c r="F773" s="17" t="s">
        <v>3598</v>
      </c>
      <c r="G773" s="17" t="s">
        <v>5035</v>
      </c>
      <c r="H773" t="s">
        <v>7476</v>
      </c>
      <c r="I773" s="1">
        <v>2</v>
      </c>
      <c r="J773" s="1">
        <v>2</v>
      </c>
      <c r="K773" t="s">
        <v>6633</v>
      </c>
      <c r="L773" s="5" t="e">
        <f>VLOOKUP(D:D,[1]Munka2!$A:$B,2,FALSE)</f>
        <v>#N/A</v>
      </c>
      <c r="M773" s="5">
        <f>_xlfn.IFNA(Táblázat1[[#This Row],[Kész2020]],0)</f>
        <v>0</v>
      </c>
      <c r="N773" s="5">
        <f>IF(Táblázat1[[#This Row],[Karb./akt.év]]-Táblázat1[[#This Row],[Kész2020_2]]&lt;0,0,Táblázat1[[#This Row],[Karb./akt.év]]-Táblázat1[[#This Row],[Kész2020_2]])</f>
        <v>2</v>
      </c>
    </row>
    <row r="774" spans="1:14" x14ac:dyDescent="0.25">
      <c r="A774" s="17" t="s">
        <v>10</v>
      </c>
      <c r="B774" s="17" t="s">
        <v>396</v>
      </c>
      <c r="C774" s="17" t="s">
        <v>1735</v>
      </c>
      <c r="D774" s="17" t="s">
        <v>2151</v>
      </c>
      <c r="E774" s="17" t="s">
        <v>3676</v>
      </c>
      <c r="F774" s="17" t="s">
        <v>3598</v>
      </c>
      <c r="G774" s="17" t="s">
        <v>5364</v>
      </c>
      <c r="H774" t="s">
        <v>7476</v>
      </c>
      <c r="I774" s="1">
        <v>2</v>
      </c>
      <c r="J774" s="1">
        <v>2</v>
      </c>
      <c r="K774" t="s">
        <v>8101</v>
      </c>
      <c r="L774" s="5" t="e">
        <f>VLOOKUP(D:D,[1]Munka2!$A:$B,2,FALSE)</f>
        <v>#N/A</v>
      </c>
      <c r="M774" s="5">
        <f>_xlfn.IFNA(Táblázat1[[#This Row],[Kész2020]],0)</f>
        <v>0</v>
      </c>
      <c r="N774" s="5">
        <f>IF(Táblázat1[[#This Row],[Karb./akt.év]]-Táblázat1[[#This Row],[Kész2020_2]]&lt;0,0,Táblázat1[[#This Row],[Karb./akt.év]]-Táblázat1[[#This Row],[Kész2020_2]])</f>
        <v>2</v>
      </c>
    </row>
    <row r="775" spans="1:14" x14ac:dyDescent="0.25">
      <c r="A775" s="17" t="s">
        <v>10</v>
      </c>
      <c r="B775" s="17" t="s">
        <v>293</v>
      </c>
      <c r="C775" s="17" t="s">
        <v>1744</v>
      </c>
      <c r="D775" s="17" t="s">
        <v>2042</v>
      </c>
      <c r="E775" s="17" t="s">
        <v>3597</v>
      </c>
      <c r="F775" s="17" t="s">
        <v>3598</v>
      </c>
      <c r="G775" s="17" t="s">
        <v>5260</v>
      </c>
      <c r="H775" t="s">
        <v>7476</v>
      </c>
      <c r="I775" s="1">
        <v>2</v>
      </c>
      <c r="J775" s="1">
        <v>2</v>
      </c>
      <c r="K775" t="s">
        <v>6633</v>
      </c>
      <c r="L775" s="5" t="e">
        <f>VLOOKUP(D:D,[1]Munka2!$A:$B,2,FALSE)</f>
        <v>#N/A</v>
      </c>
      <c r="M775" s="5">
        <f>_xlfn.IFNA(Táblázat1[[#This Row],[Kész2020]],0)</f>
        <v>0</v>
      </c>
      <c r="N775" s="5">
        <f>IF(Táblázat1[[#This Row],[Karb./akt.év]]-Táblázat1[[#This Row],[Kész2020_2]]&lt;0,0,Táblázat1[[#This Row],[Karb./akt.év]]-Táblázat1[[#This Row],[Kész2020_2]])</f>
        <v>2</v>
      </c>
    </row>
    <row r="776" spans="1:14" hidden="1" x14ac:dyDescent="0.25">
      <c r="A776" s="17" t="s">
        <v>10</v>
      </c>
      <c r="B776" s="17" t="s">
        <v>1173</v>
      </c>
      <c r="C776" s="17" t="s">
        <v>1735</v>
      </c>
      <c r="D776" s="17" t="s">
        <v>2971</v>
      </c>
      <c r="E776" s="17" t="s">
        <v>4677</v>
      </c>
      <c r="F776" s="17" t="s">
        <v>4191</v>
      </c>
      <c r="G776" s="17" t="s">
        <v>6098</v>
      </c>
      <c r="H776" t="s">
        <v>7476</v>
      </c>
      <c r="I776" s="1">
        <v>2</v>
      </c>
      <c r="J776" s="1">
        <v>2</v>
      </c>
      <c r="K776" t="s">
        <v>7354</v>
      </c>
      <c r="L776" s="5">
        <f>VLOOKUP(D:D,[1]Munka2!$A:$B,2,FALSE)</f>
        <v>1</v>
      </c>
      <c r="M776" s="5">
        <f>_xlfn.IFNA(Táblázat1[[#This Row],[Kész2020]],0)</f>
        <v>1</v>
      </c>
      <c r="N776" s="5">
        <f>IF(Táblázat1[[#This Row],[Karb./akt.év]]-Táblázat1[[#This Row],[Kész2020_2]]&lt;0,0,Táblázat1[[#This Row],[Karb./akt.év]]-Táblázat1[[#This Row],[Kész2020_2]])</f>
        <v>1</v>
      </c>
    </row>
    <row r="777" spans="1:14" hidden="1" x14ac:dyDescent="0.25">
      <c r="A777" s="17" t="s">
        <v>10</v>
      </c>
      <c r="B777" s="17" t="s">
        <v>1597</v>
      </c>
      <c r="C777" s="17" t="s">
        <v>1735</v>
      </c>
      <c r="D777" s="17" t="s">
        <v>3444</v>
      </c>
      <c r="E777" s="17" t="s">
        <v>3689</v>
      </c>
      <c r="F777" s="17" t="s">
        <v>3690</v>
      </c>
      <c r="G777" s="17" t="s">
        <v>6496</v>
      </c>
      <c r="H777" t="s">
        <v>7476</v>
      </c>
      <c r="I777" s="1">
        <v>2</v>
      </c>
      <c r="J777" s="1">
        <v>2</v>
      </c>
      <c r="K777" t="s">
        <v>6784</v>
      </c>
      <c r="L777" s="5">
        <f>VLOOKUP(D:D,[1]Munka2!$A:$B,2,FALSE)</f>
        <v>1</v>
      </c>
      <c r="M777" s="5">
        <f>_xlfn.IFNA(Táblázat1[[#This Row],[Kész2020]],0)</f>
        <v>1</v>
      </c>
      <c r="N777" s="5">
        <f>IF(Táblázat1[[#This Row],[Karb./akt.év]]-Táblázat1[[#This Row],[Kész2020_2]]&lt;0,0,Táblázat1[[#This Row],[Karb./akt.év]]-Táblázat1[[#This Row],[Kész2020_2]])</f>
        <v>1</v>
      </c>
    </row>
    <row r="778" spans="1:14" hidden="1" x14ac:dyDescent="0.25">
      <c r="A778" s="17" t="s">
        <v>10</v>
      </c>
      <c r="B778" s="17" t="s">
        <v>846</v>
      </c>
      <c r="C778" s="17" t="s">
        <v>1737</v>
      </c>
      <c r="D778" s="17" t="s">
        <v>2624</v>
      </c>
      <c r="E778" s="17" t="s">
        <v>4415</v>
      </c>
      <c r="F778" s="17" t="s">
        <v>4416</v>
      </c>
      <c r="G778" s="17" t="s">
        <v>5784</v>
      </c>
      <c r="H778" t="s">
        <v>7476</v>
      </c>
      <c r="I778" s="1">
        <v>2</v>
      </c>
      <c r="J778" s="1">
        <v>2</v>
      </c>
      <c r="K778" t="s">
        <v>6636</v>
      </c>
      <c r="L778" s="5">
        <f>VLOOKUP(D:D,[1]Munka2!$A:$B,2,FALSE)</f>
        <v>1</v>
      </c>
      <c r="M778" s="5">
        <f>_xlfn.IFNA(Táblázat1[[#This Row],[Kész2020]],0)</f>
        <v>1</v>
      </c>
      <c r="N778" s="5">
        <f>IF(Táblázat1[[#This Row],[Karb./akt.év]]-Táblázat1[[#This Row],[Kész2020_2]]&lt;0,0,Táblázat1[[#This Row],[Karb./akt.év]]-Táblázat1[[#This Row],[Kész2020_2]])</f>
        <v>1</v>
      </c>
    </row>
    <row r="779" spans="1:14" hidden="1" x14ac:dyDescent="0.25">
      <c r="A779" s="17" t="s">
        <v>10</v>
      </c>
      <c r="B779" s="17" t="s">
        <v>1429</v>
      </c>
      <c r="C779" s="17" t="s">
        <v>1737</v>
      </c>
      <c r="D779" s="17" t="s">
        <v>3259</v>
      </c>
      <c r="E779" s="17" t="s">
        <v>4295</v>
      </c>
      <c r="F779" s="17" t="s">
        <v>4296</v>
      </c>
      <c r="G779" s="17" t="s">
        <v>6333</v>
      </c>
      <c r="H779" t="s">
        <v>7476</v>
      </c>
      <c r="I779" s="1">
        <v>2</v>
      </c>
      <c r="J779" s="1">
        <v>2</v>
      </c>
      <c r="K779" t="s">
        <v>6634</v>
      </c>
      <c r="L779" s="5">
        <f>VLOOKUP(D:D,[1]Munka2!$A:$B,2,FALSE)</f>
        <v>1</v>
      </c>
      <c r="M779" s="5">
        <f>_xlfn.IFNA(Táblázat1[[#This Row],[Kész2020]],0)</f>
        <v>1</v>
      </c>
      <c r="N779" s="5">
        <f>IF(Táblázat1[[#This Row],[Karb./akt.év]]-Táblázat1[[#This Row],[Kész2020_2]]&lt;0,0,Táblázat1[[#This Row],[Karb./akt.év]]-Táblázat1[[#This Row],[Kész2020_2]])</f>
        <v>1</v>
      </c>
    </row>
    <row r="780" spans="1:14" hidden="1" x14ac:dyDescent="0.25">
      <c r="A780" s="17" t="s">
        <v>10</v>
      </c>
      <c r="B780" s="17" t="s">
        <v>871</v>
      </c>
      <c r="C780" s="17" t="s">
        <v>1737</v>
      </c>
      <c r="D780" s="17" t="s">
        <v>2652</v>
      </c>
      <c r="E780" s="17" t="s">
        <v>4442</v>
      </c>
      <c r="F780" s="17" t="s">
        <v>4443</v>
      </c>
      <c r="G780" s="17" t="s">
        <v>5808</v>
      </c>
      <c r="H780" t="s">
        <v>7476</v>
      </c>
      <c r="I780" s="1">
        <v>2</v>
      </c>
      <c r="J780" s="1">
        <v>2</v>
      </c>
      <c r="K780" t="s">
        <v>6637</v>
      </c>
      <c r="L780" s="5">
        <f>VLOOKUP(D:D,[1]Munka2!$A:$B,2,FALSE)</f>
        <v>1</v>
      </c>
      <c r="M780" s="5">
        <f>_xlfn.IFNA(Táblázat1[[#This Row],[Kész2020]],0)</f>
        <v>1</v>
      </c>
      <c r="N780" s="5">
        <f>IF(Táblázat1[[#This Row],[Karb./akt.év]]-Táblázat1[[#This Row],[Kész2020_2]]&lt;0,0,Táblázat1[[#This Row],[Karb./akt.év]]-Táblázat1[[#This Row],[Kész2020_2]])</f>
        <v>1</v>
      </c>
    </row>
    <row r="781" spans="1:14" hidden="1" x14ac:dyDescent="0.25">
      <c r="A781" s="17" t="s">
        <v>10</v>
      </c>
      <c r="B781" s="17" t="s">
        <v>1511</v>
      </c>
      <c r="C781" s="17" t="s">
        <v>1735</v>
      </c>
      <c r="D781" s="17" t="s">
        <v>3352</v>
      </c>
      <c r="E781" s="17" t="s">
        <v>3893</v>
      </c>
      <c r="F781" s="17" t="s">
        <v>3664</v>
      </c>
      <c r="G781" s="17" t="s">
        <v>6417</v>
      </c>
      <c r="H781" t="s">
        <v>7476</v>
      </c>
      <c r="I781" s="1">
        <v>2</v>
      </c>
      <c r="J781" s="1">
        <v>2</v>
      </c>
      <c r="K781" t="s">
        <v>6638</v>
      </c>
      <c r="L781" s="5">
        <f>VLOOKUP(D:D,[1]Munka2!$A:$B,2,FALSE)</f>
        <v>1</v>
      </c>
      <c r="M781" s="5">
        <f>_xlfn.IFNA(Táblázat1[[#This Row],[Kész2020]],0)</f>
        <v>1</v>
      </c>
      <c r="N781" s="5">
        <f>IF(Táblázat1[[#This Row],[Karb./akt.év]]-Táblázat1[[#This Row],[Kész2020_2]]&lt;0,0,Táblázat1[[#This Row],[Karb./akt.év]]-Táblázat1[[#This Row],[Kész2020_2]])</f>
        <v>1</v>
      </c>
    </row>
    <row r="782" spans="1:14" hidden="1" x14ac:dyDescent="0.25">
      <c r="A782" s="17" t="s">
        <v>10</v>
      </c>
      <c r="B782" s="17" t="s">
        <v>475</v>
      </c>
      <c r="C782" s="17" t="s">
        <v>1735</v>
      </c>
      <c r="D782" s="17" t="s">
        <v>2232</v>
      </c>
      <c r="E782" s="17" t="s">
        <v>3773</v>
      </c>
      <c r="F782" s="17" t="s">
        <v>3774</v>
      </c>
      <c r="G782" s="17" t="s">
        <v>5436</v>
      </c>
      <c r="H782" t="s">
        <v>7476</v>
      </c>
      <c r="I782" s="1">
        <v>2</v>
      </c>
      <c r="J782" s="1">
        <v>2</v>
      </c>
      <c r="K782" t="s">
        <v>6636</v>
      </c>
      <c r="L782" s="5">
        <f>VLOOKUP(D:D,[1]Munka2!$A:$B,2,FALSE)</f>
        <v>1</v>
      </c>
      <c r="M782" s="5">
        <f>_xlfn.IFNA(Táblázat1[[#This Row],[Kész2020]],0)</f>
        <v>1</v>
      </c>
      <c r="N782" s="5">
        <f>IF(Táblázat1[[#This Row],[Karb./akt.év]]-Táblázat1[[#This Row],[Kész2020_2]]&lt;0,0,Táblázat1[[#This Row],[Karb./akt.év]]-Táblázat1[[#This Row],[Kész2020_2]])</f>
        <v>1</v>
      </c>
    </row>
    <row r="783" spans="1:14" x14ac:dyDescent="0.25">
      <c r="A783" s="17" t="s">
        <v>10</v>
      </c>
      <c r="B783" s="17" t="s">
        <v>194</v>
      </c>
      <c r="C783" s="17" t="s">
        <v>1735</v>
      </c>
      <c r="D783" s="17" t="s">
        <v>1934</v>
      </c>
      <c r="E783" s="17" t="s">
        <v>3813</v>
      </c>
      <c r="F783" s="17" t="s">
        <v>3799</v>
      </c>
      <c r="G783" s="17" t="s">
        <v>5163</v>
      </c>
      <c r="H783" t="s">
        <v>7476</v>
      </c>
      <c r="I783" s="1">
        <v>2</v>
      </c>
      <c r="J783" s="1">
        <v>2</v>
      </c>
      <c r="K783" t="s">
        <v>6636</v>
      </c>
      <c r="L783" s="5" t="e">
        <f>VLOOKUP(D:D,[1]Munka2!$A:$B,2,FALSE)</f>
        <v>#N/A</v>
      </c>
      <c r="M783" s="5">
        <f>_xlfn.IFNA(Táblázat1[[#This Row],[Kész2020]],0)</f>
        <v>0</v>
      </c>
      <c r="N783" s="5">
        <f>IF(Táblázat1[[#This Row],[Karb./akt.év]]-Táblázat1[[#This Row],[Kész2020_2]]&lt;0,0,Táblázat1[[#This Row],[Karb./akt.év]]-Táblázat1[[#This Row],[Kész2020_2]])</f>
        <v>2</v>
      </c>
    </row>
    <row r="784" spans="1:14" hidden="1" x14ac:dyDescent="0.25">
      <c r="A784" s="17" t="s">
        <v>10</v>
      </c>
      <c r="B784" s="17" t="s">
        <v>1034</v>
      </c>
      <c r="C784" s="17" t="s">
        <v>1737</v>
      </c>
      <c r="D784" s="17" t="s">
        <v>2824</v>
      </c>
      <c r="E784" s="17" t="s">
        <v>3680</v>
      </c>
      <c r="F784" s="17" t="s">
        <v>3681</v>
      </c>
      <c r="G784" s="17" t="s">
        <v>5961</v>
      </c>
      <c r="H784" t="s">
        <v>7476</v>
      </c>
      <c r="I784" s="1">
        <v>2</v>
      </c>
      <c r="J784" s="1">
        <v>2</v>
      </c>
      <c r="K784" t="s">
        <v>6637</v>
      </c>
      <c r="L784" s="5">
        <f>VLOOKUP(D:D,[1]Munka2!$A:$B,2,FALSE)</f>
        <v>1</v>
      </c>
      <c r="M784" s="5">
        <f>_xlfn.IFNA(Táblázat1[[#This Row],[Kész2020]],0)</f>
        <v>1</v>
      </c>
      <c r="N784" s="5">
        <f>IF(Táblázat1[[#This Row],[Karb./akt.év]]-Táblázat1[[#This Row],[Kész2020_2]]&lt;0,0,Táblázat1[[#This Row],[Karb./akt.év]]-Táblázat1[[#This Row],[Kész2020_2]])</f>
        <v>1</v>
      </c>
    </row>
    <row r="785" spans="1:14" hidden="1" x14ac:dyDescent="0.25">
      <c r="A785" s="17" t="s">
        <v>10</v>
      </c>
      <c r="B785" s="17" t="s">
        <v>8158</v>
      </c>
      <c r="C785" s="17" t="s">
        <v>1735</v>
      </c>
      <c r="D785" s="17" t="s">
        <v>8161</v>
      </c>
      <c r="E785" s="17" t="s">
        <v>3726</v>
      </c>
      <c r="F785" s="17" t="s">
        <v>3727</v>
      </c>
      <c r="G785" s="17" t="s">
        <v>8164</v>
      </c>
      <c r="H785" t="s">
        <v>7476</v>
      </c>
      <c r="I785" s="1">
        <v>2</v>
      </c>
      <c r="J785" s="1">
        <v>1</v>
      </c>
      <c r="K785" t="s">
        <v>6642</v>
      </c>
      <c r="L785" s="5" t="e">
        <f>VLOOKUP(D:D,[1]Munka2!$A:$B,2,FALSE)</f>
        <v>#N/A</v>
      </c>
      <c r="M785" s="5">
        <f>_xlfn.IFNA(Táblázat1[[#This Row],[Kész2020]],0)</f>
        <v>0</v>
      </c>
      <c r="N785" s="5">
        <f>IF(Táblázat1[[#This Row],[Karb./akt.év]]-Táblázat1[[#This Row],[Kész2020_2]]&lt;0,0,Táblázat1[[#This Row],[Karb./akt.év]]-Táblázat1[[#This Row],[Kész2020_2]])</f>
        <v>1</v>
      </c>
    </row>
    <row r="786" spans="1:14" x14ac:dyDescent="0.25">
      <c r="A786" s="17" t="s">
        <v>10</v>
      </c>
      <c r="B786" s="17" t="s">
        <v>1228</v>
      </c>
      <c r="C786" s="17" t="s">
        <v>1735</v>
      </c>
      <c r="D786" s="17" t="s">
        <v>3035</v>
      </c>
      <c r="E786" s="17" t="s">
        <v>3711</v>
      </c>
      <c r="F786" s="17" t="s">
        <v>3712</v>
      </c>
      <c r="G786" s="17" t="s">
        <v>6157</v>
      </c>
      <c r="H786" t="s">
        <v>7476</v>
      </c>
      <c r="I786" s="1">
        <v>2</v>
      </c>
      <c r="J786" s="1">
        <v>2</v>
      </c>
      <c r="K786" t="s">
        <v>6633</v>
      </c>
      <c r="L786" s="5" t="e">
        <f>VLOOKUP(D:D,[1]Munka2!$A:$B,2,FALSE)</f>
        <v>#N/A</v>
      </c>
      <c r="M786" s="5">
        <f>_xlfn.IFNA(Táblázat1[[#This Row],[Kész2020]],0)</f>
        <v>0</v>
      </c>
      <c r="N786" s="5">
        <f>IF(Táblázat1[[#This Row],[Karb./akt.év]]-Táblázat1[[#This Row],[Kész2020_2]]&lt;0,0,Táblázat1[[#This Row],[Karb./akt.év]]-Táblázat1[[#This Row],[Kész2020_2]])</f>
        <v>2</v>
      </c>
    </row>
    <row r="787" spans="1:14" x14ac:dyDescent="0.25">
      <c r="A787" s="17" t="s">
        <v>10</v>
      </c>
      <c r="B787" s="17" t="s">
        <v>1695</v>
      </c>
      <c r="C787" s="17" t="s">
        <v>1735</v>
      </c>
      <c r="D787" s="17" t="s">
        <v>3550</v>
      </c>
      <c r="E787" s="17" t="s">
        <v>4279</v>
      </c>
      <c r="F787" s="17" t="s">
        <v>3598</v>
      </c>
      <c r="G787" s="17" t="s">
        <v>6591</v>
      </c>
      <c r="H787" t="s">
        <v>7476</v>
      </c>
      <c r="I787" s="1">
        <v>2</v>
      </c>
      <c r="J787" s="1">
        <v>2</v>
      </c>
      <c r="K787" t="s">
        <v>6633</v>
      </c>
      <c r="L787" s="5" t="e">
        <f>VLOOKUP(D:D,[1]Munka2!$A:$B,2,FALSE)</f>
        <v>#N/A</v>
      </c>
      <c r="M787" s="5">
        <f>_xlfn.IFNA(Táblázat1[[#This Row],[Kész2020]],0)</f>
        <v>0</v>
      </c>
      <c r="N787" s="5">
        <f>IF(Táblázat1[[#This Row],[Karb./akt.év]]-Táblázat1[[#This Row],[Kész2020_2]]&lt;0,0,Táblázat1[[#This Row],[Karb./akt.év]]-Táblázat1[[#This Row],[Kész2020_2]])</f>
        <v>2</v>
      </c>
    </row>
    <row r="788" spans="1:14" x14ac:dyDescent="0.25">
      <c r="A788" s="17" t="s">
        <v>10</v>
      </c>
      <c r="B788" s="17" t="s">
        <v>1459</v>
      </c>
      <c r="C788" s="17" t="s">
        <v>1735</v>
      </c>
      <c r="D788" s="17" t="s">
        <v>3290</v>
      </c>
      <c r="E788" s="17" t="s">
        <v>3928</v>
      </c>
      <c r="F788" s="17" t="s">
        <v>3929</v>
      </c>
      <c r="G788" s="17" t="s">
        <v>6365</v>
      </c>
      <c r="H788" t="s">
        <v>7476</v>
      </c>
      <c r="I788" s="1">
        <v>2</v>
      </c>
      <c r="J788" s="1">
        <v>2</v>
      </c>
      <c r="K788" t="s">
        <v>8102</v>
      </c>
      <c r="L788" s="5" t="e">
        <f>VLOOKUP(D:D,[1]Munka2!$A:$B,2,FALSE)</f>
        <v>#N/A</v>
      </c>
      <c r="M788" s="5">
        <f>_xlfn.IFNA(Táblázat1[[#This Row],[Kész2020]],0)</f>
        <v>0</v>
      </c>
      <c r="N788" s="5">
        <f>IF(Táblázat1[[#This Row],[Karb./akt.év]]-Táblázat1[[#This Row],[Kész2020_2]]&lt;0,0,Táblázat1[[#This Row],[Karb./akt.év]]-Táblázat1[[#This Row],[Kész2020_2]])</f>
        <v>2</v>
      </c>
    </row>
    <row r="789" spans="1:14" hidden="1" x14ac:dyDescent="0.25">
      <c r="A789" s="17" t="s">
        <v>10</v>
      </c>
      <c r="B789" s="17" t="s">
        <v>1195</v>
      </c>
      <c r="C789" s="17" t="s">
        <v>1735</v>
      </c>
      <c r="D789" s="17" t="s">
        <v>2999</v>
      </c>
      <c r="E789" s="17" t="s">
        <v>3881</v>
      </c>
      <c r="F789" s="17" t="s">
        <v>3755</v>
      </c>
      <c r="G789" s="17" t="s">
        <v>6123</v>
      </c>
      <c r="H789" t="s">
        <v>7476</v>
      </c>
      <c r="I789" s="1">
        <v>2</v>
      </c>
      <c r="J789" s="1">
        <v>2</v>
      </c>
      <c r="K789" t="s">
        <v>6640</v>
      </c>
      <c r="L789" s="5">
        <f>VLOOKUP(D:D,[1]Munka2!$A:$B,2,FALSE)</f>
        <v>1</v>
      </c>
      <c r="M789" s="5">
        <f>_xlfn.IFNA(Táblázat1[[#This Row],[Kész2020]],0)</f>
        <v>1</v>
      </c>
      <c r="N789" s="5">
        <f>IF(Táblázat1[[#This Row],[Karb./akt.év]]-Táblázat1[[#This Row],[Kész2020_2]]&lt;0,0,Táblázat1[[#This Row],[Karb./akt.év]]-Táblázat1[[#This Row],[Kész2020_2]])</f>
        <v>1</v>
      </c>
    </row>
    <row r="790" spans="1:14" hidden="1" x14ac:dyDescent="0.25">
      <c r="A790" s="17" t="s">
        <v>10</v>
      </c>
      <c r="B790" s="17" t="s">
        <v>1294</v>
      </c>
      <c r="C790" s="17" t="s">
        <v>1737</v>
      </c>
      <c r="D790" s="17" t="s">
        <v>3107</v>
      </c>
      <c r="E790" s="17" t="s">
        <v>4061</v>
      </c>
      <c r="F790" s="17" t="s">
        <v>4062</v>
      </c>
      <c r="G790" s="17" t="s">
        <v>6214</v>
      </c>
      <c r="H790" t="s">
        <v>7476</v>
      </c>
      <c r="I790" s="1">
        <v>2</v>
      </c>
      <c r="J790" s="1">
        <v>2</v>
      </c>
      <c r="K790" t="s">
        <v>6636</v>
      </c>
      <c r="L790" s="5">
        <f>VLOOKUP(D:D,[1]Munka2!$A:$B,2,FALSE)</f>
        <v>1</v>
      </c>
      <c r="M790" s="5">
        <f>_xlfn.IFNA(Táblázat1[[#This Row],[Kész2020]],0)</f>
        <v>1</v>
      </c>
      <c r="N790" s="5">
        <f>IF(Táblázat1[[#This Row],[Karb./akt.év]]-Táblázat1[[#This Row],[Kész2020_2]]&lt;0,0,Táblázat1[[#This Row],[Karb./akt.év]]-Táblázat1[[#This Row],[Kész2020_2]])</f>
        <v>1</v>
      </c>
    </row>
    <row r="791" spans="1:14" x14ac:dyDescent="0.25">
      <c r="A791" s="17" t="s">
        <v>10</v>
      </c>
      <c r="B791" s="17" t="s">
        <v>1088</v>
      </c>
      <c r="C791" s="17" t="s">
        <v>1737</v>
      </c>
      <c r="D791" s="17" t="s">
        <v>2878</v>
      </c>
      <c r="E791" s="17" t="s">
        <v>3797</v>
      </c>
      <c r="F791" s="17" t="s">
        <v>3598</v>
      </c>
      <c r="G791" s="17" t="s">
        <v>6017</v>
      </c>
      <c r="H791" t="s">
        <v>7476</v>
      </c>
      <c r="I791" s="1">
        <v>2</v>
      </c>
      <c r="J791" s="1">
        <v>2</v>
      </c>
      <c r="K791" t="s">
        <v>6641</v>
      </c>
      <c r="L791" s="5" t="e">
        <f>VLOOKUP(D:D,[1]Munka2!$A:$B,2,FALSE)</f>
        <v>#N/A</v>
      </c>
      <c r="M791" s="5">
        <f>_xlfn.IFNA(Táblázat1[[#This Row],[Kész2020]],0)</f>
        <v>0</v>
      </c>
      <c r="N791" s="5">
        <f>IF(Táblázat1[[#This Row],[Karb./akt.év]]-Táblázat1[[#This Row],[Kész2020_2]]&lt;0,0,Táblázat1[[#This Row],[Karb./akt.év]]-Táblázat1[[#This Row],[Kész2020_2]])</f>
        <v>2</v>
      </c>
    </row>
    <row r="792" spans="1:14" hidden="1" x14ac:dyDescent="0.25">
      <c r="A792" s="17" t="s">
        <v>10</v>
      </c>
      <c r="B792" s="17" t="s">
        <v>1348</v>
      </c>
      <c r="C792" s="17" t="s">
        <v>1737</v>
      </c>
      <c r="D792" s="17" t="s">
        <v>3166</v>
      </c>
      <c r="E792" s="17" t="s">
        <v>4281</v>
      </c>
      <c r="F792" s="17" t="s">
        <v>4282</v>
      </c>
      <c r="G792" s="17" t="s">
        <v>6263</v>
      </c>
      <c r="H792" t="s">
        <v>7476</v>
      </c>
      <c r="I792" s="1">
        <v>2</v>
      </c>
      <c r="J792" s="1">
        <v>2</v>
      </c>
      <c r="K792" t="s">
        <v>6784</v>
      </c>
      <c r="L792" s="5">
        <f>VLOOKUP(D:D,[1]Munka2!$A:$B,2,FALSE)</f>
        <v>1</v>
      </c>
      <c r="M792" s="5">
        <f>_xlfn.IFNA(Táblázat1[[#This Row],[Kész2020]],0)</f>
        <v>1</v>
      </c>
      <c r="N792" s="5">
        <f>IF(Táblázat1[[#This Row],[Karb./akt.év]]-Táblázat1[[#This Row],[Kész2020_2]]&lt;0,0,Táblázat1[[#This Row],[Karb./akt.év]]-Táblázat1[[#This Row],[Kész2020_2]])</f>
        <v>1</v>
      </c>
    </row>
    <row r="793" spans="1:14" hidden="1" x14ac:dyDescent="0.25">
      <c r="A793" s="17" t="s">
        <v>10</v>
      </c>
      <c r="B793" s="17" t="s">
        <v>799</v>
      </c>
      <c r="C793" s="17" t="s">
        <v>1735</v>
      </c>
      <c r="D793" s="17" t="s">
        <v>2575</v>
      </c>
      <c r="E793" s="17" t="s">
        <v>4265</v>
      </c>
      <c r="F793" s="17" t="s">
        <v>3598</v>
      </c>
      <c r="G793" s="17" t="s">
        <v>5741</v>
      </c>
      <c r="H793" t="s">
        <v>7476</v>
      </c>
      <c r="I793" s="1">
        <v>2</v>
      </c>
      <c r="J793" s="1">
        <v>2</v>
      </c>
      <c r="K793" t="s">
        <v>6641</v>
      </c>
      <c r="L793" s="5">
        <f>VLOOKUP(D:D,[1]Munka2!$A:$B,2,FALSE)</f>
        <v>1</v>
      </c>
      <c r="M793" s="5">
        <f>_xlfn.IFNA(Táblázat1[[#This Row],[Kész2020]],0)</f>
        <v>1</v>
      </c>
      <c r="N793" s="5">
        <f>IF(Táblázat1[[#This Row],[Karb./akt.év]]-Táblázat1[[#This Row],[Kész2020_2]]&lt;0,0,Táblázat1[[#This Row],[Karb./akt.év]]-Táblázat1[[#This Row],[Kész2020_2]])</f>
        <v>1</v>
      </c>
    </row>
    <row r="794" spans="1:14" x14ac:dyDescent="0.25">
      <c r="A794" s="17" t="s">
        <v>10</v>
      </c>
      <c r="B794" s="17" t="s">
        <v>215</v>
      </c>
      <c r="C794" s="17" t="s">
        <v>1735</v>
      </c>
      <c r="D794" s="17" t="s">
        <v>1956</v>
      </c>
      <c r="E794" s="17" t="s">
        <v>3693</v>
      </c>
      <c r="F794" s="17" t="s">
        <v>3694</v>
      </c>
      <c r="G794" s="17" t="s">
        <v>5183</v>
      </c>
      <c r="H794" t="s">
        <v>7476</v>
      </c>
      <c r="I794" s="1">
        <v>2</v>
      </c>
      <c r="J794" s="1">
        <v>2</v>
      </c>
      <c r="K794" t="s">
        <v>6641</v>
      </c>
      <c r="L794" s="5" t="e">
        <f>VLOOKUP(D:D,[1]Munka2!$A:$B,2,FALSE)</f>
        <v>#N/A</v>
      </c>
      <c r="M794" s="5">
        <f>_xlfn.IFNA(Táblázat1[[#This Row],[Kész2020]],0)</f>
        <v>0</v>
      </c>
      <c r="N794" s="5">
        <f>IF(Táblázat1[[#This Row],[Karb./akt.év]]-Táblázat1[[#This Row],[Kész2020_2]]&lt;0,0,Táblázat1[[#This Row],[Karb./akt.év]]-Táblázat1[[#This Row],[Kész2020_2]])</f>
        <v>2</v>
      </c>
    </row>
    <row r="795" spans="1:14" hidden="1" x14ac:dyDescent="0.25">
      <c r="A795" s="17" t="s">
        <v>10</v>
      </c>
      <c r="B795" s="17" t="s">
        <v>1643</v>
      </c>
      <c r="C795" s="17" t="s">
        <v>1735</v>
      </c>
      <c r="D795" s="17" t="s">
        <v>3497</v>
      </c>
      <c r="E795" s="17" t="s">
        <v>3836</v>
      </c>
      <c r="F795" s="17" t="s">
        <v>3837</v>
      </c>
      <c r="G795" s="17" t="s">
        <v>6537</v>
      </c>
      <c r="H795" t="s">
        <v>7476</v>
      </c>
      <c r="I795" s="1">
        <v>2</v>
      </c>
      <c r="J795" s="1">
        <v>2</v>
      </c>
      <c r="K795" t="s">
        <v>8103</v>
      </c>
      <c r="L795" s="5">
        <f>VLOOKUP(D:D,[1]Munka2!$A:$B,2,FALSE)</f>
        <v>1</v>
      </c>
      <c r="M795" s="5">
        <f>_xlfn.IFNA(Táblázat1[[#This Row],[Kész2020]],0)</f>
        <v>1</v>
      </c>
      <c r="N795" s="5">
        <f>IF(Táblázat1[[#This Row],[Karb./akt.év]]-Táblázat1[[#This Row],[Kész2020_2]]&lt;0,0,Táblázat1[[#This Row],[Karb./akt.év]]-Táblázat1[[#This Row],[Kész2020_2]])</f>
        <v>1</v>
      </c>
    </row>
    <row r="796" spans="1:14" x14ac:dyDescent="0.25">
      <c r="A796" s="17" t="s">
        <v>10</v>
      </c>
      <c r="B796" s="17" t="s">
        <v>1725</v>
      </c>
      <c r="C796" s="17" t="s">
        <v>1735</v>
      </c>
      <c r="D796" s="17" t="s">
        <v>3584</v>
      </c>
      <c r="E796" s="17" t="s">
        <v>5003</v>
      </c>
      <c r="F796" s="17" t="s">
        <v>3598</v>
      </c>
      <c r="G796" s="17" t="s">
        <v>6620</v>
      </c>
      <c r="H796" t="s">
        <v>7476</v>
      </c>
      <c r="I796" s="1">
        <v>2</v>
      </c>
      <c r="J796" s="1">
        <v>2</v>
      </c>
      <c r="K796" t="s">
        <v>6636</v>
      </c>
      <c r="L796" s="5" t="e">
        <f>VLOOKUP(D:D,[1]Munka2!$A:$B,2,FALSE)</f>
        <v>#N/A</v>
      </c>
      <c r="M796" s="5">
        <f>_xlfn.IFNA(Táblázat1[[#This Row],[Kész2020]],0)</f>
        <v>0</v>
      </c>
      <c r="N796" s="5">
        <f>IF(Táblázat1[[#This Row],[Karb./akt.év]]-Táblázat1[[#This Row],[Kész2020_2]]&lt;0,0,Táblázat1[[#This Row],[Karb./akt.év]]-Táblázat1[[#This Row],[Kész2020_2]])</f>
        <v>2</v>
      </c>
    </row>
    <row r="797" spans="1:14" x14ac:dyDescent="0.25">
      <c r="A797" s="17" t="s">
        <v>10</v>
      </c>
      <c r="B797" s="17" t="s">
        <v>982</v>
      </c>
      <c r="C797" s="17" t="s">
        <v>1737</v>
      </c>
      <c r="D797" s="17" t="s">
        <v>2769</v>
      </c>
      <c r="E797" s="17" t="s">
        <v>3782</v>
      </c>
      <c r="F797" s="17" t="s">
        <v>3783</v>
      </c>
      <c r="G797" s="17" t="s">
        <v>5910</v>
      </c>
      <c r="H797" t="s">
        <v>7476</v>
      </c>
      <c r="I797" s="1">
        <v>2</v>
      </c>
      <c r="J797" s="1">
        <v>2</v>
      </c>
      <c r="K797" t="s">
        <v>8103</v>
      </c>
      <c r="L797" s="5" t="e">
        <f>VLOOKUP(D:D,[1]Munka2!$A:$B,2,FALSE)</f>
        <v>#N/A</v>
      </c>
      <c r="M797" s="5">
        <f>_xlfn.IFNA(Táblázat1[[#This Row],[Kész2020]],0)</f>
        <v>0</v>
      </c>
      <c r="N797" s="5">
        <f>IF(Táblázat1[[#This Row],[Karb./akt.év]]-Táblázat1[[#This Row],[Kész2020_2]]&lt;0,0,Táblázat1[[#This Row],[Karb./akt.év]]-Táblázat1[[#This Row],[Kész2020_2]])</f>
        <v>2</v>
      </c>
    </row>
    <row r="798" spans="1:14" x14ac:dyDescent="0.25">
      <c r="A798" s="17" t="s">
        <v>10</v>
      </c>
      <c r="B798" s="17" t="s">
        <v>424</v>
      </c>
      <c r="C798" s="17" t="s">
        <v>1735</v>
      </c>
      <c r="D798" s="17" t="s">
        <v>2179</v>
      </c>
      <c r="E798" s="17" t="s">
        <v>4024</v>
      </c>
      <c r="F798" s="17" t="s">
        <v>3598</v>
      </c>
      <c r="G798" s="17" t="s">
        <v>5389</v>
      </c>
      <c r="H798" t="s">
        <v>7476</v>
      </c>
      <c r="I798" s="1">
        <v>2</v>
      </c>
      <c r="J798" s="1">
        <v>2</v>
      </c>
      <c r="K798" t="s">
        <v>6785</v>
      </c>
      <c r="L798" s="5" t="e">
        <f>VLOOKUP(D:D,[1]Munka2!$A:$B,2,FALSE)</f>
        <v>#N/A</v>
      </c>
      <c r="M798" s="5">
        <f>_xlfn.IFNA(Táblázat1[[#This Row],[Kész2020]],0)</f>
        <v>0</v>
      </c>
      <c r="N798" s="5">
        <f>IF(Táblázat1[[#This Row],[Karb./akt.év]]-Táblázat1[[#This Row],[Kész2020_2]]&lt;0,0,Táblázat1[[#This Row],[Karb./akt.év]]-Táblázat1[[#This Row],[Kész2020_2]])</f>
        <v>2</v>
      </c>
    </row>
    <row r="799" spans="1:14" hidden="1" x14ac:dyDescent="0.25">
      <c r="A799" s="17" t="s">
        <v>10</v>
      </c>
      <c r="B799" s="17" t="s">
        <v>1321</v>
      </c>
      <c r="C799" s="17" t="s">
        <v>1737</v>
      </c>
      <c r="D799" s="17" t="s">
        <v>3136</v>
      </c>
      <c r="E799" s="17" t="s">
        <v>4814</v>
      </c>
      <c r="F799" s="17" t="s">
        <v>4815</v>
      </c>
      <c r="G799" s="17" t="s">
        <v>6240</v>
      </c>
      <c r="H799" t="s">
        <v>7476</v>
      </c>
      <c r="I799" s="1">
        <v>2</v>
      </c>
      <c r="J799" s="1">
        <v>2</v>
      </c>
      <c r="K799" t="s">
        <v>6641</v>
      </c>
      <c r="L799" s="5">
        <f>VLOOKUP(D:D,[1]Munka2!$A:$B,2,FALSE)</f>
        <v>1</v>
      </c>
      <c r="M799" s="5">
        <f>_xlfn.IFNA(Táblázat1[[#This Row],[Kész2020]],0)</f>
        <v>1</v>
      </c>
      <c r="N799" s="5">
        <f>IF(Táblázat1[[#This Row],[Karb./akt.év]]-Táblázat1[[#This Row],[Kész2020_2]]&lt;0,0,Táblázat1[[#This Row],[Karb./akt.év]]-Táblázat1[[#This Row],[Kész2020_2]])</f>
        <v>1</v>
      </c>
    </row>
    <row r="800" spans="1:14" hidden="1" x14ac:dyDescent="0.25">
      <c r="A800" s="17" t="s">
        <v>10</v>
      </c>
      <c r="B800" s="17" t="s">
        <v>1177</v>
      </c>
      <c r="C800" s="17" t="s">
        <v>1737</v>
      </c>
      <c r="D800" s="17" t="s">
        <v>2978</v>
      </c>
      <c r="E800" s="17" t="s">
        <v>4686</v>
      </c>
      <c r="F800" s="17" t="s">
        <v>4687</v>
      </c>
      <c r="G800" s="17" t="s">
        <v>6102</v>
      </c>
      <c r="H800" t="s">
        <v>7476</v>
      </c>
      <c r="I800" s="1">
        <v>2</v>
      </c>
      <c r="J800" s="1">
        <v>2</v>
      </c>
      <c r="K800" t="s">
        <v>8102</v>
      </c>
      <c r="L800" s="5">
        <f>VLOOKUP(D:D,[1]Munka2!$A:$B,2,FALSE)</f>
        <v>1</v>
      </c>
      <c r="M800" s="5">
        <f>_xlfn.IFNA(Táblázat1[[#This Row],[Kész2020]],0)</f>
        <v>1</v>
      </c>
      <c r="N800" s="5">
        <f>IF(Táblázat1[[#This Row],[Karb./akt.év]]-Táblázat1[[#This Row],[Kész2020_2]]&lt;0,0,Táblázat1[[#This Row],[Karb./akt.év]]-Táblázat1[[#This Row],[Kész2020_2]])</f>
        <v>1</v>
      </c>
    </row>
    <row r="801" spans="1:14" hidden="1" x14ac:dyDescent="0.25">
      <c r="A801" s="17" t="s">
        <v>10</v>
      </c>
      <c r="B801" s="17" t="s">
        <v>1270</v>
      </c>
      <c r="C801" s="17" t="s">
        <v>1735</v>
      </c>
      <c r="D801" s="17" t="s">
        <v>3082</v>
      </c>
      <c r="E801" s="17" t="s">
        <v>3974</v>
      </c>
      <c r="F801" s="17" t="s">
        <v>3975</v>
      </c>
      <c r="G801" s="17" t="s">
        <v>6196</v>
      </c>
      <c r="H801" t="s">
        <v>7476</v>
      </c>
      <c r="I801" s="1">
        <v>2</v>
      </c>
      <c r="J801" s="1">
        <v>2</v>
      </c>
      <c r="K801" t="s">
        <v>6641</v>
      </c>
      <c r="L801" s="5">
        <f>VLOOKUP(D:D,[1]Munka2!$A:$B,2,FALSE)</f>
        <v>1</v>
      </c>
      <c r="M801" s="5">
        <f>_xlfn.IFNA(Táblázat1[[#This Row],[Kész2020]],0)</f>
        <v>1</v>
      </c>
      <c r="N801" s="5">
        <f>IF(Táblázat1[[#This Row],[Karb./akt.év]]-Táblázat1[[#This Row],[Kész2020_2]]&lt;0,0,Táblázat1[[#This Row],[Karb./akt.év]]-Táblázat1[[#This Row],[Kész2020_2]])</f>
        <v>1</v>
      </c>
    </row>
    <row r="802" spans="1:14" x14ac:dyDescent="0.25">
      <c r="A802" s="17" t="s">
        <v>10</v>
      </c>
      <c r="B802" s="17" t="s">
        <v>1059</v>
      </c>
      <c r="C802" s="17" t="s">
        <v>1737</v>
      </c>
      <c r="D802" s="17" t="s">
        <v>2847</v>
      </c>
      <c r="E802" s="17" t="s">
        <v>4602</v>
      </c>
      <c r="F802" s="17" t="s">
        <v>4603</v>
      </c>
      <c r="G802" s="17" t="s">
        <v>5988</v>
      </c>
      <c r="H802" t="s">
        <v>7476</v>
      </c>
      <c r="I802" s="1">
        <v>2</v>
      </c>
      <c r="J802" s="1">
        <v>2</v>
      </c>
      <c r="K802" t="s">
        <v>7017</v>
      </c>
      <c r="L802" s="5" t="e">
        <f>VLOOKUP(D:D,[1]Munka2!$A:$B,2,FALSE)</f>
        <v>#N/A</v>
      </c>
      <c r="M802" s="5">
        <f>_xlfn.IFNA(Táblázat1[[#This Row],[Kész2020]],0)</f>
        <v>0</v>
      </c>
      <c r="N802" s="5">
        <f>IF(Táblázat1[[#This Row],[Karb./akt.év]]-Táblázat1[[#This Row],[Kész2020_2]]&lt;0,0,Táblázat1[[#This Row],[Karb./akt.év]]-Táblázat1[[#This Row],[Kész2020_2]])</f>
        <v>2</v>
      </c>
    </row>
    <row r="803" spans="1:14" x14ac:dyDescent="0.25">
      <c r="A803" s="17" t="s">
        <v>10</v>
      </c>
      <c r="B803" s="17" t="s">
        <v>1682</v>
      </c>
      <c r="C803" s="17" t="s">
        <v>1737</v>
      </c>
      <c r="D803" s="17" t="s">
        <v>3538</v>
      </c>
      <c r="E803" s="17" t="s">
        <v>4638</v>
      </c>
      <c r="F803" s="17" t="s">
        <v>3598</v>
      </c>
      <c r="G803" s="17" t="s">
        <v>6577</v>
      </c>
      <c r="H803" t="s">
        <v>7476</v>
      </c>
      <c r="I803" s="1">
        <v>2</v>
      </c>
      <c r="J803" s="1">
        <v>2</v>
      </c>
      <c r="K803" t="s">
        <v>7017</v>
      </c>
      <c r="L803" s="5" t="e">
        <f>VLOOKUP(D:D,[1]Munka2!$A:$B,2,FALSE)</f>
        <v>#N/A</v>
      </c>
      <c r="M803" s="5">
        <f>_xlfn.IFNA(Táblázat1[[#This Row],[Kész2020]],0)</f>
        <v>0</v>
      </c>
      <c r="N803" s="5">
        <f>IF(Táblázat1[[#This Row],[Karb./akt.év]]-Táblázat1[[#This Row],[Kész2020_2]]&lt;0,0,Táblázat1[[#This Row],[Karb./akt.év]]-Táblázat1[[#This Row],[Kész2020_2]])</f>
        <v>2</v>
      </c>
    </row>
    <row r="804" spans="1:14" hidden="1" x14ac:dyDescent="0.25">
      <c r="A804" s="17" t="s">
        <v>10</v>
      </c>
      <c r="B804" s="17" t="s">
        <v>6685</v>
      </c>
      <c r="C804" s="17" t="s">
        <v>1735</v>
      </c>
      <c r="D804" s="17" t="s">
        <v>6688</v>
      </c>
      <c r="E804" s="17" t="s">
        <v>3661</v>
      </c>
      <c r="F804" s="17" t="s">
        <v>4894</v>
      </c>
      <c r="G804" s="17" t="s">
        <v>6358</v>
      </c>
      <c r="H804" t="s">
        <v>7476</v>
      </c>
      <c r="I804" s="1">
        <v>2</v>
      </c>
      <c r="J804" s="1">
        <v>2</v>
      </c>
      <c r="K804" t="s">
        <v>6637</v>
      </c>
      <c r="L804" s="5">
        <f>VLOOKUP(D:D,[1]Munka2!$A:$B,2,FALSE)</f>
        <v>1</v>
      </c>
      <c r="M804" s="5">
        <f>_xlfn.IFNA(Táblázat1[[#This Row],[Kész2020]],0)</f>
        <v>1</v>
      </c>
      <c r="N804" s="5">
        <f>IF(Táblázat1[[#This Row],[Karb./akt.év]]-Táblázat1[[#This Row],[Kész2020_2]]&lt;0,0,Táblázat1[[#This Row],[Karb./akt.év]]-Táblázat1[[#This Row],[Kész2020_2]])</f>
        <v>1</v>
      </c>
    </row>
    <row r="805" spans="1:14" hidden="1" x14ac:dyDescent="0.25">
      <c r="A805" s="17" t="s">
        <v>10</v>
      </c>
      <c r="B805" s="17" t="s">
        <v>6704</v>
      </c>
      <c r="C805" s="17" t="s">
        <v>1735</v>
      </c>
      <c r="D805" s="17" t="s">
        <v>6705</v>
      </c>
      <c r="E805" s="17" t="s">
        <v>4564</v>
      </c>
      <c r="F805" s="17" t="s">
        <v>4621</v>
      </c>
      <c r="G805" s="17" t="s">
        <v>6550</v>
      </c>
      <c r="H805" t="s">
        <v>7476</v>
      </c>
      <c r="I805" s="1">
        <v>2</v>
      </c>
      <c r="J805" s="1">
        <v>2</v>
      </c>
      <c r="K805" t="s">
        <v>6634</v>
      </c>
      <c r="L805" s="5">
        <f>VLOOKUP(D:D,[1]Munka2!$A:$B,2,FALSE)</f>
        <v>1</v>
      </c>
      <c r="M805" s="5">
        <f>_xlfn.IFNA(Táblázat1[[#This Row],[Kész2020]],0)</f>
        <v>1</v>
      </c>
      <c r="N805" s="5">
        <f>IF(Táblázat1[[#This Row],[Karb./akt.év]]-Táblázat1[[#This Row],[Kész2020_2]]&lt;0,0,Táblázat1[[#This Row],[Karb./akt.év]]-Táblázat1[[#This Row],[Kész2020_2]])</f>
        <v>1</v>
      </c>
    </row>
    <row r="806" spans="1:14" hidden="1" x14ac:dyDescent="0.25">
      <c r="A806" s="17" t="s">
        <v>10</v>
      </c>
      <c r="B806" s="17" t="s">
        <v>6715</v>
      </c>
      <c r="C806" s="17" t="s">
        <v>1735</v>
      </c>
      <c r="D806" s="17" t="s">
        <v>6720</v>
      </c>
      <c r="E806" s="17" t="s">
        <v>4628</v>
      </c>
      <c r="F806" s="17" t="s">
        <v>4629</v>
      </c>
      <c r="G806" s="17" t="s">
        <v>6727</v>
      </c>
      <c r="H806" t="s">
        <v>7476</v>
      </c>
      <c r="I806" s="1">
        <v>2</v>
      </c>
      <c r="J806" s="1">
        <v>2</v>
      </c>
      <c r="K806" t="s">
        <v>6640</v>
      </c>
      <c r="L806" s="5">
        <f>VLOOKUP(D:D,[1]Munka2!$A:$B,2,FALSE)</f>
        <v>1</v>
      </c>
      <c r="M806" s="5">
        <f>_xlfn.IFNA(Táblázat1[[#This Row],[Kész2020]],0)</f>
        <v>1</v>
      </c>
      <c r="N806" s="5">
        <f>IF(Táblázat1[[#This Row],[Karb./akt.év]]-Táblázat1[[#This Row],[Kész2020_2]]&lt;0,0,Táblázat1[[#This Row],[Karb./akt.év]]-Táblázat1[[#This Row],[Kész2020_2]])</f>
        <v>1</v>
      </c>
    </row>
    <row r="807" spans="1:14" hidden="1" x14ac:dyDescent="0.25">
      <c r="A807" s="17" t="s">
        <v>10</v>
      </c>
      <c r="B807" s="17" t="s">
        <v>6714</v>
      </c>
      <c r="C807" s="17" t="s">
        <v>1735</v>
      </c>
      <c r="D807" s="17" t="s">
        <v>6719</v>
      </c>
      <c r="E807" s="17" t="s">
        <v>6723</v>
      </c>
      <c r="F807" s="17" t="s">
        <v>6724</v>
      </c>
      <c r="G807" s="17" t="s">
        <v>6726</v>
      </c>
      <c r="H807" t="s">
        <v>7476</v>
      </c>
      <c r="I807" s="1">
        <v>2</v>
      </c>
      <c r="J807" s="1">
        <v>2</v>
      </c>
      <c r="K807" t="s">
        <v>6637</v>
      </c>
      <c r="L807" s="5">
        <f>VLOOKUP(D:D,[1]Munka2!$A:$B,2,FALSE)</f>
        <v>1</v>
      </c>
      <c r="M807" s="5">
        <f>_xlfn.IFNA(Táblázat1[[#This Row],[Kész2020]],0)</f>
        <v>1</v>
      </c>
      <c r="N807" s="5">
        <f>IF(Táblázat1[[#This Row],[Karb./akt.év]]-Táblázat1[[#This Row],[Kész2020_2]]&lt;0,0,Táblázat1[[#This Row],[Karb./akt.év]]-Táblázat1[[#This Row],[Kész2020_2]])</f>
        <v>1</v>
      </c>
    </row>
    <row r="808" spans="1:14" hidden="1" x14ac:dyDescent="0.25">
      <c r="A808" s="17" t="s">
        <v>10</v>
      </c>
      <c r="B808" s="17" t="s">
        <v>1418</v>
      </c>
      <c r="C808" s="17" t="s">
        <v>1735</v>
      </c>
      <c r="D808" s="17" t="s">
        <v>3246</v>
      </c>
      <c r="E808" s="17" t="s">
        <v>3667</v>
      </c>
      <c r="F808" s="17" t="s">
        <v>3668</v>
      </c>
      <c r="G808" s="17" t="s">
        <v>6321</v>
      </c>
      <c r="H808" t="s">
        <v>7476</v>
      </c>
      <c r="I808" s="1">
        <v>2</v>
      </c>
      <c r="J808" s="1">
        <v>2</v>
      </c>
      <c r="K808" t="s">
        <v>6637</v>
      </c>
      <c r="L808" s="5">
        <f>VLOOKUP(D:D,[1]Munka2!$A:$B,2,FALSE)</f>
        <v>1</v>
      </c>
      <c r="M808" s="5">
        <f>_xlfn.IFNA(Táblázat1[[#This Row],[Kész2020]],0)</f>
        <v>1</v>
      </c>
      <c r="N808" s="5">
        <f>IF(Táblázat1[[#This Row],[Karb./akt.év]]-Táblázat1[[#This Row],[Kész2020_2]]&lt;0,0,Táblázat1[[#This Row],[Karb./akt.év]]-Táblázat1[[#This Row],[Kész2020_2]])</f>
        <v>1</v>
      </c>
    </row>
    <row r="809" spans="1:14" x14ac:dyDescent="0.25">
      <c r="A809" s="17" t="s">
        <v>10</v>
      </c>
      <c r="B809" s="17" t="s">
        <v>6757</v>
      </c>
      <c r="C809" s="17" t="s">
        <v>1735</v>
      </c>
      <c r="D809" s="17" t="s">
        <v>6767</v>
      </c>
      <c r="E809" s="17" t="s">
        <v>4192</v>
      </c>
      <c r="F809" s="17" t="s">
        <v>4193</v>
      </c>
      <c r="G809" s="17" t="s">
        <v>6776</v>
      </c>
      <c r="H809" t="s">
        <v>7476</v>
      </c>
      <c r="I809" s="1">
        <v>2</v>
      </c>
      <c r="J809" s="1">
        <v>2</v>
      </c>
      <c r="K809" t="s">
        <v>6635</v>
      </c>
      <c r="L809" s="5" t="e">
        <f>VLOOKUP(D:D,[1]Munka2!$A:$B,2,FALSE)</f>
        <v>#N/A</v>
      </c>
      <c r="M809" s="5">
        <f>_xlfn.IFNA(Táblázat1[[#This Row],[Kész2020]],0)</f>
        <v>0</v>
      </c>
      <c r="N809" s="5">
        <f>IF(Táblázat1[[#This Row],[Karb./akt.év]]-Táblázat1[[#This Row],[Kész2020_2]]&lt;0,0,Táblázat1[[#This Row],[Karb./akt.év]]-Táblázat1[[#This Row],[Kész2020_2]])</f>
        <v>2</v>
      </c>
    </row>
    <row r="810" spans="1:14" x14ac:dyDescent="0.25">
      <c r="A810" s="17" t="s">
        <v>10</v>
      </c>
      <c r="B810" s="17" t="s">
        <v>6848</v>
      </c>
      <c r="C810" s="17" t="s">
        <v>1735</v>
      </c>
      <c r="D810" s="17" t="s">
        <v>6878</v>
      </c>
      <c r="E810" s="17" t="s">
        <v>4424</v>
      </c>
      <c r="F810" s="17" t="s">
        <v>4425</v>
      </c>
      <c r="G810" s="17" t="s">
        <v>6919</v>
      </c>
      <c r="H810" t="s">
        <v>7476</v>
      </c>
      <c r="I810" s="1">
        <v>2</v>
      </c>
      <c r="J810" s="1">
        <v>2</v>
      </c>
      <c r="K810" t="s">
        <v>8103</v>
      </c>
      <c r="L810" s="5" t="e">
        <f>VLOOKUP(D:D,[1]Munka2!$A:$B,2,FALSE)</f>
        <v>#N/A</v>
      </c>
      <c r="M810" s="5">
        <f>_xlfn.IFNA(Táblázat1[[#This Row],[Kész2020]],0)</f>
        <v>0</v>
      </c>
      <c r="N810" s="5">
        <f>IF(Táblázat1[[#This Row],[Karb./akt.év]]-Táblázat1[[#This Row],[Kész2020_2]]&lt;0,0,Táblázat1[[#This Row],[Karb./akt.év]]-Táblázat1[[#This Row],[Kész2020_2]])</f>
        <v>2</v>
      </c>
    </row>
    <row r="811" spans="1:14" x14ac:dyDescent="0.25">
      <c r="A811" s="17" t="s">
        <v>10</v>
      </c>
      <c r="B811" s="17" t="s">
        <v>1481</v>
      </c>
      <c r="C811" s="17" t="s">
        <v>1737</v>
      </c>
      <c r="D811" s="17" t="s">
        <v>3318</v>
      </c>
      <c r="E811" s="17" t="s">
        <v>3676</v>
      </c>
      <c r="F811" s="17" t="s">
        <v>3598</v>
      </c>
      <c r="G811" s="17" t="s">
        <v>6391</v>
      </c>
      <c r="H811" t="s">
        <v>7476</v>
      </c>
      <c r="I811" s="1">
        <v>2</v>
      </c>
      <c r="J811" s="1">
        <v>2</v>
      </c>
      <c r="K811" t="s">
        <v>8101</v>
      </c>
      <c r="L811" s="5" t="e">
        <f>VLOOKUP(D:D,[1]Munka2!$A:$B,2,FALSE)</f>
        <v>#N/A</v>
      </c>
      <c r="M811" s="5">
        <f>_xlfn.IFNA(Táblázat1[[#This Row],[Kész2020]],0)</f>
        <v>0</v>
      </c>
      <c r="N811" s="5">
        <f>IF(Táblázat1[[#This Row],[Karb./akt.év]]-Táblázat1[[#This Row],[Kész2020_2]]&lt;0,0,Táblázat1[[#This Row],[Karb./akt.év]]-Táblázat1[[#This Row],[Kész2020_2]])</f>
        <v>2</v>
      </c>
    </row>
    <row r="812" spans="1:14" hidden="1" x14ac:dyDescent="0.25">
      <c r="A812" s="17" t="s">
        <v>10</v>
      </c>
      <c r="B812" s="17" t="s">
        <v>6926</v>
      </c>
      <c r="C812" s="17" t="s">
        <v>1735</v>
      </c>
      <c r="D812" s="17" t="s">
        <v>6935</v>
      </c>
      <c r="E812" s="17" t="s">
        <v>6941</v>
      </c>
      <c r="F812" s="17" t="s">
        <v>6942</v>
      </c>
      <c r="G812" s="17" t="s">
        <v>6948</v>
      </c>
      <c r="H812" t="s">
        <v>7476</v>
      </c>
      <c r="I812" s="1">
        <v>2</v>
      </c>
      <c r="J812" s="1">
        <v>2</v>
      </c>
      <c r="K812" t="s">
        <v>7354</v>
      </c>
      <c r="L812" s="5">
        <f>VLOOKUP(D:D,[1]Munka2!$A:$B,2,FALSE)</f>
        <v>1</v>
      </c>
      <c r="M812" s="5">
        <f>_xlfn.IFNA(Táblázat1[[#This Row],[Kész2020]],0)</f>
        <v>1</v>
      </c>
      <c r="N812" s="5">
        <f>IF(Táblázat1[[#This Row],[Karb./akt.év]]-Táblázat1[[#This Row],[Kész2020_2]]&lt;0,0,Táblázat1[[#This Row],[Karb./akt.év]]-Táblázat1[[#This Row],[Kész2020_2]])</f>
        <v>1</v>
      </c>
    </row>
    <row r="813" spans="1:14" x14ac:dyDescent="0.25">
      <c r="A813" s="17" t="s">
        <v>10</v>
      </c>
      <c r="B813" s="17" t="s">
        <v>1652</v>
      </c>
      <c r="C813" s="17" t="s">
        <v>1737</v>
      </c>
      <c r="D813" s="17" t="s">
        <v>3509</v>
      </c>
      <c r="E813" s="17" t="s">
        <v>3677</v>
      </c>
      <c r="F813" s="17" t="s">
        <v>3598</v>
      </c>
      <c r="G813" s="17" t="s">
        <v>6548</v>
      </c>
      <c r="H813" t="s">
        <v>7476</v>
      </c>
      <c r="I813" s="1">
        <v>2</v>
      </c>
      <c r="J813" s="1">
        <v>2</v>
      </c>
      <c r="K813" t="s">
        <v>8101</v>
      </c>
      <c r="L813" s="5" t="e">
        <f>VLOOKUP(D:D,[1]Munka2!$A:$B,2,FALSE)</f>
        <v>#N/A</v>
      </c>
      <c r="M813" s="5">
        <f>_xlfn.IFNA(Táblázat1[[#This Row],[Kész2020]],0)</f>
        <v>0</v>
      </c>
      <c r="N813" s="5">
        <f>IF(Táblázat1[[#This Row],[Karb./akt.év]]-Táblázat1[[#This Row],[Kész2020_2]]&lt;0,0,Táblázat1[[#This Row],[Karb./akt.év]]-Táblázat1[[#This Row],[Kész2020_2]])</f>
        <v>2</v>
      </c>
    </row>
    <row r="814" spans="1:14" hidden="1" x14ac:dyDescent="0.25">
      <c r="A814" s="17" t="s">
        <v>10</v>
      </c>
      <c r="B814" s="17" t="s">
        <v>138</v>
      </c>
      <c r="C814" s="17" t="s">
        <v>1735</v>
      </c>
      <c r="D814" s="17" t="s">
        <v>1877</v>
      </c>
      <c r="E814" s="17" t="s">
        <v>3736</v>
      </c>
      <c r="F814" s="17" t="s">
        <v>3737</v>
      </c>
      <c r="G814" s="17" t="s">
        <v>5110</v>
      </c>
      <c r="H814" t="s">
        <v>7476</v>
      </c>
      <c r="I814" s="1">
        <v>2</v>
      </c>
      <c r="J814" s="1">
        <v>2</v>
      </c>
      <c r="K814" t="s">
        <v>6638</v>
      </c>
      <c r="L814" s="5">
        <f>VLOOKUP(D:D,[1]Munka2!$A:$B,2,FALSE)</f>
        <v>1</v>
      </c>
      <c r="M814" s="5">
        <f>_xlfn.IFNA(Táblázat1[[#This Row],[Kész2020]],0)</f>
        <v>1</v>
      </c>
      <c r="N814" s="5">
        <f>IF(Táblázat1[[#This Row],[Karb./akt.év]]-Táblázat1[[#This Row],[Kész2020_2]]&lt;0,0,Táblázat1[[#This Row],[Karb./akt.év]]-Táblázat1[[#This Row],[Kész2020_2]])</f>
        <v>1</v>
      </c>
    </row>
    <row r="815" spans="1:14" hidden="1" x14ac:dyDescent="0.25">
      <c r="A815" s="17" t="s">
        <v>10</v>
      </c>
      <c r="B815" s="17" t="s">
        <v>383</v>
      </c>
      <c r="C815" s="17" t="s">
        <v>1737</v>
      </c>
      <c r="D815" s="17" t="s">
        <v>2139</v>
      </c>
      <c r="E815" s="17" t="s">
        <v>3736</v>
      </c>
      <c r="F815" s="17" t="s">
        <v>3737</v>
      </c>
      <c r="G815" s="17" t="s">
        <v>5351</v>
      </c>
      <c r="H815" t="s">
        <v>7476</v>
      </c>
      <c r="I815" s="1">
        <v>2</v>
      </c>
      <c r="J815" s="1">
        <v>2</v>
      </c>
      <c r="K815" t="s">
        <v>6638</v>
      </c>
      <c r="L815" s="5">
        <f>VLOOKUP(D:D,[1]Munka2!$A:$B,2,FALSE)</f>
        <v>1</v>
      </c>
      <c r="M815" s="5">
        <f>_xlfn.IFNA(Táblázat1[[#This Row],[Kész2020]],0)</f>
        <v>1</v>
      </c>
      <c r="N815" s="5">
        <f>IF(Táblázat1[[#This Row],[Karb./akt.év]]-Táblázat1[[#This Row],[Kész2020_2]]&lt;0,0,Táblázat1[[#This Row],[Karb./akt.év]]-Táblázat1[[#This Row],[Kész2020_2]])</f>
        <v>1</v>
      </c>
    </row>
    <row r="816" spans="1:14" hidden="1" x14ac:dyDescent="0.25">
      <c r="A816" s="17" t="s">
        <v>10</v>
      </c>
      <c r="B816" s="17" t="s">
        <v>52</v>
      </c>
      <c r="C816" s="17" t="s">
        <v>1744</v>
      </c>
      <c r="D816" s="17" t="s">
        <v>1790</v>
      </c>
      <c r="E816" s="17" t="s">
        <v>3613</v>
      </c>
      <c r="F816" s="17" t="s">
        <v>3614</v>
      </c>
      <c r="G816" s="17" t="s">
        <v>5028</v>
      </c>
      <c r="H816" t="s">
        <v>7476</v>
      </c>
      <c r="I816" s="1">
        <v>2</v>
      </c>
      <c r="J816" s="1">
        <v>2</v>
      </c>
      <c r="K816" t="s">
        <v>6634</v>
      </c>
      <c r="L816" s="5">
        <f>VLOOKUP(D:D,[1]Munka2!$A:$B,2,FALSE)</f>
        <v>1</v>
      </c>
      <c r="M816" s="5">
        <f>_xlfn.IFNA(Táblázat1[[#This Row],[Kész2020]],0)</f>
        <v>1</v>
      </c>
      <c r="N816" s="5">
        <f>IF(Táblázat1[[#This Row],[Karb./akt.év]]-Táblázat1[[#This Row],[Kész2020_2]]&lt;0,0,Táblázat1[[#This Row],[Karb./akt.év]]-Táblázat1[[#This Row],[Kész2020_2]])</f>
        <v>1</v>
      </c>
    </row>
    <row r="817" spans="1:14" hidden="1" x14ac:dyDescent="0.25">
      <c r="A817" s="17" t="s">
        <v>10</v>
      </c>
      <c r="B817" s="17" t="s">
        <v>511</v>
      </c>
      <c r="C817" s="17" t="s">
        <v>1737</v>
      </c>
      <c r="D817" s="17" t="s">
        <v>2274</v>
      </c>
      <c r="E817" s="17" t="s">
        <v>4125</v>
      </c>
      <c r="F817" s="17" t="s">
        <v>4126</v>
      </c>
      <c r="G817" s="17" t="s">
        <v>5473</v>
      </c>
      <c r="H817" t="s">
        <v>7476</v>
      </c>
      <c r="I817" s="1">
        <v>2</v>
      </c>
      <c r="J817" s="1">
        <v>2</v>
      </c>
      <c r="K817" t="s">
        <v>6640</v>
      </c>
      <c r="L817" s="5">
        <f>VLOOKUP(D:D,[1]Munka2!$A:$B,2,FALSE)</f>
        <v>1</v>
      </c>
      <c r="M817" s="5">
        <f>_xlfn.IFNA(Táblázat1[[#This Row],[Kész2020]],0)</f>
        <v>1</v>
      </c>
      <c r="N817" s="5">
        <f>IF(Táblázat1[[#This Row],[Karb./akt.év]]-Táblázat1[[#This Row],[Kész2020_2]]&lt;0,0,Táblázat1[[#This Row],[Karb./akt.év]]-Táblázat1[[#This Row],[Kész2020_2]])</f>
        <v>1</v>
      </c>
    </row>
    <row r="818" spans="1:14" hidden="1" x14ac:dyDescent="0.25">
      <c r="A818" s="17" t="s">
        <v>10</v>
      </c>
      <c r="B818" s="17" t="s">
        <v>116</v>
      </c>
      <c r="C818" s="17" t="s">
        <v>1737</v>
      </c>
      <c r="D818" s="17" t="s">
        <v>1856</v>
      </c>
      <c r="E818" s="17" t="s">
        <v>3621</v>
      </c>
      <c r="F818" s="17" t="s">
        <v>3622</v>
      </c>
      <c r="G818" s="17" t="s">
        <v>5087</v>
      </c>
      <c r="H818" t="s">
        <v>7476</v>
      </c>
      <c r="I818" s="1">
        <v>2</v>
      </c>
      <c r="J818" s="1">
        <v>2</v>
      </c>
      <c r="K818" t="s">
        <v>8102</v>
      </c>
      <c r="L818" s="5">
        <f>VLOOKUP(D:D,[1]Munka2!$A:$B,2,FALSE)</f>
        <v>1</v>
      </c>
      <c r="M818" s="5">
        <f>_xlfn.IFNA(Táblázat1[[#This Row],[Kész2020]],0)</f>
        <v>1</v>
      </c>
      <c r="N818" s="5">
        <f>IF(Táblázat1[[#This Row],[Karb./akt.év]]-Táblázat1[[#This Row],[Kész2020_2]]&lt;0,0,Táblázat1[[#This Row],[Karb./akt.év]]-Táblázat1[[#This Row],[Kész2020_2]])</f>
        <v>1</v>
      </c>
    </row>
    <row r="819" spans="1:14" hidden="1" x14ac:dyDescent="0.25">
      <c r="A819" s="17" t="s">
        <v>10</v>
      </c>
      <c r="B819" s="17" t="s">
        <v>1492</v>
      </c>
      <c r="C819" s="17" t="s">
        <v>1737</v>
      </c>
      <c r="D819" s="17" t="s">
        <v>3330</v>
      </c>
      <c r="E819" s="17" t="s">
        <v>3743</v>
      </c>
      <c r="F819" s="17" t="s">
        <v>3744</v>
      </c>
      <c r="G819" s="17" t="s">
        <v>6399</v>
      </c>
      <c r="H819" t="s">
        <v>7476</v>
      </c>
      <c r="I819" s="1">
        <v>2</v>
      </c>
      <c r="J819" s="1">
        <v>2</v>
      </c>
      <c r="K819" t="s">
        <v>8102</v>
      </c>
      <c r="L819" s="5">
        <f>VLOOKUP(D:D,[1]Munka2!$A:$B,2,FALSE)</f>
        <v>1</v>
      </c>
      <c r="M819" s="5">
        <f>_xlfn.IFNA(Táblázat1[[#This Row],[Kész2020]],0)</f>
        <v>1</v>
      </c>
      <c r="N819" s="5">
        <f>IF(Táblázat1[[#This Row],[Karb./akt.év]]-Táblázat1[[#This Row],[Kész2020_2]]&lt;0,0,Táblázat1[[#This Row],[Karb./akt.év]]-Táblázat1[[#This Row],[Kész2020_2]])</f>
        <v>1</v>
      </c>
    </row>
    <row r="820" spans="1:14" hidden="1" x14ac:dyDescent="0.25">
      <c r="A820" s="17" t="s">
        <v>10</v>
      </c>
      <c r="B820" s="17" t="s">
        <v>95</v>
      </c>
      <c r="C820" s="17" t="s">
        <v>1737</v>
      </c>
      <c r="D820" s="17" t="s">
        <v>1835</v>
      </c>
      <c r="E820" s="17" t="s">
        <v>3641</v>
      </c>
      <c r="F820" s="17" t="s">
        <v>3642</v>
      </c>
      <c r="G820" s="17" t="s">
        <v>5066</v>
      </c>
      <c r="H820" t="s">
        <v>7476</v>
      </c>
      <c r="I820" s="1">
        <v>2</v>
      </c>
      <c r="J820" s="1">
        <v>2</v>
      </c>
      <c r="K820" t="s">
        <v>7354</v>
      </c>
      <c r="L820" s="5">
        <f>VLOOKUP(D:D,[1]Munka2!$A:$B,2,FALSE)</f>
        <v>1</v>
      </c>
      <c r="M820" s="5">
        <f>_xlfn.IFNA(Táblázat1[[#This Row],[Kész2020]],0)</f>
        <v>1</v>
      </c>
      <c r="N820" s="5">
        <f>IF(Táblázat1[[#This Row],[Karb./akt.év]]-Táblázat1[[#This Row],[Kész2020_2]]&lt;0,0,Táblázat1[[#This Row],[Karb./akt.év]]-Táblázat1[[#This Row],[Kész2020_2]])</f>
        <v>1</v>
      </c>
    </row>
    <row r="821" spans="1:14" hidden="1" x14ac:dyDescent="0.25">
      <c r="A821" s="17" t="s">
        <v>10</v>
      </c>
      <c r="B821" s="17" t="s">
        <v>1091</v>
      </c>
      <c r="C821" s="17" t="s">
        <v>1735</v>
      </c>
      <c r="D821" s="17" t="s">
        <v>2881</v>
      </c>
      <c r="E821" s="17" t="s">
        <v>3641</v>
      </c>
      <c r="F821" s="17" t="s">
        <v>3642</v>
      </c>
      <c r="G821" s="17" t="s">
        <v>6019</v>
      </c>
      <c r="H821" t="s">
        <v>7476</v>
      </c>
      <c r="I821" s="1">
        <v>2</v>
      </c>
      <c r="J821" s="1">
        <v>2</v>
      </c>
      <c r="K821" t="s">
        <v>7354</v>
      </c>
      <c r="L821" s="5">
        <f>VLOOKUP(D:D,[1]Munka2!$A:$B,2,FALSE)</f>
        <v>1</v>
      </c>
      <c r="M821" s="5">
        <f>_xlfn.IFNA(Táblázat1[[#This Row],[Kész2020]],0)</f>
        <v>1</v>
      </c>
      <c r="N821" s="5">
        <f>IF(Táblázat1[[#This Row],[Karb./akt.év]]-Táblázat1[[#This Row],[Kész2020_2]]&lt;0,0,Táblázat1[[#This Row],[Karb./akt.év]]-Táblázat1[[#This Row],[Kész2020_2]])</f>
        <v>1</v>
      </c>
    </row>
    <row r="822" spans="1:14" hidden="1" x14ac:dyDescent="0.25">
      <c r="A822" s="17" t="s">
        <v>10</v>
      </c>
      <c r="B822" s="17" t="s">
        <v>6927</v>
      </c>
      <c r="C822" s="17" t="s">
        <v>1735</v>
      </c>
      <c r="D822" s="17" t="s">
        <v>6936</v>
      </c>
      <c r="E822" s="17" t="s">
        <v>6943</v>
      </c>
      <c r="F822" s="17" t="s">
        <v>6944</v>
      </c>
      <c r="G822" s="17" t="s">
        <v>6949</v>
      </c>
      <c r="H822" t="s">
        <v>7476</v>
      </c>
      <c r="I822" s="1">
        <v>2</v>
      </c>
      <c r="J822" s="1">
        <v>2</v>
      </c>
      <c r="K822" t="s">
        <v>6637</v>
      </c>
      <c r="L822" s="5">
        <f>VLOOKUP(D:D,[1]Munka2!$A:$B,2,FALSE)</f>
        <v>1</v>
      </c>
      <c r="M822" s="5">
        <f>_xlfn.IFNA(Táblázat1[[#This Row],[Kész2020]],0)</f>
        <v>1</v>
      </c>
      <c r="N822" s="5">
        <f>IF(Táblázat1[[#This Row],[Karb./akt.év]]-Táblázat1[[#This Row],[Kész2020_2]]&lt;0,0,Táblázat1[[#This Row],[Karb./akt.év]]-Táblázat1[[#This Row],[Kész2020_2]])</f>
        <v>1</v>
      </c>
    </row>
    <row r="823" spans="1:14" hidden="1" x14ac:dyDescent="0.25">
      <c r="A823" s="17" t="s">
        <v>10</v>
      </c>
      <c r="B823" s="17" t="s">
        <v>476</v>
      </c>
      <c r="C823" s="17" t="s">
        <v>1735</v>
      </c>
      <c r="D823" s="17" t="s">
        <v>2235</v>
      </c>
      <c r="E823" s="17" t="s">
        <v>3775</v>
      </c>
      <c r="F823" s="17" t="s">
        <v>3776</v>
      </c>
      <c r="G823" s="17" t="s">
        <v>5438</v>
      </c>
      <c r="H823" t="s">
        <v>7476</v>
      </c>
      <c r="I823" s="1">
        <v>2</v>
      </c>
      <c r="J823" s="1">
        <v>2</v>
      </c>
      <c r="K823" t="s">
        <v>6634</v>
      </c>
      <c r="L823" s="5">
        <f>VLOOKUP(D:D,[1]Munka2!$A:$B,2,FALSE)</f>
        <v>1</v>
      </c>
      <c r="M823" s="5">
        <f>_xlfn.IFNA(Táblázat1[[#This Row],[Kész2020]],0)</f>
        <v>1</v>
      </c>
      <c r="N823" s="5">
        <f>IF(Táblázat1[[#This Row],[Karb./akt.év]]-Táblázat1[[#This Row],[Kész2020_2]]&lt;0,0,Táblázat1[[#This Row],[Karb./akt.év]]-Táblázat1[[#This Row],[Kész2020_2]])</f>
        <v>1</v>
      </c>
    </row>
    <row r="824" spans="1:14" hidden="1" x14ac:dyDescent="0.25">
      <c r="A824" s="17" t="s">
        <v>10</v>
      </c>
      <c r="B824" s="17" t="s">
        <v>1221</v>
      </c>
      <c r="C824" s="17" t="s">
        <v>1737</v>
      </c>
      <c r="D824" s="17" t="s">
        <v>3028</v>
      </c>
      <c r="E824" s="17" t="s">
        <v>3775</v>
      </c>
      <c r="F824" s="17" t="s">
        <v>3776</v>
      </c>
      <c r="G824" s="17" t="s">
        <v>6150</v>
      </c>
      <c r="H824" t="s">
        <v>7476</v>
      </c>
      <c r="I824" s="1">
        <v>2</v>
      </c>
      <c r="J824" s="1">
        <v>2</v>
      </c>
      <c r="K824" t="s">
        <v>6634</v>
      </c>
      <c r="L824" s="5">
        <f>VLOOKUP(D:D,[1]Munka2!$A:$B,2,FALSE)</f>
        <v>1</v>
      </c>
      <c r="M824" s="5">
        <f>_xlfn.IFNA(Táblázat1[[#This Row],[Kész2020]],0)</f>
        <v>1</v>
      </c>
      <c r="N824" s="5">
        <f>IF(Táblázat1[[#This Row],[Karb./akt.év]]-Táblázat1[[#This Row],[Kész2020_2]]&lt;0,0,Táblázat1[[#This Row],[Karb./akt.év]]-Táblázat1[[#This Row],[Kész2020_2]])</f>
        <v>1</v>
      </c>
    </row>
    <row r="825" spans="1:14" hidden="1" x14ac:dyDescent="0.25">
      <c r="A825" s="17" t="s">
        <v>10</v>
      </c>
      <c r="B825" s="17" t="s">
        <v>1601</v>
      </c>
      <c r="C825" s="17" t="s">
        <v>1737</v>
      </c>
      <c r="D825" s="17" t="s">
        <v>3451</v>
      </c>
      <c r="E825" s="17" t="s">
        <v>3775</v>
      </c>
      <c r="F825" s="17" t="s">
        <v>3776</v>
      </c>
      <c r="G825" s="17" t="s">
        <v>6503</v>
      </c>
      <c r="H825" t="s">
        <v>7476</v>
      </c>
      <c r="I825" s="1">
        <v>2</v>
      </c>
      <c r="J825" s="1">
        <v>2</v>
      </c>
      <c r="K825" t="s">
        <v>6634</v>
      </c>
      <c r="L825" s="5">
        <f>VLOOKUP(D:D,[1]Munka2!$A:$B,2,FALSE)</f>
        <v>1</v>
      </c>
      <c r="M825" s="5">
        <f>_xlfn.IFNA(Táblázat1[[#This Row],[Kész2020]],0)</f>
        <v>1</v>
      </c>
      <c r="N825" s="5">
        <f>IF(Táblázat1[[#This Row],[Karb./akt.év]]-Táblázat1[[#This Row],[Kész2020_2]]&lt;0,0,Táblázat1[[#This Row],[Karb./akt.év]]-Táblázat1[[#This Row],[Kész2020_2]])</f>
        <v>1</v>
      </c>
    </row>
    <row r="826" spans="1:14" x14ac:dyDescent="0.25">
      <c r="A826" s="17" t="s">
        <v>10</v>
      </c>
      <c r="B826" s="17" t="s">
        <v>1435</v>
      </c>
      <c r="C826" s="17" t="s">
        <v>1735</v>
      </c>
      <c r="D826" s="17" t="s">
        <v>3266</v>
      </c>
      <c r="E826" s="17" t="s">
        <v>3682</v>
      </c>
      <c r="F826" s="17" t="s">
        <v>3679</v>
      </c>
      <c r="G826" s="17" t="s">
        <v>6341</v>
      </c>
      <c r="H826" t="s">
        <v>7476</v>
      </c>
      <c r="I826" s="1">
        <v>2</v>
      </c>
      <c r="J826" s="1">
        <v>2</v>
      </c>
      <c r="K826" t="s">
        <v>6635</v>
      </c>
      <c r="L826" s="5" t="e">
        <f>VLOOKUP(D:D,[1]Munka2!$A:$B,2,FALSE)</f>
        <v>#N/A</v>
      </c>
      <c r="M826" s="5">
        <f>_xlfn.IFNA(Táblázat1[[#This Row],[Kész2020]],0)</f>
        <v>0</v>
      </c>
      <c r="N826" s="5">
        <f>IF(Táblázat1[[#This Row],[Karb./akt.év]]-Táblázat1[[#This Row],[Kész2020_2]]&lt;0,0,Táblázat1[[#This Row],[Karb./akt.év]]-Táblázat1[[#This Row],[Kész2020_2]])</f>
        <v>2</v>
      </c>
    </row>
    <row r="827" spans="1:14" hidden="1" x14ac:dyDescent="0.25">
      <c r="A827" s="17" t="s">
        <v>10</v>
      </c>
      <c r="B827" s="17" t="s">
        <v>1007</v>
      </c>
      <c r="C827" s="17" t="s">
        <v>1735</v>
      </c>
      <c r="D827" s="17" t="s">
        <v>2797</v>
      </c>
      <c r="E827" s="17" t="s">
        <v>3792</v>
      </c>
      <c r="F827" s="17" t="s">
        <v>3793</v>
      </c>
      <c r="G827" s="17" t="s">
        <v>5937</v>
      </c>
      <c r="H827" t="s">
        <v>7476</v>
      </c>
      <c r="I827" s="1">
        <v>2</v>
      </c>
      <c r="J827" s="1">
        <v>2</v>
      </c>
      <c r="K827" t="s">
        <v>6639</v>
      </c>
      <c r="L827" s="5">
        <f>VLOOKUP(D:D,[1]Munka2!$A:$B,2,FALSE)</f>
        <v>1</v>
      </c>
      <c r="M827" s="5">
        <f>_xlfn.IFNA(Táblázat1[[#This Row],[Kész2020]],0)</f>
        <v>1</v>
      </c>
      <c r="N827" s="5">
        <f>IF(Táblázat1[[#This Row],[Karb./akt.év]]-Táblázat1[[#This Row],[Kész2020_2]]&lt;0,0,Táblázat1[[#This Row],[Karb./akt.év]]-Táblázat1[[#This Row],[Kész2020_2]])</f>
        <v>1</v>
      </c>
    </row>
    <row r="828" spans="1:14" hidden="1" x14ac:dyDescent="0.25">
      <c r="A828" s="17" t="s">
        <v>10</v>
      </c>
      <c r="B828" s="17" t="s">
        <v>244</v>
      </c>
      <c r="C828" s="17" t="s">
        <v>1737</v>
      </c>
      <c r="D828" s="17" t="s">
        <v>1988</v>
      </c>
      <c r="E828" s="17" t="s">
        <v>3858</v>
      </c>
      <c r="F828" s="17" t="s">
        <v>3859</v>
      </c>
      <c r="G828" s="17" t="s">
        <v>5211</v>
      </c>
      <c r="H828" t="s">
        <v>7476</v>
      </c>
      <c r="I828" s="1">
        <v>2</v>
      </c>
      <c r="J828" s="1">
        <v>2</v>
      </c>
      <c r="K828" t="s">
        <v>6784</v>
      </c>
      <c r="L828" s="5">
        <f>VLOOKUP(D:D,[1]Munka2!$A:$B,2,FALSE)</f>
        <v>1</v>
      </c>
      <c r="M828" s="5">
        <f>_xlfn.IFNA(Táblázat1[[#This Row],[Kész2020]],0)</f>
        <v>1</v>
      </c>
      <c r="N828" s="5">
        <f>IF(Táblázat1[[#This Row],[Karb./akt.év]]-Táblázat1[[#This Row],[Kész2020_2]]&lt;0,0,Táblázat1[[#This Row],[Karb./akt.év]]-Táblázat1[[#This Row],[Kész2020_2]])</f>
        <v>1</v>
      </c>
    </row>
    <row r="829" spans="1:14" hidden="1" x14ac:dyDescent="0.25">
      <c r="A829" s="17" t="s">
        <v>10</v>
      </c>
      <c r="B829" s="17" t="s">
        <v>7538</v>
      </c>
      <c r="C829" s="17" t="s">
        <v>1735</v>
      </c>
      <c r="D829" s="17" t="s">
        <v>7601</v>
      </c>
      <c r="E829" s="17" t="s">
        <v>7613</v>
      </c>
      <c r="F829" s="17" t="s">
        <v>7614</v>
      </c>
      <c r="G829" s="17" t="s">
        <v>7617</v>
      </c>
      <c r="H829" t="s">
        <v>7476</v>
      </c>
      <c r="I829" s="1">
        <v>2</v>
      </c>
      <c r="J829" s="1">
        <v>2</v>
      </c>
      <c r="K829" t="s">
        <v>6637</v>
      </c>
      <c r="L829" s="5">
        <f>VLOOKUP(D:D,[1]Munka2!$A:$B,2,FALSE)</f>
        <v>1</v>
      </c>
      <c r="M829" s="5">
        <f>_xlfn.IFNA(Táblázat1[[#This Row],[Kész2020]],0)</f>
        <v>1</v>
      </c>
      <c r="N829" s="5">
        <f>IF(Táblázat1[[#This Row],[Karb./akt.év]]-Táblázat1[[#This Row],[Kész2020_2]]&lt;0,0,Táblázat1[[#This Row],[Karb./akt.év]]-Táblázat1[[#This Row],[Kész2020_2]])</f>
        <v>1</v>
      </c>
    </row>
    <row r="830" spans="1:14" hidden="1" x14ac:dyDescent="0.25">
      <c r="A830" s="17" t="s">
        <v>10</v>
      </c>
      <c r="B830" s="17" t="s">
        <v>479</v>
      </c>
      <c r="C830" s="17" t="s">
        <v>1735</v>
      </c>
      <c r="D830" s="17" t="s">
        <v>2239</v>
      </c>
      <c r="E830" s="17" t="s">
        <v>4071</v>
      </c>
      <c r="F830" s="17" t="s">
        <v>4072</v>
      </c>
      <c r="G830" s="17" t="s">
        <v>5440</v>
      </c>
      <c r="H830" t="s">
        <v>7476</v>
      </c>
      <c r="I830" s="1">
        <v>2</v>
      </c>
      <c r="J830" s="1">
        <v>2</v>
      </c>
      <c r="K830" t="s">
        <v>6642</v>
      </c>
      <c r="L830" s="5">
        <f>VLOOKUP(D:D,[1]Munka2!$A:$B,2,FALSE)</f>
        <v>1</v>
      </c>
      <c r="M830" s="5">
        <f>_xlfn.IFNA(Táblázat1[[#This Row],[Kész2020]],0)</f>
        <v>1</v>
      </c>
      <c r="N830" s="5">
        <f>IF(Táblázat1[[#This Row],[Karb./akt.év]]-Táblázat1[[#This Row],[Kész2020_2]]&lt;0,0,Táblázat1[[#This Row],[Karb./akt.év]]-Táblázat1[[#This Row],[Kész2020_2]])</f>
        <v>1</v>
      </c>
    </row>
    <row r="831" spans="1:14" x14ac:dyDescent="0.25">
      <c r="A831" s="17" t="s">
        <v>10</v>
      </c>
      <c r="B831" s="17" t="s">
        <v>6928</v>
      </c>
      <c r="C831" s="17" t="s">
        <v>1735</v>
      </c>
      <c r="D831" s="17" t="s">
        <v>6937</v>
      </c>
      <c r="E831" s="17" t="s">
        <v>6945</v>
      </c>
      <c r="F831" s="17" t="s">
        <v>6946</v>
      </c>
      <c r="G831" s="17" t="s">
        <v>6094</v>
      </c>
      <c r="H831" t="s">
        <v>7476</v>
      </c>
      <c r="I831" s="1">
        <v>2</v>
      </c>
      <c r="J831" s="1">
        <v>2</v>
      </c>
      <c r="K831" t="s">
        <v>6635</v>
      </c>
      <c r="L831" s="5" t="e">
        <f>VLOOKUP(D:D,[1]Munka2!$A:$B,2,FALSE)</f>
        <v>#N/A</v>
      </c>
      <c r="M831" s="5">
        <f>_xlfn.IFNA(Táblázat1[[#This Row],[Kész2020]],0)</f>
        <v>0</v>
      </c>
      <c r="N831" s="5">
        <f>IF(Táblázat1[[#This Row],[Karb./akt.év]]-Táblázat1[[#This Row],[Kész2020_2]]&lt;0,0,Táblázat1[[#This Row],[Karb./akt.év]]-Táblázat1[[#This Row],[Kész2020_2]])</f>
        <v>2</v>
      </c>
    </row>
    <row r="832" spans="1:14" hidden="1" x14ac:dyDescent="0.25">
      <c r="A832" s="17" t="s">
        <v>10</v>
      </c>
      <c r="B832" s="17" t="s">
        <v>7031</v>
      </c>
      <c r="C832" s="17" t="s">
        <v>1735</v>
      </c>
      <c r="D832" s="17" t="s">
        <v>7067</v>
      </c>
      <c r="E832" s="17" t="s">
        <v>4071</v>
      </c>
      <c r="F832" s="17" t="s">
        <v>4072</v>
      </c>
      <c r="G832" s="17" t="s">
        <v>7103</v>
      </c>
      <c r="H832" t="s">
        <v>7476</v>
      </c>
      <c r="I832" s="1">
        <v>2</v>
      </c>
      <c r="J832" s="1">
        <v>2</v>
      </c>
      <c r="K832" t="s">
        <v>6642</v>
      </c>
      <c r="L832" s="5">
        <f>VLOOKUP(D:D,[1]Munka2!$A:$B,2,FALSE)</f>
        <v>1</v>
      </c>
      <c r="M832" s="5">
        <f>_xlfn.IFNA(Táblázat1[[#This Row],[Kész2020]],0)</f>
        <v>1</v>
      </c>
      <c r="N832" s="5">
        <f>IF(Táblázat1[[#This Row],[Karb./akt.év]]-Táblázat1[[#This Row],[Kész2020_2]]&lt;0,0,Táblázat1[[#This Row],[Karb./akt.év]]-Táblázat1[[#This Row],[Kész2020_2]])</f>
        <v>1</v>
      </c>
    </row>
    <row r="833" spans="1:14" x14ac:dyDescent="0.25">
      <c r="A833" s="17" t="s">
        <v>10</v>
      </c>
      <c r="B833" s="17" t="s">
        <v>1494</v>
      </c>
      <c r="C833" s="17" t="s">
        <v>1735</v>
      </c>
      <c r="D833" s="17" t="s">
        <v>3332</v>
      </c>
      <c r="E833" s="17" t="s">
        <v>3683</v>
      </c>
      <c r="F833" s="17" t="s">
        <v>3684</v>
      </c>
      <c r="G833" s="17" t="s">
        <v>6401</v>
      </c>
      <c r="H833" t="s">
        <v>7476</v>
      </c>
      <c r="I833" s="1">
        <v>2</v>
      </c>
      <c r="J833" s="1">
        <v>2</v>
      </c>
      <c r="K833" t="s">
        <v>6784</v>
      </c>
      <c r="L833" s="5" t="e">
        <f>VLOOKUP(D:D,[1]Munka2!$A:$B,2,FALSE)</f>
        <v>#N/A</v>
      </c>
      <c r="M833" s="5">
        <f>_xlfn.IFNA(Táblázat1[[#This Row],[Kész2020]],0)</f>
        <v>0</v>
      </c>
      <c r="N833" s="5">
        <f>IF(Táblázat1[[#This Row],[Karb./akt.év]]-Táblázat1[[#This Row],[Kész2020_2]]&lt;0,0,Táblázat1[[#This Row],[Karb./akt.év]]-Táblázat1[[#This Row],[Kész2020_2]])</f>
        <v>2</v>
      </c>
    </row>
    <row r="834" spans="1:14" hidden="1" x14ac:dyDescent="0.25">
      <c r="A834" s="17" t="s">
        <v>10</v>
      </c>
      <c r="B834" s="17" t="s">
        <v>1397</v>
      </c>
      <c r="C834" s="17" t="s">
        <v>1735</v>
      </c>
      <c r="D834" s="17" t="s">
        <v>7422</v>
      </c>
      <c r="E834" s="17" t="s">
        <v>3741</v>
      </c>
      <c r="F834" s="17" t="s">
        <v>3742</v>
      </c>
      <c r="G834" s="17" t="s">
        <v>7528</v>
      </c>
      <c r="H834" t="s">
        <v>7476</v>
      </c>
      <c r="I834" s="1">
        <v>2</v>
      </c>
      <c r="J834" s="1">
        <v>2</v>
      </c>
      <c r="K834" t="s">
        <v>7354</v>
      </c>
      <c r="L834" s="5">
        <f>VLOOKUP(D:D,[1]Munka2!$A:$B,2,FALSE)</f>
        <v>1</v>
      </c>
      <c r="M834" s="5">
        <f>_xlfn.IFNA(Táblázat1[[#This Row],[Kész2020]],0)</f>
        <v>1</v>
      </c>
      <c r="N834" s="5">
        <f>IF(Táblázat1[[#This Row],[Karb./akt.év]]-Táblázat1[[#This Row],[Kész2020_2]]&lt;0,0,Táblázat1[[#This Row],[Karb./akt.év]]-Táblázat1[[#This Row],[Kész2020_2]])</f>
        <v>1</v>
      </c>
    </row>
    <row r="835" spans="1:14" x14ac:dyDescent="0.25">
      <c r="A835" s="17" t="s">
        <v>10</v>
      </c>
      <c r="B835" s="17" t="s">
        <v>1660</v>
      </c>
      <c r="C835" s="17" t="s">
        <v>1737</v>
      </c>
      <c r="D835" s="17" t="s">
        <v>3517</v>
      </c>
      <c r="E835" s="17" t="s">
        <v>3741</v>
      </c>
      <c r="F835" s="17" t="s">
        <v>3742</v>
      </c>
      <c r="G835" s="17" t="s">
        <v>6558</v>
      </c>
      <c r="H835" t="s">
        <v>7476</v>
      </c>
      <c r="I835" s="1">
        <v>2</v>
      </c>
      <c r="J835" s="1">
        <v>2</v>
      </c>
      <c r="K835" t="s">
        <v>7354</v>
      </c>
      <c r="L835" s="5" t="e">
        <f>VLOOKUP(D:D,[1]Munka2!$A:$B,2,FALSE)</f>
        <v>#N/A</v>
      </c>
      <c r="M835" s="5">
        <f>_xlfn.IFNA(Táblázat1[[#This Row],[Kész2020]],0)</f>
        <v>0</v>
      </c>
      <c r="N835" s="5">
        <f>IF(Táblázat1[[#This Row],[Karb./akt.év]]-Táblázat1[[#This Row],[Kész2020_2]]&lt;0,0,Táblázat1[[#This Row],[Karb./akt.év]]-Táblázat1[[#This Row],[Kész2020_2]])</f>
        <v>2</v>
      </c>
    </row>
    <row r="836" spans="1:14" x14ac:dyDescent="0.25">
      <c r="A836" s="17" t="s">
        <v>10</v>
      </c>
      <c r="B836" s="17" t="s">
        <v>7032</v>
      </c>
      <c r="C836" s="17" t="s">
        <v>1735</v>
      </c>
      <c r="D836" s="17" t="s">
        <v>7068</v>
      </c>
      <c r="E836" s="17" t="s">
        <v>7095</v>
      </c>
      <c r="F836" s="17" t="s">
        <v>7096</v>
      </c>
      <c r="G836" s="17" t="s">
        <v>7104</v>
      </c>
      <c r="H836" t="s">
        <v>7476</v>
      </c>
      <c r="I836" s="1">
        <v>2</v>
      </c>
      <c r="J836" s="1">
        <v>2</v>
      </c>
      <c r="K836" t="s">
        <v>7014</v>
      </c>
      <c r="L836" s="5" t="e">
        <f>VLOOKUP(D:D,[1]Munka2!$A:$B,2,FALSE)</f>
        <v>#N/A</v>
      </c>
      <c r="M836" s="5">
        <f>_xlfn.IFNA(Táblázat1[[#This Row],[Kész2020]],0)</f>
        <v>0</v>
      </c>
      <c r="N836" s="5">
        <f>IF(Táblázat1[[#This Row],[Karb./akt.év]]-Táblázat1[[#This Row],[Kész2020_2]]&lt;0,0,Táblázat1[[#This Row],[Karb./akt.év]]-Táblázat1[[#This Row],[Kész2020_2]])</f>
        <v>2</v>
      </c>
    </row>
    <row r="837" spans="1:14" hidden="1" x14ac:dyDescent="0.25">
      <c r="A837" s="17" t="s">
        <v>10</v>
      </c>
      <c r="B837" s="17" t="s">
        <v>1048</v>
      </c>
      <c r="C837" s="17" t="s">
        <v>1737</v>
      </c>
      <c r="D837" s="17" t="s">
        <v>2836</v>
      </c>
      <c r="E837" s="17" t="s">
        <v>3619</v>
      </c>
      <c r="F837" s="17" t="s">
        <v>3620</v>
      </c>
      <c r="G837" s="17" t="s">
        <v>5977</v>
      </c>
      <c r="H837" t="s">
        <v>7476</v>
      </c>
      <c r="I837" s="1">
        <v>2</v>
      </c>
      <c r="J837" s="1">
        <v>2</v>
      </c>
      <c r="K837" t="s">
        <v>6642</v>
      </c>
      <c r="L837" s="5">
        <f>VLOOKUP(D:D,[1]Munka2!$A:$B,2,FALSE)</f>
        <v>1</v>
      </c>
      <c r="M837" s="5">
        <f>_xlfn.IFNA(Táblázat1[[#This Row],[Kész2020]],0)</f>
        <v>1</v>
      </c>
      <c r="N837" s="5">
        <f>IF(Táblázat1[[#This Row],[Karb./akt.év]]-Táblázat1[[#This Row],[Kész2020_2]]&lt;0,0,Táblázat1[[#This Row],[Karb./akt.év]]-Táblázat1[[#This Row],[Kész2020_2]])</f>
        <v>1</v>
      </c>
    </row>
    <row r="838" spans="1:14" hidden="1" x14ac:dyDescent="0.25">
      <c r="A838" s="17" t="s">
        <v>10</v>
      </c>
      <c r="B838" s="17" t="s">
        <v>7033</v>
      </c>
      <c r="C838" s="17" t="s">
        <v>1735</v>
      </c>
      <c r="D838" s="17" t="s">
        <v>7069</v>
      </c>
      <c r="E838" s="17" t="s">
        <v>4717</v>
      </c>
      <c r="F838" s="17" t="s">
        <v>4718</v>
      </c>
      <c r="G838" s="17" t="s">
        <v>7105</v>
      </c>
      <c r="H838" t="s">
        <v>7476</v>
      </c>
      <c r="I838" s="1">
        <v>2</v>
      </c>
      <c r="J838" s="1">
        <v>2</v>
      </c>
      <c r="K838" t="s">
        <v>8102</v>
      </c>
      <c r="L838" s="5">
        <f>VLOOKUP(D:D,[1]Munka2!$A:$B,2,FALSE)</f>
        <v>1</v>
      </c>
      <c r="M838" s="5">
        <f>_xlfn.IFNA(Táblázat1[[#This Row],[Kész2020]],0)</f>
        <v>1</v>
      </c>
      <c r="N838" s="5">
        <f>IF(Táblázat1[[#This Row],[Karb./akt.év]]-Táblázat1[[#This Row],[Kész2020_2]]&lt;0,0,Táblázat1[[#This Row],[Karb./akt.év]]-Táblázat1[[#This Row],[Kész2020_2]])</f>
        <v>1</v>
      </c>
    </row>
    <row r="839" spans="1:14" hidden="1" x14ac:dyDescent="0.25">
      <c r="A839" s="17" t="s">
        <v>10</v>
      </c>
      <c r="B839" s="17" t="s">
        <v>1367</v>
      </c>
      <c r="C839" s="17" t="s">
        <v>1737</v>
      </c>
      <c r="D839" s="17" t="s">
        <v>3186</v>
      </c>
      <c r="E839" s="17" t="s">
        <v>4845</v>
      </c>
      <c r="F839" s="17" t="s">
        <v>4846</v>
      </c>
      <c r="G839" s="17" t="s">
        <v>6274</v>
      </c>
      <c r="H839" t="s">
        <v>7476</v>
      </c>
      <c r="I839" s="1">
        <v>2</v>
      </c>
      <c r="J839" s="1">
        <v>2</v>
      </c>
      <c r="K839" t="s">
        <v>6638</v>
      </c>
      <c r="L839" s="5">
        <f>VLOOKUP(D:D,[1]Munka2!$A:$B,2,FALSE)</f>
        <v>1</v>
      </c>
      <c r="M839" s="5">
        <f>_xlfn.IFNA(Táblázat1[[#This Row],[Kész2020]],0)</f>
        <v>1</v>
      </c>
      <c r="N839" s="5">
        <f>IF(Táblázat1[[#This Row],[Karb./akt.év]]-Táblázat1[[#This Row],[Kész2020_2]]&lt;0,0,Táblázat1[[#This Row],[Karb./akt.év]]-Táblázat1[[#This Row],[Kész2020_2]])</f>
        <v>1</v>
      </c>
    </row>
    <row r="840" spans="1:14" x14ac:dyDescent="0.25">
      <c r="A840" s="17" t="s">
        <v>10</v>
      </c>
      <c r="B840" s="17" t="s">
        <v>1681</v>
      </c>
      <c r="C840" s="17" t="s">
        <v>1737</v>
      </c>
      <c r="D840" s="17" t="s">
        <v>3537</v>
      </c>
      <c r="E840" s="17" t="s">
        <v>3788</v>
      </c>
      <c r="F840" s="17" t="s">
        <v>3789</v>
      </c>
      <c r="G840" s="17" t="s">
        <v>6576</v>
      </c>
      <c r="H840" t="s">
        <v>7476</v>
      </c>
      <c r="I840" s="1">
        <v>2</v>
      </c>
      <c r="J840" s="1">
        <v>2</v>
      </c>
      <c r="K840" t="s">
        <v>6634</v>
      </c>
      <c r="L840" s="5" t="e">
        <f>VLOOKUP(D:D,[1]Munka2!$A:$B,2,FALSE)</f>
        <v>#N/A</v>
      </c>
      <c r="M840" s="5">
        <f>_xlfn.IFNA(Táblázat1[[#This Row],[Kész2020]],0)</f>
        <v>0</v>
      </c>
      <c r="N840" s="5">
        <f>IF(Táblázat1[[#This Row],[Karb./akt.év]]-Táblázat1[[#This Row],[Kész2020_2]]&lt;0,0,Táblázat1[[#This Row],[Karb./akt.év]]-Táblázat1[[#This Row],[Kész2020_2]])</f>
        <v>2</v>
      </c>
    </row>
    <row r="841" spans="1:14" hidden="1" x14ac:dyDescent="0.25">
      <c r="A841" s="17" t="s">
        <v>10</v>
      </c>
      <c r="B841" s="17" t="s">
        <v>7278</v>
      </c>
      <c r="C841" s="17" t="s">
        <v>1735</v>
      </c>
      <c r="D841" s="17" t="s">
        <v>7307</v>
      </c>
      <c r="E841" s="17" t="s">
        <v>7331</v>
      </c>
      <c r="F841" s="17" t="s">
        <v>7332</v>
      </c>
      <c r="G841" s="17" t="s">
        <v>5976</v>
      </c>
      <c r="H841" t="s">
        <v>7476</v>
      </c>
      <c r="I841" s="1">
        <v>2</v>
      </c>
      <c r="J841" s="1">
        <v>2</v>
      </c>
      <c r="K841" t="s">
        <v>6637</v>
      </c>
      <c r="L841" s="5">
        <f>VLOOKUP(D:D,[1]Munka2!$A:$B,2,FALSE)</f>
        <v>1</v>
      </c>
      <c r="M841" s="5">
        <f>_xlfn.IFNA(Táblázat1[[#This Row],[Kész2020]],0)</f>
        <v>1</v>
      </c>
      <c r="N841" s="5">
        <f>IF(Táblázat1[[#This Row],[Karb./akt.év]]-Táblázat1[[#This Row],[Kész2020_2]]&lt;0,0,Táblázat1[[#This Row],[Karb./akt.év]]-Táblázat1[[#This Row],[Kész2020_2]])</f>
        <v>1</v>
      </c>
    </row>
    <row r="842" spans="1:14" hidden="1" x14ac:dyDescent="0.25">
      <c r="A842" s="17" t="s">
        <v>10</v>
      </c>
      <c r="B842" s="17" t="s">
        <v>100</v>
      </c>
      <c r="C842" s="17" t="s">
        <v>1735</v>
      </c>
      <c r="D842" s="17" t="s">
        <v>1839</v>
      </c>
      <c r="E842" s="17" t="s">
        <v>3676</v>
      </c>
      <c r="F842" s="17" t="s">
        <v>3598</v>
      </c>
      <c r="G842" s="17" t="s">
        <v>5072</v>
      </c>
      <c r="H842" t="s">
        <v>7476</v>
      </c>
      <c r="I842" s="1">
        <v>2</v>
      </c>
      <c r="J842" s="1">
        <v>2</v>
      </c>
      <c r="K842" t="s">
        <v>8101</v>
      </c>
      <c r="L842" s="5">
        <f>VLOOKUP(D:D,[1]Munka2!$A:$B,2,FALSE)</f>
        <v>1</v>
      </c>
      <c r="M842" s="5">
        <f>_xlfn.IFNA(Táblázat1[[#This Row],[Kész2020]],0)</f>
        <v>1</v>
      </c>
      <c r="N842" s="5">
        <f>IF(Táblázat1[[#This Row],[Karb./akt.év]]-Táblázat1[[#This Row],[Kész2020_2]]&lt;0,0,Táblázat1[[#This Row],[Karb./akt.év]]-Táblázat1[[#This Row],[Kész2020_2]])</f>
        <v>1</v>
      </c>
    </row>
    <row r="843" spans="1:14" hidden="1" x14ac:dyDescent="0.25">
      <c r="A843" s="17" t="s">
        <v>10</v>
      </c>
      <c r="B843" s="17" t="s">
        <v>7357</v>
      </c>
      <c r="C843" s="17" t="s">
        <v>1735</v>
      </c>
      <c r="D843" s="17" t="s">
        <v>7304</v>
      </c>
      <c r="E843" s="17" t="s">
        <v>4977</v>
      </c>
      <c r="F843" s="17" t="s">
        <v>4978</v>
      </c>
      <c r="G843" s="17" t="s">
        <v>7342</v>
      </c>
      <c r="H843" t="s">
        <v>7476</v>
      </c>
      <c r="I843" s="1">
        <v>2</v>
      </c>
      <c r="J843" s="1">
        <v>2</v>
      </c>
      <c r="K843" t="s">
        <v>6640</v>
      </c>
      <c r="L843" s="5">
        <f>VLOOKUP(D:D,[1]Munka2!$A:$B,2,FALSE)</f>
        <v>1</v>
      </c>
      <c r="M843" s="5">
        <f>_xlfn.IFNA(Táblázat1[[#This Row],[Kész2020]],0)</f>
        <v>1</v>
      </c>
      <c r="N843" s="5">
        <f>IF(Táblázat1[[#This Row],[Karb./akt.év]]-Táblázat1[[#This Row],[Kész2020_2]]&lt;0,0,Táblázat1[[#This Row],[Karb./akt.év]]-Táblázat1[[#This Row],[Kész2020_2]])</f>
        <v>1</v>
      </c>
    </row>
    <row r="844" spans="1:14" hidden="1" x14ac:dyDescent="0.25">
      <c r="A844" s="17" t="s">
        <v>10</v>
      </c>
      <c r="B844" s="17" t="s">
        <v>7219</v>
      </c>
      <c r="C844" s="17" t="s">
        <v>1735</v>
      </c>
      <c r="D844" s="17" t="s">
        <v>3223</v>
      </c>
      <c r="E844" s="17" t="s">
        <v>3641</v>
      </c>
      <c r="F844" s="17" t="s">
        <v>3642</v>
      </c>
      <c r="G844" s="17" t="s">
        <v>5283</v>
      </c>
      <c r="H844" t="s">
        <v>7476</v>
      </c>
      <c r="I844" s="1">
        <v>2</v>
      </c>
      <c r="J844" s="1">
        <v>2</v>
      </c>
      <c r="K844" t="s">
        <v>7354</v>
      </c>
      <c r="L844" s="5">
        <f>VLOOKUP(D:D,[1]Munka2!$A:$B,2,FALSE)</f>
        <v>1</v>
      </c>
      <c r="M844" s="5">
        <f>_xlfn.IFNA(Táblázat1[[#This Row],[Kész2020]],0)</f>
        <v>1</v>
      </c>
      <c r="N844" s="5">
        <f>IF(Táblázat1[[#This Row],[Karb./akt.év]]-Táblázat1[[#This Row],[Kész2020_2]]&lt;0,0,Táblázat1[[#This Row],[Karb./akt.év]]-Táblázat1[[#This Row],[Kész2020_2]])</f>
        <v>1</v>
      </c>
    </row>
    <row r="845" spans="1:14" hidden="1" x14ac:dyDescent="0.25">
      <c r="A845" s="17" t="s">
        <v>10</v>
      </c>
      <c r="B845" s="17" t="s">
        <v>1556</v>
      </c>
      <c r="C845" s="17" t="s">
        <v>1735</v>
      </c>
      <c r="D845" s="17" t="s">
        <v>3401</v>
      </c>
      <c r="E845" s="17" t="s">
        <v>4943</v>
      </c>
      <c r="F845" s="17" t="s">
        <v>4944</v>
      </c>
      <c r="G845" s="17" t="s">
        <v>6461</v>
      </c>
      <c r="H845" t="s">
        <v>7476</v>
      </c>
      <c r="I845" s="1">
        <v>2</v>
      </c>
      <c r="J845" s="1">
        <v>2</v>
      </c>
      <c r="K845" t="s">
        <v>8103</v>
      </c>
      <c r="L845" s="5">
        <f>VLOOKUP(D:D,[1]Munka2!$A:$B,2,FALSE)</f>
        <v>1</v>
      </c>
      <c r="M845" s="5">
        <f>_xlfn.IFNA(Táblázat1[[#This Row],[Kész2020]],0)</f>
        <v>1</v>
      </c>
      <c r="N845" s="5">
        <f>IF(Táblázat1[[#This Row],[Karb./akt.év]]-Táblázat1[[#This Row],[Kész2020_2]]&lt;0,0,Táblázat1[[#This Row],[Karb./akt.év]]-Táblázat1[[#This Row],[Kész2020_2]])</f>
        <v>1</v>
      </c>
    </row>
    <row r="846" spans="1:14" hidden="1" x14ac:dyDescent="0.25">
      <c r="A846" s="17" t="s">
        <v>10</v>
      </c>
      <c r="B846" s="17" t="s">
        <v>1215</v>
      </c>
      <c r="C846" s="17" t="s">
        <v>1737</v>
      </c>
      <c r="D846" s="17" t="s">
        <v>3021</v>
      </c>
      <c r="E846" s="17" t="s">
        <v>4721</v>
      </c>
      <c r="F846" s="17" t="s">
        <v>3679</v>
      </c>
      <c r="G846" s="17" t="s">
        <v>6143</v>
      </c>
      <c r="H846" t="s">
        <v>7476</v>
      </c>
      <c r="I846" s="1">
        <v>2</v>
      </c>
      <c r="J846" s="1">
        <v>2</v>
      </c>
      <c r="K846" t="s">
        <v>6635</v>
      </c>
      <c r="L846" s="5">
        <f>VLOOKUP(D:D,[1]Munka2!$A:$B,2,FALSE)</f>
        <v>1</v>
      </c>
      <c r="M846" s="5">
        <f>_xlfn.IFNA(Táblázat1[[#This Row],[Kész2020]],0)</f>
        <v>1</v>
      </c>
      <c r="N846" s="5">
        <f>IF(Táblázat1[[#This Row],[Karb./akt.év]]-Táblázat1[[#This Row],[Kész2020_2]]&lt;0,0,Táblázat1[[#This Row],[Karb./akt.év]]-Táblázat1[[#This Row],[Kész2020_2]])</f>
        <v>1</v>
      </c>
    </row>
    <row r="847" spans="1:14" hidden="1" x14ac:dyDescent="0.25">
      <c r="A847" s="17" t="s">
        <v>10</v>
      </c>
      <c r="B847" s="17" t="s">
        <v>491</v>
      </c>
      <c r="C847" s="17" t="s">
        <v>1735</v>
      </c>
      <c r="D847" s="17" t="s">
        <v>2251</v>
      </c>
      <c r="E847" s="17" t="s">
        <v>3818</v>
      </c>
      <c r="F847" s="17" t="s">
        <v>3819</v>
      </c>
      <c r="G847" s="17" t="s">
        <v>5451</v>
      </c>
      <c r="H847" t="s">
        <v>7476</v>
      </c>
      <c r="I847" s="1">
        <v>2</v>
      </c>
      <c r="J847" s="1">
        <v>2</v>
      </c>
      <c r="K847" t="s">
        <v>6634</v>
      </c>
      <c r="L847" s="5">
        <f>VLOOKUP(D:D,[1]Munka2!$A:$B,2,FALSE)</f>
        <v>1</v>
      </c>
      <c r="M847" s="5">
        <f>_xlfn.IFNA(Táblázat1[[#This Row],[Kész2020]],0)</f>
        <v>1</v>
      </c>
      <c r="N847" s="5">
        <f>IF(Táblázat1[[#This Row],[Karb./akt.év]]-Táblázat1[[#This Row],[Kész2020_2]]&lt;0,0,Táblázat1[[#This Row],[Karb./akt.év]]-Táblázat1[[#This Row],[Kész2020_2]])</f>
        <v>1</v>
      </c>
    </row>
    <row r="848" spans="1:14" hidden="1" x14ac:dyDescent="0.25">
      <c r="A848" s="17" t="s">
        <v>10</v>
      </c>
      <c r="B848" s="17" t="s">
        <v>8167</v>
      </c>
      <c r="C848" s="17" t="s">
        <v>1742</v>
      </c>
      <c r="D848" s="17" t="s">
        <v>8170</v>
      </c>
      <c r="E848" s="17" t="s">
        <v>4355</v>
      </c>
      <c r="F848" s="17" t="s">
        <v>4356</v>
      </c>
      <c r="G848" s="17" t="s">
        <v>6181</v>
      </c>
      <c r="H848" t="s">
        <v>7476</v>
      </c>
      <c r="I848" s="1">
        <v>2</v>
      </c>
      <c r="J848" s="1">
        <v>0</v>
      </c>
      <c r="K848" t="s">
        <v>6637</v>
      </c>
      <c r="L848" s="5" t="e">
        <f>VLOOKUP(D:D,[1]Munka2!$A:$B,2,FALSE)</f>
        <v>#N/A</v>
      </c>
      <c r="M848" s="5">
        <f>_xlfn.IFNA(Táblázat1[[#This Row],[Kész2020]],0)</f>
        <v>0</v>
      </c>
      <c r="N848" s="5">
        <f>IF(Táblázat1[[#This Row],[Karb./akt.év]]-Táblázat1[[#This Row],[Kész2020_2]]&lt;0,0,Táblázat1[[#This Row],[Karb./akt.év]]-Táblázat1[[#This Row],[Kész2020_2]])</f>
        <v>0</v>
      </c>
    </row>
    <row r="849" spans="1:14" hidden="1" x14ac:dyDescent="0.25">
      <c r="A849" s="17" t="s">
        <v>10</v>
      </c>
      <c r="B849" s="17" t="s">
        <v>1391</v>
      </c>
      <c r="C849" s="17" t="s">
        <v>1737</v>
      </c>
      <c r="D849" s="17" t="s">
        <v>3214</v>
      </c>
      <c r="E849" s="17" t="s">
        <v>4810</v>
      </c>
      <c r="F849" s="17" t="s">
        <v>4811</v>
      </c>
      <c r="G849" s="17" t="s">
        <v>6295</v>
      </c>
      <c r="H849" t="s">
        <v>7476</v>
      </c>
      <c r="I849" s="1">
        <v>2</v>
      </c>
      <c r="J849" s="1">
        <v>2</v>
      </c>
      <c r="K849" t="s">
        <v>6636</v>
      </c>
      <c r="L849" s="5">
        <f>VLOOKUP(D:D,[1]Munka2!$A:$B,2,FALSE)</f>
        <v>1</v>
      </c>
      <c r="M849" s="5">
        <f>_xlfn.IFNA(Táblázat1[[#This Row],[Kész2020]],0)</f>
        <v>1</v>
      </c>
      <c r="N849" s="5">
        <f>IF(Táblázat1[[#This Row],[Karb./akt.év]]-Táblázat1[[#This Row],[Kész2020_2]]&lt;0,0,Táblázat1[[#This Row],[Karb./akt.év]]-Táblázat1[[#This Row],[Kész2020_2]])</f>
        <v>1</v>
      </c>
    </row>
    <row r="850" spans="1:14" hidden="1" x14ac:dyDescent="0.25">
      <c r="A850" s="17" t="s">
        <v>10</v>
      </c>
      <c r="B850" s="17" t="s">
        <v>1524</v>
      </c>
      <c r="C850" s="17" t="s">
        <v>1737</v>
      </c>
      <c r="D850" s="17" t="s">
        <v>3366</v>
      </c>
      <c r="E850" s="17" t="s">
        <v>3782</v>
      </c>
      <c r="F850" s="17" t="s">
        <v>3783</v>
      </c>
      <c r="G850" s="17" t="s">
        <v>6431</v>
      </c>
      <c r="H850" t="s">
        <v>7476</v>
      </c>
      <c r="I850" s="1">
        <v>2</v>
      </c>
      <c r="J850" s="1">
        <v>2</v>
      </c>
      <c r="K850" t="s">
        <v>8103</v>
      </c>
      <c r="L850" s="5">
        <f>VLOOKUP(D:D,[1]Munka2!$A:$B,2,FALSE)</f>
        <v>1</v>
      </c>
      <c r="M850" s="5">
        <f>_xlfn.IFNA(Táblázat1[[#This Row],[Kész2020]],0)</f>
        <v>1</v>
      </c>
      <c r="N850" s="5">
        <f>IF(Táblázat1[[#This Row],[Karb./akt.év]]-Táblázat1[[#This Row],[Kész2020_2]]&lt;0,0,Táblázat1[[#This Row],[Karb./akt.év]]-Táblázat1[[#This Row],[Kész2020_2]])</f>
        <v>1</v>
      </c>
    </row>
    <row r="851" spans="1:14" hidden="1" x14ac:dyDescent="0.25">
      <c r="A851" s="17" t="s">
        <v>10</v>
      </c>
      <c r="B851" s="17" t="s">
        <v>1410</v>
      </c>
      <c r="C851" s="17" t="s">
        <v>1735</v>
      </c>
      <c r="D851" s="17" t="s">
        <v>3237</v>
      </c>
      <c r="E851" s="17" t="s">
        <v>3802</v>
      </c>
      <c r="F851" s="17" t="s">
        <v>3803</v>
      </c>
      <c r="G851" s="17" t="s">
        <v>6315</v>
      </c>
      <c r="H851" t="s">
        <v>7476</v>
      </c>
      <c r="I851" s="1">
        <v>2</v>
      </c>
      <c r="J851" s="1">
        <v>2</v>
      </c>
      <c r="K851" t="s">
        <v>6635</v>
      </c>
      <c r="L851" s="5">
        <f>VLOOKUP(D:D,[1]Munka2!$A:$B,2,FALSE)</f>
        <v>1</v>
      </c>
      <c r="M851" s="5">
        <f>_xlfn.IFNA(Táblázat1[[#This Row],[Kész2020]],0)</f>
        <v>1</v>
      </c>
      <c r="N851" s="5">
        <f>IF(Táblázat1[[#This Row],[Karb./akt.év]]-Táblázat1[[#This Row],[Kész2020_2]]&lt;0,0,Táblázat1[[#This Row],[Karb./akt.év]]-Táblázat1[[#This Row],[Kész2020_2]])</f>
        <v>1</v>
      </c>
    </row>
    <row r="852" spans="1:14" hidden="1" x14ac:dyDescent="0.25">
      <c r="A852" s="17" t="s">
        <v>10</v>
      </c>
      <c r="B852" s="17" t="s">
        <v>7682</v>
      </c>
      <c r="C852" s="17" t="s">
        <v>1735</v>
      </c>
      <c r="D852" s="17" t="s">
        <v>7789</v>
      </c>
      <c r="E852" s="17" t="s">
        <v>6896</v>
      </c>
      <c r="F852" s="17" t="s">
        <v>6897</v>
      </c>
      <c r="G852" s="17" t="s">
        <v>8014</v>
      </c>
      <c r="H852" t="s">
        <v>7476</v>
      </c>
      <c r="I852" s="1">
        <v>2</v>
      </c>
      <c r="J852" s="1">
        <v>2</v>
      </c>
      <c r="K852" t="s">
        <v>6635</v>
      </c>
      <c r="L852" s="5">
        <f>VLOOKUP(D:D,[1]Munka2!$A:$B,2,FALSE)</f>
        <v>1</v>
      </c>
      <c r="M852" s="5">
        <f>_xlfn.IFNA(Táblázat1[[#This Row],[Kész2020]],0)</f>
        <v>1</v>
      </c>
      <c r="N852" s="5">
        <f>IF(Táblázat1[[#This Row],[Karb./akt.év]]-Táblázat1[[#This Row],[Kész2020_2]]&lt;0,0,Táblázat1[[#This Row],[Karb./akt.év]]-Táblázat1[[#This Row],[Kész2020_2]])</f>
        <v>1</v>
      </c>
    </row>
    <row r="853" spans="1:14" hidden="1" x14ac:dyDescent="0.25">
      <c r="A853" s="17" t="s">
        <v>10</v>
      </c>
      <c r="B853" s="17" t="s">
        <v>8174</v>
      </c>
      <c r="C853" s="17" t="s">
        <v>1735</v>
      </c>
      <c r="D853" s="17" t="s">
        <v>8177</v>
      </c>
      <c r="E853" s="17" t="s">
        <v>7890</v>
      </c>
      <c r="F853" s="17" t="s">
        <v>3642</v>
      </c>
      <c r="G853" s="17" t="s">
        <v>8178</v>
      </c>
      <c r="H853" t="s">
        <v>7476</v>
      </c>
      <c r="I853" s="1" t="e">
        <v>#N/A</v>
      </c>
      <c r="J853" s="1" t="e">
        <v>#N/A</v>
      </c>
      <c r="K853" t="e">
        <v>#N/A</v>
      </c>
      <c r="L853" s="5" t="e">
        <f>VLOOKUP(D:D,[1]Munka2!$A:$B,2,FALSE)</f>
        <v>#N/A</v>
      </c>
      <c r="M853" s="5">
        <f>_xlfn.IFNA(Táblázat1[[#This Row],[Kész2020]],0)</f>
        <v>0</v>
      </c>
      <c r="N853" s="5" t="e">
        <f>IF(Táblázat1[[#This Row],[Karb./akt.év]]-Táblázat1[[#This Row],[Kész2020_2]]&lt;0,0,Táblázat1[[#This Row],[Karb./akt.év]]-Táblázat1[[#This Row],[Kész2020_2]])</f>
        <v>#N/A</v>
      </c>
    </row>
    <row r="854" spans="1:14" x14ac:dyDescent="0.25">
      <c r="A854" s="17" t="s">
        <v>10</v>
      </c>
      <c r="B854" s="17" t="s">
        <v>1032</v>
      </c>
      <c r="C854" s="17" t="s">
        <v>1744</v>
      </c>
      <c r="D854" s="17" t="s">
        <v>2822</v>
      </c>
      <c r="E854" s="17" t="s">
        <v>3597</v>
      </c>
      <c r="F854" s="17" t="s">
        <v>3598</v>
      </c>
      <c r="G854" s="17" t="s">
        <v>5959</v>
      </c>
      <c r="H854" t="s">
        <v>7476</v>
      </c>
      <c r="I854" s="1">
        <v>2</v>
      </c>
      <c r="J854" s="1">
        <v>2</v>
      </c>
      <c r="K854" t="s">
        <v>6633</v>
      </c>
      <c r="L854" s="5" t="e">
        <f>VLOOKUP(D:D,[1]Munka2!$A:$B,2,FALSE)</f>
        <v>#N/A</v>
      </c>
      <c r="M854" s="5">
        <f>_xlfn.IFNA(Táblázat1[[#This Row],[Kész2020]],0)</f>
        <v>0</v>
      </c>
      <c r="N854" s="5">
        <f>IF(Táblázat1[[#This Row],[Karb./akt.év]]-Táblázat1[[#This Row],[Kész2020_2]]&lt;0,0,Táblázat1[[#This Row],[Karb./akt.év]]-Táblázat1[[#This Row],[Kész2020_2]])</f>
        <v>2</v>
      </c>
    </row>
    <row r="855" spans="1:14" hidden="1" x14ac:dyDescent="0.25">
      <c r="A855" s="17" t="s">
        <v>10</v>
      </c>
      <c r="B855" s="17" t="s">
        <v>918</v>
      </c>
      <c r="C855" s="17" t="s">
        <v>1737</v>
      </c>
      <c r="D855" s="17" t="s">
        <v>2700</v>
      </c>
      <c r="E855" s="17" t="s">
        <v>4507</v>
      </c>
      <c r="F855" s="17" t="s">
        <v>4508</v>
      </c>
      <c r="G855" s="17" t="s">
        <v>5843</v>
      </c>
      <c r="H855" t="s">
        <v>7476</v>
      </c>
      <c r="I855" s="1">
        <v>2</v>
      </c>
      <c r="J855" s="1">
        <v>2</v>
      </c>
      <c r="K855" t="s">
        <v>6637</v>
      </c>
      <c r="L855" s="5">
        <f>VLOOKUP(D:D,[1]Munka2!$A:$B,2,FALSE)</f>
        <v>1</v>
      </c>
      <c r="M855" s="5">
        <f>_xlfn.IFNA(Táblázat1[[#This Row],[Kész2020]],0)</f>
        <v>1</v>
      </c>
      <c r="N855" s="5">
        <f>IF(Táblázat1[[#This Row],[Karb./akt.év]]-Táblázat1[[#This Row],[Kész2020_2]]&lt;0,0,Táblázat1[[#This Row],[Karb./akt.év]]-Táblázat1[[#This Row],[Kész2020_2]])</f>
        <v>1</v>
      </c>
    </row>
    <row r="856" spans="1:14" hidden="1" x14ac:dyDescent="0.25">
      <c r="A856" s="17" t="s">
        <v>10</v>
      </c>
      <c r="B856" s="17" t="s">
        <v>1164</v>
      </c>
      <c r="C856" s="17" t="s">
        <v>1744</v>
      </c>
      <c r="D856" s="17" t="s">
        <v>7420</v>
      </c>
      <c r="E856" s="17" t="s">
        <v>4670</v>
      </c>
      <c r="F856" s="17" t="s">
        <v>4671</v>
      </c>
      <c r="G856" s="17" t="s">
        <v>7529</v>
      </c>
      <c r="H856" t="s">
        <v>7476</v>
      </c>
      <c r="I856" s="1">
        <v>2</v>
      </c>
      <c r="J856" s="1">
        <v>2</v>
      </c>
      <c r="K856" t="s">
        <v>6642</v>
      </c>
      <c r="L856" s="5">
        <f>VLOOKUP(D:D,[1]Munka2!$A:$B,2,FALSE)</f>
        <v>1</v>
      </c>
      <c r="M856" s="5">
        <f>_xlfn.IFNA(Táblázat1[[#This Row],[Kész2020]],0)</f>
        <v>1</v>
      </c>
      <c r="N856" s="5">
        <f>IF(Táblázat1[[#This Row],[Karb./akt.év]]-Táblázat1[[#This Row],[Kész2020_2]]&lt;0,0,Táblázat1[[#This Row],[Karb./akt.év]]-Táblázat1[[#This Row],[Kész2020_2]])</f>
        <v>1</v>
      </c>
    </row>
    <row r="857" spans="1:14" hidden="1" x14ac:dyDescent="0.25">
      <c r="A857" s="17" t="s">
        <v>10</v>
      </c>
      <c r="B857" s="17" t="s">
        <v>1028</v>
      </c>
      <c r="C857" s="17" t="s">
        <v>1735</v>
      </c>
      <c r="D857" s="17" t="s">
        <v>2817</v>
      </c>
      <c r="E857" s="17" t="s">
        <v>4063</v>
      </c>
      <c r="F857" s="17" t="s">
        <v>3598</v>
      </c>
      <c r="G857" s="17" t="s">
        <v>5956</v>
      </c>
      <c r="H857" t="s">
        <v>7476</v>
      </c>
      <c r="I857" s="1">
        <v>2</v>
      </c>
      <c r="J857" s="1">
        <v>2</v>
      </c>
      <c r="K857" t="s">
        <v>7017</v>
      </c>
      <c r="L857" s="5">
        <f>VLOOKUP(D:D,[1]Munka2!$A:$B,2,FALSE)</f>
        <v>1</v>
      </c>
      <c r="M857" s="5">
        <f>_xlfn.IFNA(Táblázat1[[#This Row],[Kész2020]],0)</f>
        <v>1</v>
      </c>
      <c r="N857" s="5">
        <f>IF(Táblázat1[[#This Row],[Karb./akt.év]]-Táblázat1[[#This Row],[Kész2020_2]]&lt;0,0,Táblázat1[[#This Row],[Karb./akt.év]]-Táblázat1[[#This Row],[Kész2020_2]])</f>
        <v>1</v>
      </c>
    </row>
    <row r="858" spans="1:14" hidden="1" x14ac:dyDescent="0.25">
      <c r="A858" s="17" t="s">
        <v>10</v>
      </c>
      <c r="B858" s="17" t="s">
        <v>1710</v>
      </c>
      <c r="C858" s="17" t="s">
        <v>1735</v>
      </c>
      <c r="D858" s="17" t="s">
        <v>3567</v>
      </c>
      <c r="E858" s="17" t="s">
        <v>4312</v>
      </c>
      <c r="F858" s="17" t="s">
        <v>3598</v>
      </c>
      <c r="G858" s="17" t="s">
        <v>6605</v>
      </c>
      <c r="H858" t="s">
        <v>7476</v>
      </c>
      <c r="I858" s="1">
        <v>2</v>
      </c>
      <c r="J858" s="1">
        <v>2</v>
      </c>
      <c r="K858" t="s">
        <v>7014</v>
      </c>
      <c r="L858" s="5">
        <f>VLOOKUP(D:D,[1]Munka2!$A:$B,2,FALSE)</f>
        <v>1</v>
      </c>
      <c r="M858" s="5">
        <f>_xlfn.IFNA(Táblázat1[[#This Row],[Kész2020]],0)</f>
        <v>1</v>
      </c>
      <c r="N858" s="5">
        <f>IF(Táblázat1[[#This Row],[Karb./akt.év]]-Táblázat1[[#This Row],[Kész2020_2]]&lt;0,0,Táblázat1[[#This Row],[Karb./akt.év]]-Táblázat1[[#This Row],[Kész2020_2]])</f>
        <v>1</v>
      </c>
    </row>
    <row r="859" spans="1:14" hidden="1" x14ac:dyDescent="0.25">
      <c r="A859" s="17" t="s">
        <v>10</v>
      </c>
      <c r="B859" s="17" t="s">
        <v>912</v>
      </c>
      <c r="C859" s="17" t="s">
        <v>1735</v>
      </c>
      <c r="D859" s="17" t="s">
        <v>2693</v>
      </c>
      <c r="E859" s="17" t="s">
        <v>3788</v>
      </c>
      <c r="F859" s="17" t="s">
        <v>3789</v>
      </c>
      <c r="G859" s="17" t="s">
        <v>5839</v>
      </c>
      <c r="H859" t="s">
        <v>7476</v>
      </c>
      <c r="I859" s="1">
        <v>2</v>
      </c>
      <c r="J859" s="1">
        <v>2</v>
      </c>
      <c r="K859" t="s">
        <v>6634</v>
      </c>
      <c r="L859" s="5">
        <f>VLOOKUP(D:D,[1]Munka2!$A:$B,2,FALSE)</f>
        <v>1</v>
      </c>
      <c r="M859" s="5">
        <f>_xlfn.IFNA(Táblázat1[[#This Row],[Kész2020]],0)</f>
        <v>1</v>
      </c>
      <c r="N859" s="5">
        <f>IF(Táblázat1[[#This Row],[Karb./akt.év]]-Táblázat1[[#This Row],[Kész2020_2]]&lt;0,0,Táblázat1[[#This Row],[Karb./akt.év]]-Táblázat1[[#This Row],[Kész2020_2]])</f>
        <v>1</v>
      </c>
    </row>
    <row r="860" spans="1:14" hidden="1" x14ac:dyDescent="0.25">
      <c r="A860" s="17" t="s">
        <v>10</v>
      </c>
      <c r="B860" s="17" t="s">
        <v>260</v>
      </c>
      <c r="C860" s="17" t="s">
        <v>1735</v>
      </c>
      <c r="D860" s="17" t="s">
        <v>2007</v>
      </c>
      <c r="E860" s="17" t="s">
        <v>3887</v>
      </c>
      <c r="F860" s="17" t="s">
        <v>3718</v>
      </c>
      <c r="G860" s="17" t="s">
        <v>5227</v>
      </c>
      <c r="H860" t="s">
        <v>7476</v>
      </c>
      <c r="I860" s="1">
        <v>2</v>
      </c>
      <c r="J860" s="1">
        <v>2</v>
      </c>
      <c r="K860" t="s">
        <v>8102</v>
      </c>
      <c r="L860" s="5">
        <f>VLOOKUP(D:D,[1]Munka2!$A:$B,2,FALSE)</f>
        <v>1</v>
      </c>
      <c r="M860" s="5">
        <f>_xlfn.IFNA(Táblázat1[[#This Row],[Kész2020]],0)</f>
        <v>1</v>
      </c>
      <c r="N860" s="5">
        <f>IF(Táblázat1[[#This Row],[Karb./akt.év]]-Táblázat1[[#This Row],[Kész2020_2]]&lt;0,0,Táblázat1[[#This Row],[Karb./akt.év]]-Táblázat1[[#This Row],[Kész2020_2]])</f>
        <v>1</v>
      </c>
    </row>
    <row r="861" spans="1:14" x14ac:dyDescent="0.25">
      <c r="A861" s="17" t="s">
        <v>10</v>
      </c>
      <c r="B861" s="17" t="s">
        <v>1072</v>
      </c>
      <c r="C861" s="17" t="s">
        <v>1735</v>
      </c>
      <c r="D861" s="17" t="s">
        <v>2861</v>
      </c>
      <c r="E861" s="17" t="s">
        <v>3824</v>
      </c>
      <c r="F861" s="17" t="s">
        <v>3598</v>
      </c>
      <c r="G861" s="17" t="s">
        <v>6002</v>
      </c>
      <c r="H861" t="s">
        <v>7476</v>
      </c>
      <c r="I861" s="1">
        <v>2</v>
      </c>
      <c r="J861" s="1">
        <v>2</v>
      </c>
      <c r="K861" t="s">
        <v>6785</v>
      </c>
      <c r="L861" s="5" t="e">
        <f>VLOOKUP(D:D,[1]Munka2!$A:$B,2,FALSE)</f>
        <v>#N/A</v>
      </c>
      <c r="M861" s="5">
        <f>_xlfn.IFNA(Táblázat1[[#This Row],[Kész2020]],0)</f>
        <v>0</v>
      </c>
      <c r="N861" s="5">
        <f>IF(Táblázat1[[#This Row],[Karb./akt.év]]-Táblázat1[[#This Row],[Kész2020_2]]&lt;0,0,Táblázat1[[#This Row],[Karb./akt.év]]-Táblázat1[[#This Row],[Kész2020_2]])</f>
        <v>2</v>
      </c>
    </row>
    <row r="862" spans="1:14" hidden="1" x14ac:dyDescent="0.25">
      <c r="A862" s="17" t="s">
        <v>10</v>
      </c>
      <c r="B862" s="17" t="s">
        <v>1010</v>
      </c>
      <c r="C862" s="17" t="s">
        <v>1735</v>
      </c>
      <c r="D862" s="17" t="s">
        <v>2801</v>
      </c>
      <c r="E862" s="17" t="s">
        <v>4063</v>
      </c>
      <c r="F862" s="17" t="s">
        <v>3598</v>
      </c>
      <c r="G862" s="17" t="s">
        <v>5939</v>
      </c>
      <c r="H862" t="s">
        <v>7476</v>
      </c>
      <c r="I862" s="1">
        <v>2</v>
      </c>
      <c r="J862" s="1">
        <v>2</v>
      </c>
      <c r="K862" t="s">
        <v>7017</v>
      </c>
      <c r="L862" s="5">
        <f>VLOOKUP(D:D,[1]Munka2!$A:$B,2,FALSE)</f>
        <v>1</v>
      </c>
      <c r="M862" s="5">
        <f>_xlfn.IFNA(Táblázat1[[#This Row],[Kész2020]],0)</f>
        <v>1</v>
      </c>
      <c r="N862" s="5">
        <f>IF(Táblázat1[[#This Row],[Karb./akt.év]]-Táblázat1[[#This Row],[Kész2020_2]]&lt;0,0,Táblázat1[[#This Row],[Karb./akt.év]]-Táblázat1[[#This Row],[Kész2020_2]])</f>
        <v>1</v>
      </c>
    </row>
    <row r="863" spans="1:14" hidden="1" x14ac:dyDescent="0.25">
      <c r="A863" s="17" t="s">
        <v>10</v>
      </c>
      <c r="B863" s="17" t="s">
        <v>223</v>
      </c>
      <c r="C863" s="17" t="s">
        <v>1735</v>
      </c>
      <c r="D863" s="17" t="s">
        <v>1966</v>
      </c>
      <c r="E863" s="17" t="s">
        <v>3834</v>
      </c>
      <c r="F863" s="17" t="s">
        <v>3835</v>
      </c>
      <c r="G863" s="17" t="s">
        <v>5191</v>
      </c>
      <c r="H863" t="s">
        <v>7476</v>
      </c>
      <c r="I863" s="1">
        <v>2</v>
      </c>
      <c r="J863" s="1">
        <v>2</v>
      </c>
      <c r="K863" t="s">
        <v>6636</v>
      </c>
      <c r="L863" s="5">
        <f>VLOOKUP(D:D,[1]Munka2!$A:$B,2,FALSE)</f>
        <v>1</v>
      </c>
      <c r="M863" s="5">
        <f>_xlfn.IFNA(Táblázat1[[#This Row],[Kész2020]],0)</f>
        <v>1</v>
      </c>
      <c r="N863" s="5">
        <f>IF(Táblázat1[[#This Row],[Karb./akt.év]]-Táblázat1[[#This Row],[Kész2020_2]]&lt;0,0,Táblázat1[[#This Row],[Karb./akt.év]]-Táblázat1[[#This Row],[Kész2020_2]])</f>
        <v>1</v>
      </c>
    </row>
    <row r="864" spans="1:14" x14ac:dyDescent="0.25">
      <c r="A864" s="17" t="s">
        <v>10</v>
      </c>
      <c r="B864" s="17" t="s">
        <v>1502</v>
      </c>
      <c r="C864" s="17" t="s">
        <v>1735</v>
      </c>
      <c r="D864" s="17" t="s">
        <v>3341</v>
      </c>
      <c r="E864" s="17" t="s">
        <v>3918</v>
      </c>
      <c r="F864" s="17" t="s">
        <v>3919</v>
      </c>
      <c r="G864" s="17" t="s">
        <v>6410</v>
      </c>
      <c r="H864" t="s">
        <v>7476</v>
      </c>
      <c r="I864" s="1">
        <v>2</v>
      </c>
      <c r="J864" s="1">
        <v>2</v>
      </c>
      <c r="K864" t="s">
        <v>7014</v>
      </c>
      <c r="L864" s="5" t="e">
        <f>VLOOKUP(D:D,[1]Munka2!$A:$B,2,FALSE)</f>
        <v>#N/A</v>
      </c>
      <c r="M864" s="5">
        <f>_xlfn.IFNA(Táblázat1[[#This Row],[Kész2020]],0)</f>
        <v>0</v>
      </c>
      <c r="N864" s="5">
        <f>IF(Táblázat1[[#This Row],[Karb./akt.év]]-Táblázat1[[#This Row],[Kész2020_2]]&lt;0,0,Táblázat1[[#This Row],[Karb./akt.év]]-Táblázat1[[#This Row],[Kész2020_2]])</f>
        <v>2</v>
      </c>
    </row>
    <row r="865" spans="1:14" x14ac:dyDescent="0.25">
      <c r="A865" s="17" t="s">
        <v>10</v>
      </c>
      <c r="B865" s="17" t="s">
        <v>1602</v>
      </c>
      <c r="C865" s="17" t="s">
        <v>1744</v>
      </c>
      <c r="D865" s="17" t="s">
        <v>3452</v>
      </c>
      <c r="E865" s="17" t="s">
        <v>4647</v>
      </c>
      <c r="F865" s="17" t="s">
        <v>4648</v>
      </c>
      <c r="G865" s="17" t="s">
        <v>6504</v>
      </c>
      <c r="H865" t="s">
        <v>7476</v>
      </c>
      <c r="I865" s="1">
        <v>2</v>
      </c>
      <c r="J865" s="1">
        <v>2</v>
      </c>
      <c r="K865" t="s">
        <v>6641</v>
      </c>
      <c r="L865" s="5" t="e">
        <f>VLOOKUP(D:D,[1]Munka2!$A:$B,2,FALSE)</f>
        <v>#N/A</v>
      </c>
      <c r="M865" s="5">
        <f>_xlfn.IFNA(Táblázat1[[#This Row],[Kész2020]],0)</f>
        <v>0</v>
      </c>
      <c r="N865" s="5">
        <f>IF(Táblázat1[[#This Row],[Karb./akt.év]]-Táblázat1[[#This Row],[Kész2020_2]]&lt;0,0,Táblázat1[[#This Row],[Karb./akt.év]]-Táblázat1[[#This Row],[Kész2020_2]])</f>
        <v>2</v>
      </c>
    </row>
    <row r="866" spans="1:14" hidden="1" x14ac:dyDescent="0.25">
      <c r="A866" s="17" t="s">
        <v>10</v>
      </c>
      <c r="B866" s="17" t="s">
        <v>926</v>
      </c>
      <c r="C866" s="17" t="s">
        <v>1735</v>
      </c>
      <c r="D866" s="17" t="s">
        <v>2709</v>
      </c>
      <c r="E866" s="17" t="s">
        <v>4513</v>
      </c>
      <c r="F866" s="17" t="s">
        <v>4514</v>
      </c>
      <c r="G866" s="17" t="s">
        <v>5851</v>
      </c>
      <c r="H866" t="s">
        <v>7476</v>
      </c>
      <c r="I866" s="1">
        <v>2</v>
      </c>
      <c r="J866" s="1">
        <v>2</v>
      </c>
      <c r="K866" t="s">
        <v>6639</v>
      </c>
      <c r="L866" s="5">
        <f>VLOOKUP(D:D,[1]Munka2!$A:$B,2,FALSE)</f>
        <v>1</v>
      </c>
      <c r="M866" s="5">
        <f>_xlfn.IFNA(Táblázat1[[#This Row],[Kész2020]],0)</f>
        <v>1</v>
      </c>
      <c r="N866" s="5">
        <f>IF(Táblázat1[[#This Row],[Karb./akt.év]]-Táblázat1[[#This Row],[Kész2020_2]]&lt;0,0,Táblázat1[[#This Row],[Karb./akt.év]]-Táblázat1[[#This Row],[Kész2020_2]])</f>
        <v>1</v>
      </c>
    </row>
    <row r="867" spans="1:14" hidden="1" x14ac:dyDescent="0.25">
      <c r="A867" s="17" t="s">
        <v>10</v>
      </c>
      <c r="B867" s="17" t="s">
        <v>439</v>
      </c>
      <c r="C867" s="17" t="s">
        <v>1735</v>
      </c>
      <c r="D867" s="17" t="s">
        <v>2196</v>
      </c>
      <c r="E867" s="17" t="s">
        <v>4052</v>
      </c>
      <c r="F867" s="17" t="s">
        <v>3598</v>
      </c>
      <c r="G867" s="17" t="s">
        <v>5405</v>
      </c>
      <c r="H867" t="s">
        <v>7476</v>
      </c>
      <c r="I867" s="1">
        <v>2</v>
      </c>
      <c r="J867" s="1">
        <v>2</v>
      </c>
      <c r="K867" t="s">
        <v>7017</v>
      </c>
      <c r="L867" s="5">
        <f>VLOOKUP(D:D,[1]Munka2!$A:$B,2,FALSE)</f>
        <v>1</v>
      </c>
      <c r="M867" s="5">
        <f>_xlfn.IFNA(Táblázat1[[#This Row],[Kész2020]],0)</f>
        <v>1</v>
      </c>
      <c r="N867" s="5">
        <f>IF(Táblázat1[[#This Row],[Karb./akt.év]]-Táblázat1[[#This Row],[Kész2020_2]]&lt;0,0,Táblázat1[[#This Row],[Karb./akt.év]]-Táblázat1[[#This Row],[Kész2020_2]])</f>
        <v>1</v>
      </c>
    </row>
    <row r="868" spans="1:14" hidden="1" x14ac:dyDescent="0.25">
      <c r="A868" s="17" t="s">
        <v>10</v>
      </c>
      <c r="B868" s="17" t="s">
        <v>1293</v>
      </c>
      <c r="C868" s="17" t="s">
        <v>1744</v>
      </c>
      <c r="D868" s="17" t="s">
        <v>3106</v>
      </c>
      <c r="E868" s="17" t="s">
        <v>4670</v>
      </c>
      <c r="F868" s="17" t="s">
        <v>4792</v>
      </c>
      <c r="G868" s="17" t="s">
        <v>6214</v>
      </c>
      <c r="H868" t="s">
        <v>7476</v>
      </c>
      <c r="I868" s="1">
        <v>2</v>
      </c>
      <c r="J868" s="1">
        <v>2</v>
      </c>
      <c r="K868" t="s">
        <v>6642</v>
      </c>
      <c r="L868" s="5">
        <f>VLOOKUP(D:D,[1]Munka2!$A:$B,2,FALSE)</f>
        <v>1</v>
      </c>
      <c r="M868" s="5">
        <f>_xlfn.IFNA(Táblázat1[[#This Row],[Kész2020]],0)</f>
        <v>1</v>
      </c>
      <c r="N868" s="5">
        <f>IF(Táblázat1[[#This Row],[Karb./akt.év]]-Táblázat1[[#This Row],[Kész2020_2]]&lt;0,0,Táblázat1[[#This Row],[Karb./akt.év]]-Táblázat1[[#This Row],[Kész2020_2]])</f>
        <v>1</v>
      </c>
    </row>
    <row r="869" spans="1:14" x14ac:dyDescent="0.25">
      <c r="A869" s="17" t="s">
        <v>10</v>
      </c>
      <c r="B869" s="17" t="s">
        <v>1552</v>
      </c>
      <c r="C869" s="17" t="s">
        <v>1735</v>
      </c>
      <c r="D869" s="17" t="s">
        <v>3397</v>
      </c>
      <c r="E869" s="17" t="s">
        <v>4941</v>
      </c>
      <c r="F869" s="17" t="s">
        <v>3598</v>
      </c>
      <c r="G869" s="17" t="s">
        <v>6457</v>
      </c>
      <c r="H869" t="s">
        <v>7476</v>
      </c>
      <c r="I869" s="1">
        <v>2</v>
      </c>
      <c r="J869" s="1">
        <v>2</v>
      </c>
      <c r="K869" t="s">
        <v>8101</v>
      </c>
      <c r="L869" s="5" t="e">
        <f>VLOOKUP(D:D,[1]Munka2!$A:$B,2,FALSE)</f>
        <v>#N/A</v>
      </c>
      <c r="M869" s="5">
        <f>_xlfn.IFNA(Táblázat1[[#This Row],[Kész2020]],0)</f>
        <v>0</v>
      </c>
      <c r="N869" s="5">
        <f>IF(Táblázat1[[#This Row],[Karb./akt.év]]-Táblázat1[[#This Row],[Kész2020_2]]&lt;0,0,Táblázat1[[#This Row],[Karb./akt.év]]-Táblázat1[[#This Row],[Kész2020_2]])</f>
        <v>2</v>
      </c>
    </row>
    <row r="870" spans="1:14" hidden="1" x14ac:dyDescent="0.25">
      <c r="A870" s="17" t="s">
        <v>10</v>
      </c>
      <c r="B870" s="17" t="s">
        <v>1322</v>
      </c>
      <c r="C870" s="17" t="s">
        <v>1735</v>
      </c>
      <c r="D870" s="17" t="s">
        <v>3137</v>
      </c>
      <c r="E870" s="17" t="s">
        <v>3697</v>
      </c>
      <c r="F870" s="17" t="s">
        <v>3698</v>
      </c>
      <c r="G870" s="17" t="s">
        <v>6241</v>
      </c>
      <c r="H870" t="s">
        <v>7476</v>
      </c>
      <c r="I870" s="1">
        <v>2</v>
      </c>
      <c r="J870" s="1">
        <v>2</v>
      </c>
      <c r="K870" t="s">
        <v>6639</v>
      </c>
      <c r="L870" s="5">
        <f>VLOOKUP(D:D,[1]Munka2!$A:$B,2,FALSE)</f>
        <v>1</v>
      </c>
      <c r="M870" s="5">
        <f>_xlfn.IFNA(Táblázat1[[#This Row],[Kész2020]],0)</f>
        <v>1</v>
      </c>
      <c r="N870" s="5">
        <f>IF(Táblázat1[[#This Row],[Karb./akt.év]]-Táblázat1[[#This Row],[Kész2020_2]]&lt;0,0,Táblázat1[[#This Row],[Karb./akt.év]]-Táblázat1[[#This Row],[Kész2020_2]])</f>
        <v>1</v>
      </c>
    </row>
    <row r="871" spans="1:14" hidden="1" x14ac:dyDescent="0.25">
      <c r="A871" s="17" t="s">
        <v>10</v>
      </c>
      <c r="B871" s="17" t="s">
        <v>162</v>
      </c>
      <c r="C871" s="17" t="s">
        <v>1756</v>
      </c>
      <c r="D871" s="17" t="s">
        <v>1902</v>
      </c>
      <c r="E871" s="17" t="s">
        <v>3763</v>
      </c>
      <c r="F871" s="17" t="s">
        <v>3764</v>
      </c>
      <c r="G871" s="17" t="s">
        <v>5132</v>
      </c>
      <c r="H871" t="s">
        <v>7476</v>
      </c>
      <c r="I871" s="1">
        <v>2</v>
      </c>
      <c r="J871" s="1">
        <v>2</v>
      </c>
      <c r="K871" t="s">
        <v>8103</v>
      </c>
      <c r="L871" s="5">
        <f>VLOOKUP(D:D,[1]Munka2!$A:$B,2,FALSE)</f>
        <v>1</v>
      </c>
      <c r="M871" s="5">
        <f>_xlfn.IFNA(Táblázat1[[#This Row],[Kész2020]],0)</f>
        <v>1</v>
      </c>
      <c r="N871" s="5">
        <f>IF(Táblázat1[[#This Row],[Karb./akt.év]]-Táblázat1[[#This Row],[Kész2020_2]]&lt;0,0,Táblázat1[[#This Row],[Karb./akt.év]]-Táblázat1[[#This Row],[Kész2020_2]])</f>
        <v>1</v>
      </c>
    </row>
    <row r="872" spans="1:14" hidden="1" x14ac:dyDescent="0.25">
      <c r="A872" s="17" t="s">
        <v>10</v>
      </c>
      <c r="B872" s="17" t="s">
        <v>651</v>
      </c>
      <c r="C872" s="17" t="s">
        <v>1756</v>
      </c>
      <c r="D872" s="17" t="s">
        <v>2426</v>
      </c>
      <c r="E872" s="17" t="s">
        <v>3763</v>
      </c>
      <c r="F872" s="17" t="s">
        <v>3764</v>
      </c>
      <c r="G872" s="17" t="s">
        <v>5609</v>
      </c>
      <c r="H872" t="s">
        <v>7476</v>
      </c>
      <c r="I872" s="1">
        <v>2</v>
      </c>
      <c r="J872" s="1">
        <v>2</v>
      </c>
      <c r="K872" t="s">
        <v>8103</v>
      </c>
      <c r="L872" s="5">
        <f>VLOOKUP(D:D,[1]Munka2!$A:$B,2,FALSE)</f>
        <v>1</v>
      </c>
      <c r="M872" s="5">
        <f>_xlfn.IFNA(Táblázat1[[#This Row],[Kész2020]],0)</f>
        <v>1</v>
      </c>
      <c r="N872" s="5">
        <f>IF(Táblázat1[[#This Row],[Karb./akt.év]]-Táblázat1[[#This Row],[Kész2020_2]]&lt;0,0,Táblázat1[[#This Row],[Karb./akt.év]]-Táblázat1[[#This Row],[Kész2020_2]])</f>
        <v>1</v>
      </c>
    </row>
    <row r="873" spans="1:14" x14ac:dyDescent="0.25">
      <c r="A873" s="17" t="s">
        <v>10</v>
      </c>
      <c r="B873" s="17" t="s">
        <v>655</v>
      </c>
      <c r="C873" s="17" t="s">
        <v>1756</v>
      </c>
      <c r="D873" s="17" t="s">
        <v>2430</v>
      </c>
      <c r="E873" s="17" t="s">
        <v>4044</v>
      </c>
      <c r="F873" s="17" t="s">
        <v>4045</v>
      </c>
      <c r="G873" s="17" t="s">
        <v>5613</v>
      </c>
      <c r="H873" t="s">
        <v>7476</v>
      </c>
      <c r="I873" s="1">
        <v>2</v>
      </c>
      <c r="J873" s="1">
        <v>2</v>
      </c>
      <c r="K873" t="s">
        <v>6784</v>
      </c>
      <c r="L873" s="5" t="e">
        <f>VLOOKUP(D:D,[1]Munka2!$A:$B,2,FALSE)</f>
        <v>#N/A</v>
      </c>
      <c r="M873" s="5">
        <f>_xlfn.IFNA(Táblázat1[[#This Row],[Kész2020]],0)</f>
        <v>0</v>
      </c>
      <c r="N873" s="5">
        <f>IF(Táblázat1[[#This Row],[Karb./akt.év]]-Táblázat1[[#This Row],[Kész2020_2]]&lt;0,0,Táblázat1[[#This Row],[Karb./akt.év]]-Táblázat1[[#This Row],[Kész2020_2]])</f>
        <v>2</v>
      </c>
    </row>
    <row r="874" spans="1:14" hidden="1" x14ac:dyDescent="0.25">
      <c r="A874" s="17" t="s">
        <v>10</v>
      </c>
      <c r="B874" s="17" t="s">
        <v>323</v>
      </c>
      <c r="C874" s="17" t="s">
        <v>1756</v>
      </c>
      <c r="D874" s="17" t="s">
        <v>2072</v>
      </c>
      <c r="E874" s="17" t="s">
        <v>3949</v>
      </c>
      <c r="F874" s="17" t="s">
        <v>3950</v>
      </c>
      <c r="G874" s="17" t="s">
        <v>5291</v>
      </c>
      <c r="H874" t="s">
        <v>7476</v>
      </c>
      <c r="I874" s="1">
        <v>2</v>
      </c>
      <c r="J874" s="1">
        <v>2</v>
      </c>
      <c r="K874" t="s">
        <v>8102</v>
      </c>
      <c r="L874" s="5">
        <f>VLOOKUP(D:D,[1]Munka2!$A:$B,2,FALSE)</f>
        <v>1</v>
      </c>
      <c r="M874" s="5">
        <f>_xlfn.IFNA(Táblázat1[[#This Row],[Kész2020]],0)</f>
        <v>1</v>
      </c>
      <c r="N874" s="5">
        <f>IF(Táblázat1[[#This Row],[Karb./akt.év]]-Táblázat1[[#This Row],[Kész2020_2]]&lt;0,0,Táblázat1[[#This Row],[Karb./akt.év]]-Táblázat1[[#This Row],[Kész2020_2]])</f>
        <v>1</v>
      </c>
    </row>
    <row r="875" spans="1:14" x14ac:dyDescent="0.25">
      <c r="A875" s="17" t="s">
        <v>10</v>
      </c>
      <c r="B875" s="17" t="s">
        <v>1685</v>
      </c>
      <c r="C875" s="17" t="s">
        <v>1756</v>
      </c>
      <c r="D875" s="17" t="s">
        <v>3541</v>
      </c>
      <c r="E875" s="17" t="s">
        <v>4578</v>
      </c>
      <c r="F875" s="17" t="s">
        <v>4579</v>
      </c>
      <c r="G875" s="17" t="s">
        <v>6581</v>
      </c>
      <c r="H875" t="s">
        <v>7476</v>
      </c>
      <c r="I875" s="1">
        <v>2</v>
      </c>
      <c r="J875" s="1">
        <v>2</v>
      </c>
      <c r="K875" t="s">
        <v>6636</v>
      </c>
      <c r="L875" s="5" t="e">
        <f>VLOOKUP(D:D,[1]Munka2!$A:$B,2,FALSE)</f>
        <v>#N/A</v>
      </c>
      <c r="M875" s="5">
        <f>_xlfn.IFNA(Táblázat1[[#This Row],[Kész2020]],0)</f>
        <v>0</v>
      </c>
      <c r="N875" s="5">
        <f>IF(Táblázat1[[#This Row],[Karb./akt.év]]-Táblázat1[[#This Row],[Kész2020_2]]&lt;0,0,Táblázat1[[#This Row],[Karb./akt.év]]-Táblázat1[[#This Row],[Kész2020_2]])</f>
        <v>2</v>
      </c>
    </row>
    <row r="876" spans="1:14" x14ac:dyDescent="0.25">
      <c r="A876" s="17" t="s">
        <v>10</v>
      </c>
      <c r="B876" s="17" t="s">
        <v>756</v>
      </c>
      <c r="C876" s="17" t="s">
        <v>1756</v>
      </c>
      <c r="D876" s="17" t="s">
        <v>2531</v>
      </c>
      <c r="E876" s="17" t="s">
        <v>3659</v>
      </c>
      <c r="F876" s="17" t="s">
        <v>3660</v>
      </c>
      <c r="G876" s="17" t="s">
        <v>5702</v>
      </c>
      <c r="H876" t="s">
        <v>7476</v>
      </c>
      <c r="I876" s="1">
        <v>2</v>
      </c>
      <c r="J876" s="1">
        <v>2</v>
      </c>
      <c r="K876" t="s">
        <v>7354</v>
      </c>
      <c r="L876" s="5" t="e">
        <f>VLOOKUP(D:D,[1]Munka2!$A:$B,2,FALSE)</f>
        <v>#N/A</v>
      </c>
      <c r="M876" s="5">
        <f>_xlfn.IFNA(Táblázat1[[#This Row],[Kész2020]],0)</f>
        <v>0</v>
      </c>
      <c r="N876" s="5">
        <f>IF(Táblázat1[[#This Row],[Karb./akt.év]]-Táblázat1[[#This Row],[Kész2020_2]]&lt;0,0,Táblázat1[[#This Row],[Karb./akt.év]]-Táblázat1[[#This Row],[Kész2020_2]])</f>
        <v>2</v>
      </c>
    </row>
    <row r="877" spans="1:14" hidden="1" x14ac:dyDescent="0.25">
      <c r="A877" s="17" t="s">
        <v>10</v>
      </c>
      <c r="B877" s="17" t="s">
        <v>698</v>
      </c>
      <c r="C877" s="17" t="s">
        <v>1756</v>
      </c>
      <c r="D877" s="17" t="s">
        <v>2473</v>
      </c>
      <c r="E877" s="17" t="s">
        <v>3811</v>
      </c>
      <c r="F877" s="17" t="s">
        <v>3812</v>
      </c>
      <c r="G877" s="17" t="s">
        <v>5652</v>
      </c>
      <c r="H877" t="s">
        <v>7476</v>
      </c>
      <c r="I877" s="1">
        <v>2</v>
      </c>
      <c r="J877" s="1">
        <v>2</v>
      </c>
      <c r="K877" t="s">
        <v>6637</v>
      </c>
      <c r="L877" s="5">
        <f>VLOOKUP(D:D,[1]Munka2!$A:$B,2,FALSE)</f>
        <v>1</v>
      </c>
      <c r="M877" s="5">
        <f>_xlfn.IFNA(Táblázat1[[#This Row],[Kész2020]],0)</f>
        <v>1</v>
      </c>
      <c r="N877" s="5">
        <f>IF(Táblázat1[[#This Row],[Karb./akt.év]]-Táblázat1[[#This Row],[Kész2020_2]]&lt;0,0,Táblázat1[[#This Row],[Karb./akt.év]]-Táblázat1[[#This Row],[Kész2020_2]])</f>
        <v>1</v>
      </c>
    </row>
    <row r="878" spans="1:14" hidden="1" x14ac:dyDescent="0.25">
      <c r="A878" s="17" t="s">
        <v>10</v>
      </c>
      <c r="B878" s="17" t="s">
        <v>1656</v>
      </c>
      <c r="C878" s="17" t="s">
        <v>1756</v>
      </c>
      <c r="D878" s="17" t="s">
        <v>3513</v>
      </c>
      <c r="E878" s="17" t="s">
        <v>3811</v>
      </c>
      <c r="F878" s="17" t="s">
        <v>3812</v>
      </c>
      <c r="G878" s="17" t="s">
        <v>6554</v>
      </c>
      <c r="H878" t="s">
        <v>7476</v>
      </c>
      <c r="I878" s="1">
        <v>2</v>
      </c>
      <c r="J878" s="1">
        <v>2</v>
      </c>
      <c r="K878" t="s">
        <v>6637</v>
      </c>
      <c r="L878" s="5">
        <f>VLOOKUP(D:D,[1]Munka2!$A:$B,2,FALSE)</f>
        <v>1</v>
      </c>
      <c r="M878" s="5">
        <f>_xlfn.IFNA(Táblázat1[[#This Row],[Kész2020]],0)</f>
        <v>1</v>
      </c>
      <c r="N878" s="5">
        <f>IF(Táblázat1[[#This Row],[Karb./akt.év]]-Táblázat1[[#This Row],[Kész2020_2]]&lt;0,0,Táblázat1[[#This Row],[Karb./akt.év]]-Táblázat1[[#This Row],[Kész2020_2]])</f>
        <v>1</v>
      </c>
    </row>
    <row r="879" spans="1:14" hidden="1" x14ac:dyDescent="0.25">
      <c r="A879" s="17" t="s">
        <v>10</v>
      </c>
      <c r="B879" s="17" t="s">
        <v>481</v>
      </c>
      <c r="C879" s="17" t="s">
        <v>1756</v>
      </c>
      <c r="D879" s="17" t="s">
        <v>2242</v>
      </c>
      <c r="E879" s="17" t="s">
        <v>4081</v>
      </c>
      <c r="F879" s="17" t="s">
        <v>4082</v>
      </c>
      <c r="G879" s="17" t="s">
        <v>5442</v>
      </c>
      <c r="H879" t="s">
        <v>7476</v>
      </c>
      <c r="I879" s="1">
        <v>2</v>
      </c>
      <c r="J879" s="1">
        <v>2</v>
      </c>
      <c r="K879" t="s">
        <v>6640</v>
      </c>
      <c r="L879" s="5">
        <f>VLOOKUP(D:D,[1]Munka2!$A:$B,2,FALSE)</f>
        <v>1</v>
      </c>
      <c r="M879" s="5">
        <f>_xlfn.IFNA(Táblázat1[[#This Row],[Kész2020]],0)</f>
        <v>1</v>
      </c>
      <c r="N879" s="5">
        <f>IF(Táblázat1[[#This Row],[Karb./akt.év]]-Táblázat1[[#This Row],[Kész2020_2]]&lt;0,0,Táblázat1[[#This Row],[Karb./akt.év]]-Táblázat1[[#This Row],[Kész2020_2]])</f>
        <v>1</v>
      </c>
    </row>
    <row r="880" spans="1:14" x14ac:dyDescent="0.25">
      <c r="A880" s="17" t="s">
        <v>10</v>
      </c>
      <c r="B880" s="17" t="s">
        <v>637</v>
      </c>
      <c r="C880" s="17" t="s">
        <v>1756</v>
      </c>
      <c r="D880" s="17" t="s">
        <v>2411</v>
      </c>
      <c r="E880" s="17" t="s">
        <v>4252</v>
      </c>
      <c r="F880" s="17" t="s">
        <v>4253</v>
      </c>
      <c r="G880" s="17" t="s">
        <v>5597</v>
      </c>
      <c r="H880" t="s">
        <v>7476</v>
      </c>
      <c r="I880" s="1">
        <v>2</v>
      </c>
      <c r="J880" s="1">
        <v>2</v>
      </c>
      <c r="K880" t="s">
        <v>7354</v>
      </c>
      <c r="L880" s="5" t="e">
        <f>VLOOKUP(D:D,[1]Munka2!$A:$B,2,FALSE)</f>
        <v>#N/A</v>
      </c>
      <c r="M880" s="5">
        <f>_xlfn.IFNA(Táblázat1[[#This Row],[Kész2020]],0)</f>
        <v>0</v>
      </c>
      <c r="N880" s="5">
        <f>IF(Táblázat1[[#This Row],[Karb./akt.év]]-Táblázat1[[#This Row],[Kész2020_2]]&lt;0,0,Táblázat1[[#This Row],[Karb./akt.év]]-Táblázat1[[#This Row],[Kész2020_2]])</f>
        <v>2</v>
      </c>
    </row>
    <row r="881" spans="1:14" x14ac:dyDescent="0.25">
      <c r="A881" s="17" t="s">
        <v>10</v>
      </c>
      <c r="B881" s="17" t="s">
        <v>1385</v>
      </c>
      <c r="C881" s="17" t="s">
        <v>1756</v>
      </c>
      <c r="D881" s="17" t="s">
        <v>3205</v>
      </c>
      <c r="E881" s="17" t="s">
        <v>4857</v>
      </c>
      <c r="F881" s="17" t="s">
        <v>4858</v>
      </c>
      <c r="G881" s="17" t="s">
        <v>6288</v>
      </c>
      <c r="H881" t="s">
        <v>7476</v>
      </c>
      <c r="I881" s="1">
        <v>2</v>
      </c>
      <c r="J881" s="1">
        <v>2</v>
      </c>
      <c r="K881" t="s">
        <v>6784</v>
      </c>
      <c r="L881" s="5" t="e">
        <f>VLOOKUP(D:D,[1]Munka2!$A:$B,2,FALSE)</f>
        <v>#N/A</v>
      </c>
      <c r="M881" s="5">
        <f>_xlfn.IFNA(Táblázat1[[#This Row],[Kész2020]],0)</f>
        <v>0</v>
      </c>
      <c r="N881" s="5">
        <f>IF(Táblázat1[[#This Row],[Karb./akt.év]]-Táblázat1[[#This Row],[Kész2020_2]]&lt;0,0,Táblázat1[[#This Row],[Karb./akt.év]]-Táblázat1[[#This Row],[Kész2020_2]])</f>
        <v>2</v>
      </c>
    </row>
    <row r="882" spans="1:14" hidden="1" x14ac:dyDescent="0.25">
      <c r="A882" s="17" t="s">
        <v>10</v>
      </c>
      <c r="B882" s="17" t="s">
        <v>917</v>
      </c>
      <c r="C882" s="17" t="s">
        <v>1756</v>
      </c>
      <c r="D882" s="17" t="s">
        <v>2699</v>
      </c>
      <c r="E882" s="17" t="s">
        <v>4505</v>
      </c>
      <c r="F882" s="17" t="s">
        <v>4506</v>
      </c>
      <c r="G882" s="17" t="s">
        <v>5842</v>
      </c>
      <c r="H882" t="s">
        <v>7476</v>
      </c>
      <c r="I882" s="1">
        <v>2</v>
      </c>
      <c r="J882" s="1">
        <v>2</v>
      </c>
      <c r="K882" t="s">
        <v>6640</v>
      </c>
      <c r="L882" s="5">
        <f>VLOOKUP(D:D,[1]Munka2!$A:$B,2,FALSE)</f>
        <v>1</v>
      </c>
      <c r="M882" s="5">
        <f>_xlfn.IFNA(Táblázat1[[#This Row],[Kész2020]],0)</f>
        <v>1</v>
      </c>
      <c r="N882" s="5">
        <f>IF(Táblázat1[[#This Row],[Karb./akt.év]]-Táblázat1[[#This Row],[Kész2020_2]]&lt;0,0,Táblázat1[[#This Row],[Karb./akt.év]]-Táblázat1[[#This Row],[Kész2020_2]])</f>
        <v>1</v>
      </c>
    </row>
    <row r="883" spans="1:14" x14ac:dyDescent="0.25">
      <c r="A883" s="17" t="s">
        <v>10</v>
      </c>
      <c r="B883" s="17" t="s">
        <v>1001</v>
      </c>
      <c r="C883" s="17" t="s">
        <v>1756</v>
      </c>
      <c r="D883" s="17" t="s">
        <v>2790</v>
      </c>
      <c r="E883" s="17" t="s">
        <v>4569</v>
      </c>
      <c r="F883" s="17" t="s">
        <v>4570</v>
      </c>
      <c r="G883" s="17" t="s">
        <v>5930</v>
      </c>
      <c r="H883" t="s">
        <v>7476</v>
      </c>
      <c r="I883" s="1">
        <v>2</v>
      </c>
      <c r="J883" s="1">
        <v>2</v>
      </c>
      <c r="K883" t="s">
        <v>7014</v>
      </c>
      <c r="L883" s="5" t="e">
        <f>VLOOKUP(D:D,[1]Munka2!$A:$B,2,FALSE)</f>
        <v>#N/A</v>
      </c>
      <c r="M883" s="5">
        <f>_xlfn.IFNA(Táblázat1[[#This Row],[Kész2020]],0)</f>
        <v>0</v>
      </c>
      <c r="N883" s="5">
        <f>IF(Táblázat1[[#This Row],[Karb./akt.év]]-Táblázat1[[#This Row],[Kész2020_2]]&lt;0,0,Táblázat1[[#This Row],[Karb./akt.év]]-Táblázat1[[#This Row],[Kész2020_2]])</f>
        <v>2</v>
      </c>
    </row>
    <row r="884" spans="1:14" hidden="1" x14ac:dyDescent="0.25">
      <c r="A884" s="17" t="s">
        <v>10</v>
      </c>
      <c r="B884" s="17" t="s">
        <v>661</v>
      </c>
      <c r="C884" s="17" t="s">
        <v>1756</v>
      </c>
      <c r="D884" s="17" t="s">
        <v>2435</v>
      </c>
      <c r="E884" s="17" t="s">
        <v>4273</v>
      </c>
      <c r="F884" s="17" t="s">
        <v>3688</v>
      </c>
      <c r="G884" s="17" t="s">
        <v>5618</v>
      </c>
      <c r="H884" t="s">
        <v>7476</v>
      </c>
      <c r="I884" s="1">
        <v>2</v>
      </c>
      <c r="J884" s="1">
        <v>2</v>
      </c>
      <c r="K884" t="s">
        <v>6639</v>
      </c>
      <c r="L884" s="5">
        <f>VLOOKUP(D:D,[1]Munka2!$A:$B,2,FALSE)</f>
        <v>1</v>
      </c>
      <c r="M884" s="5">
        <f>_xlfn.IFNA(Táblázat1[[#This Row],[Kész2020]],0)</f>
        <v>1</v>
      </c>
      <c r="N884" s="5">
        <f>IF(Táblázat1[[#This Row],[Karb./akt.év]]-Táblázat1[[#This Row],[Kész2020_2]]&lt;0,0,Táblázat1[[#This Row],[Karb./akt.év]]-Táblázat1[[#This Row],[Kész2020_2]])</f>
        <v>1</v>
      </c>
    </row>
    <row r="885" spans="1:14" hidden="1" x14ac:dyDescent="0.25">
      <c r="A885" s="17" t="s">
        <v>10</v>
      </c>
      <c r="B885" s="17" t="s">
        <v>1519</v>
      </c>
      <c r="C885" s="17" t="s">
        <v>1756</v>
      </c>
      <c r="D885" s="17" t="s">
        <v>3361</v>
      </c>
      <c r="E885" s="17" t="s">
        <v>3897</v>
      </c>
      <c r="F885" s="17" t="s">
        <v>3898</v>
      </c>
      <c r="G885" s="17" t="s">
        <v>6425</v>
      </c>
      <c r="H885" t="s">
        <v>7476</v>
      </c>
      <c r="I885" s="1">
        <v>2</v>
      </c>
      <c r="J885" s="1">
        <v>2</v>
      </c>
      <c r="K885" t="s">
        <v>6637</v>
      </c>
      <c r="L885" s="5">
        <f>VLOOKUP(D:D,[1]Munka2!$A:$B,2,FALSE)</f>
        <v>1</v>
      </c>
      <c r="M885" s="5">
        <f>_xlfn.IFNA(Táblázat1[[#This Row],[Kész2020]],0)</f>
        <v>1</v>
      </c>
      <c r="N885" s="5">
        <f>IF(Táblázat1[[#This Row],[Karb./akt.év]]-Táblázat1[[#This Row],[Kész2020_2]]&lt;0,0,Táblázat1[[#This Row],[Karb./akt.év]]-Táblázat1[[#This Row],[Kész2020_2]])</f>
        <v>1</v>
      </c>
    </row>
    <row r="886" spans="1:14" hidden="1" x14ac:dyDescent="0.25">
      <c r="A886" s="17" t="s">
        <v>10</v>
      </c>
      <c r="B886" s="17" t="s">
        <v>807</v>
      </c>
      <c r="C886" s="17" t="s">
        <v>1756</v>
      </c>
      <c r="D886" s="17" t="s">
        <v>2584</v>
      </c>
      <c r="E886" s="17" t="s">
        <v>4376</v>
      </c>
      <c r="F886" s="17" t="s">
        <v>4377</v>
      </c>
      <c r="G886" s="17" t="s">
        <v>5748</v>
      </c>
      <c r="H886" t="s">
        <v>7476</v>
      </c>
      <c r="I886" s="1">
        <v>2</v>
      </c>
      <c r="J886" s="1">
        <v>2</v>
      </c>
      <c r="K886" t="s">
        <v>6785</v>
      </c>
      <c r="L886" s="5">
        <f>VLOOKUP(D:D,[1]Munka2!$A:$B,2,FALSE)</f>
        <v>1</v>
      </c>
      <c r="M886" s="5">
        <f>_xlfn.IFNA(Táblázat1[[#This Row],[Kész2020]],0)</f>
        <v>1</v>
      </c>
      <c r="N886" s="5">
        <f>IF(Táblázat1[[#This Row],[Karb./akt.év]]-Táblázat1[[#This Row],[Kész2020_2]]&lt;0,0,Táblázat1[[#This Row],[Karb./akt.év]]-Táblázat1[[#This Row],[Kész2020_2]])</f>
        <v>1</v>
      </c>
    </row>
    <row r="887" spans="1:14" hidden="1" x14ac:dyDescent="0.25">
      <c r="A887" s="17" t="s">
        <v>10</v>
      </c>
      <c r="B887" s="17" t="s">
        <v>808</v>
      </c>
      <c r="C887" s="17" t="s">
        <v>1756</v>
      </c>
      <c r="D887" s="17" t="s">
        <v>2585</v>
      </c>
      <c r="E887" s="17" t="s">
        <v>4378</v>
      </c>
      <c r="F887" s="17" t="s">
        <v>4379</v>
      </c>
      <c r="G887" s="17" t="s">
        <v>5749</v>
      </c>
      <c r="H887" t="s">
        <v>7476</v>
      </c>
      <c r="I887" s="1">
        <v>2</v>
      </c>
      <c r="J887" s="1">
        <v>2</v>
      </c>
      <c r="K887" t="s">
        <v>6639</v>
      </c>
      <c r="L887" s="5">
        <f>VLOOKUP(D:D,[1]Munka2!$A:$B,2,FALSE)</f>
        <v>1</v>
      </c>
      <c r="M887" s="5">
        <f>_xlfn.IFNA(Táblázat1[[#This Row],[Kész2020]],0)</f>
        <v>1</v>
      </c>
      <c r="N887" s="5">
        <f>IF(Táblázat1[[#This Row],[Karb./akt.év]]-Táblázat1[[#This Row],[Kész2020_2]]&lt;0,0,Táblázat1[[#This Row],[Karb./akt.év]]-Táblázat1[[#This Row],[Kész2020_2]])</f>
        <v>1</v>
      </c>
    </row>
    <row r="888" spans="1:14" hidden="1" x14ac:dyDescent="0.25">
      <c r="A888" s="17" t="s">
        <v>10</v>
      </c>
      <c r="B888" s="17" t="s">
        <v>1635</v>
      </c>
      <c r="C888" s="17" t="s">
        <v>1756</v>
      </c>
      <c r="D888" s="17" t="s">
        <v>3488</v>
      </c>
      <c r="E888" s="17" t="s">
        <v>4071</v>
      </c>
      <c r="F888" s="17" t="s">
        <v>4072</v>
      </c>
      <c r="G888" s="17" t="s">
        <v>6531</v>
      </c>
      <c r="H888" t="s">
        <v>7476</v>
      </c>
      <c r="I888" s="1">
        <v>2</v>
      </c>
      <c r="J888" s="1">
        <v>2</v>
      </c>
      <c r="K888" t="s">
        <v>6642</v>
      </c>
      <c r="L888" s="5">
        <f>VLOOKUP(D:D,[1]Munka2!$A:$B,2,FALSE)</f>
        <v>1</v>
      </c>
      <c r="M888" s="5">
        <f>_xlfn.IFNA(Táblázat1[[#This Row],[Kész2020]],0)</f>
        <v>1</v>
      </c>
      <c r="N888" s="5">
        <f>IF(Táblázat1[[#This Row],[Karb./akt.év]]-Táblázat1[[#This Row],[Kész2020_2]]&lt;0,0,Táblázat1[[#This Row],[Karb./akt.év]]-Táblázat1[[#This Row],[Kész2020_2]])</f>
        <v>1</v>
      </c>
    </row>
    <row r="889" spans="1:14" hidden="1" x14ac:dyDescent="0.25">
      <c r="A889" s="17" t="s">
        <v>10</v>
      </c>
      <c r="B889" s="17" t="s">
        <v>176</v>
      </c>
      <c r="C889" s="17" t="s">
        <v>1756</v>
      </c>
      <c r="D889" s="17" t="s">
        <v>1917</v>
      </c>
      <c r="E889" s="17" t="s">
        <v>3788</v>
      </c>
      <c r="F889" s="17" t="s">
        <v>3789</v>
      </c>
      <c r="G889" s="17" t="s">
        <v>5148</v>
      </c>
      <c r="H889" t="s">
        <v>7476</v>
      </c>
      <c r="I889" s="1">
        <v>2</v>
      </c>
      <c r="J889" s="1">
        <v>2</v>
      </c>
      <c r="K889" t="s">
        <v>6634</v>
      </c>
      <c r="L889" s="5">
        <f>VLOOKUP(D:D,[1]Munka2!$A:$B,2,FALSE)</f>
        <v>1</v>
      </c>
      <c r="M889" s="5">
        <f>_xlfn.IFNA(Táblázat1[[#This Row],[Kész2020]],0)</f>
        <v>1</v>
      </c>
      <c r="N889" s="5">
        <f>IF(Táblázat1[[#This Row],[Karb./akt.év]]-Táblázat1[[#This Row],[Kész2020_2]]&lt;0,0,Táblázat1[[#This Row],[Karb./akt.év]]-Táblázat1[[#This Row],[Kész2020_2]])</f>
        <v>1</v>
      </c>
    </row>
    <row r="890" spans="1:14" hidden="1" x14ac:dyDescent="0.25">
      <c r="A890" s="17" t="s">
        <v>10</v>
      </c>
      <c r="B890" s="17" t="s">
        <v>677</v>
      </c>
      <c r="C890" s="17" t="s">
        <v>1756</v>
      </c>
      <c r="D890" s="17" t="s">
        <v>2452</v>
      </c>
      <c r="E890" s="17" t="s">
        <v>3741</v>
      </c>
      <c r="F890" s="17" t="s">
        <v>3742</v>
      </c>
      <c r="G890" s="17" t="s">
        <v>5634</v>
      </c>
      <c r="H890" t="s">
        <v>7476</v>
      </c>
      <c r="I890" s="1">
        <v>2</v>
      </c>
      <c r="J890" s="1">
        <v>2</v>
      </c>
      <c r="K890" t="s">
        <v>7354</v>
      </c>
      <c r="L890" s="5">
        <f>VLOOKUP(D:D,[1]Munka2!$A:$B,2,FALSE)</f>
        <v>1</v>
      </c>
      <c r="M890" s="5">
        <f>_xlfn.IFNA(Táblázat1[[#This Row],[Kész2020]],0)</f>
        <v>1</v>
      </c>
      <c r="N890" s="5">
        <f>IF(Táblázat1[[#This Row],[Karb./akt.év]]-Táblázat1[[#This Row],[Kész2020_2]]&lt;0,0,Táblázat1[[#This Row],[Karb./akt.év]]-Táblázat1[[#This Row],[Kész2020_2]])</f>
        <v>1</v>
      </c>
    </row>
    <row r="891" spans="1:14" x14ac:dyDescent="0.25">
      <c r="A891" s="17" t="s">
        <v>10</v>
      </c>
      <c r="B891" s="17" t="s">
        <v>1667</v>
      </c>
      <c r="C891" s="17" t="s">
        <v>1756</v>
      </c>
      <c r="D891" s="17" t="s">
        <v>3524</v>
      </c>
      <c r="E891" s="17" t="s">
        <v>4658</v>
      </c>
      <c r="F891" s="17" t="s">
        <v>4659</v>
      </c>
      <c r="G891" s="17" t="s">
        <v>6563</v>
      </c>
      <c r="H891" t="s">
        <v>7476</v>
      </c>
      <c r="I891" s="1">
        <v>2</v>
      </c>
      <c r="J891" s="1">
        <v>2</v>
      </c>
      <c r="K891" t="s">
        <v>8103</v>
      </c>
      <c r="L891" s="5" t="e">
        <f>VLOOKUP(D:D,[1]Munka2!$A:$B,2,FALSE)</f>
        <v>#N/A</v>
      </c>
      <c r="M891" s="5">
        <f>_xlfn.IFNA(Táblázat1[[#This Row],[Kész2020]],0)</f>
        <v>0</v>
      </c>
      <c r="N891" s="5">
        <f>IF(Táblázat1[[#This Row],[Karb./akt.év]]-Táblázat1[[#This Row],[Kész2020_2]]&lt;0,0,Táblázat1[[#This Row],[Karb./akt.év]]-Táblázat1[[#This Row],[Kész2020_2]])</f>
        <v>2</v>
      </c>
    </row>
    <row r="892" spans="1:14" hidden="1" x14ac:dyDescent="0.25">
      <c r="A892" s="17" t="s">
        <v>10</v>
      </c>
      <c r="B892" s="17" t="s">
        <v>1021</v>
      </c>
      <c r="C892" s="17" t="s">
        <v>1756</v>
      </c>
      <c r="D892" s="17" t="s">
        <v>2810</v>
      </c>
      <c r="E892" s="17" t="s">
        <v>4577</v>
      </c>
      <c r="F892" s="17" t="s">
        <v>3681</v>
      </c>
      <c r="G892" s="17" t="s">
        <v>5950</v>
      </c>
      <c r="H892" t="s">
        <v>7476</v>
      </c>
      <c r="I892" s="1">
        <v>2</v>
      </c>
      <c r="J892" s="1">
        <v>2</v>
      </c>
      <c r="K892" t="s">
        <v>6637</v>
      </c>
      <c r="L892" s="5">
        <f>VLOOKUP(D:D,[1]Munka2!$A:$B,2,FALSE)</f>
        <v>2</v>
      </c>
      <c r="M892" s="5">
        <f>_xlfn.IFNA(Táblázat1[[#This Row],[Kész2020]],0)</f>
        <v>2</v>
      </c>
      <c r="N892" s="5">
        <f>IF(Táblázat1[[#This Row],[Karb./akt.év]]-Táblázat1[[#This Row],[Kész2020_2]]&lt;0,0,Táblázat1[[#This Row],[Karb./akt.év]]-Táblázat1[[#This Row],[Kész2020_2]])</f>
        <v>0</v>
      </c>
    </row>
    <row r="893" spans="1:14" hidden="1" x14ac:dyDescent="0.25">
      <c r="A893" s="17" t="s">
        <v>10</v>
      </c>
      <c r="B893" s="17" t="s">
        <v>304</v>
      </c>
      <c r="C893" s="17" t="s">
        <v>1756</v>
      </c>
      <c r="D893" s="17" t="s">
        <v>2053</v>
      </c>
      <c r="E893" s="17" t="s">
        <v>3926</v>
      </c>
      <c r="F893" s="17" t="s">
        <v>3927</v>
      </c>
      <c r="G893" s="17" t="s">
        <v>5271</v>
      </c>
      <c r="H893" t="s">
        <v>7476</v>
      </c>
      <c r="I893" s="1">
        <v>2</v>
      </c>
      <c r="J893" s="1">
        <v>2</v>
      </c>
      <c r="K893" t="s">
        <v>6640</v>
      </c>
      <c r="L893" s="5">
        <f>VLOOKUP(D:D,[1]Munka2!$A:$B,2,FALSE)</f>
        <v>1</v>
      </c>
      <c r="M893" s="5">
        <f>_xlfn.IFNA(Táblázat1[[#This Row],[Kész2020]],0)</f>
        <v>1</v>
      </c>
      <c r="N893" s="5">
        <f>IF(Táblázat1[[#This Row],[Karb./akt.év]]-Táblázat1[[#This Row],[Kész2020_2]]&lt;0,0,Táblázat1[[#This Row],[Karb./akt.év]]-Táblázat1[[#This Row],[Kész2020_2]])</f>
        <v>1</v>
      </c>
    </row>
    <row r="894" spans="1:14" hidden="1" x14ac:dyDescent="0.25">
      <c r="A894" s="17" t="s">
        <v>10</v>
      </c>
      <c r="B894" s="17" t="s">
        <v>707</v>
      </c>
      <c r="C894" s="17" t="s">
        <v>1756</v>
      </c>
      <c r="D894" s="17" t="s">
        <v>2483</v>
      </c>
      <c r="E894" s="17" t="s">
        <v>3834</v>
      </c>
      <c r="F894" s="17" t="s">
        <v>3835</v>
      </c>
      <c r="G894" s="17" t="s">
        <v>5661</v>
      </c>
      <c r="H894" t="s">
        <v>7476</v>
      </c>
      <c r="I894" s="1">
        <v>2</v>
      </c>
      <c r="J894" s="1">
        <v>2</v>
      </c>
      <c r="K894" t="s">
        <v>7014</v>
      </c>
      <c r="L894" s="5">
        <f>VLOOKUP(D:D,[1]Munka2!$A:$B,2,FALSE)</f>
        <v>1</v>
      </c>
      <c r="M894" s="5">
        <f>_xlfn.IFNA(Táblázat1[[#This Row],[Kész2020]],0)</f>
        <v>1</v>
      </c>
      <c r="N894" s="5">
        <f>IF(Táblázat1[[#This Row],[Karb./akt.év]]-Táblázat1[[#This Row],[Kész2020_2]]&lt;0,0,Táblázat1[[#This Row],[Karb./akt.év]]-Táblázat1[[#This Row],[Kész2020_2]])</f>
        <v>1</v>
      </c>
    </row>
    <row r="895" spans="1:14" hidden="1" x14ac:dyDescent="0.25">
      <c r="A895" s="17" t="s">
        <v>10</v>
      </c>
      <c r="B895" s="17" t="s">
        <v>991</v>
      </c>
      <c r="C895" s="17" t="s">
        <v>1756</v>
      </c>
      <c r="D895" s="17" t="s">
        <v>2779</v>
      </c>
      <c r="E895" s="17" t="s">
        <v>3816</v>
      </c>
      <c r="F895" s="17" t="s">
        <v>3598</v>
      </c>
      <c r="G895" s="17" t="s">
        <v>5920</v>
      </c>
      <c r="H895" t="s">
        <v>7476</v>
      </c>
      <c r="I895" s="1">
        <v>2</v>
      </c>
      <c r="J895" s="1">
        <v>2</v>
      </c>
      <c r="K895" t="s">
        <v>6785</v>
      </c>
      <c r="L895" s="5">
        <f>VLOOKUP(D:D,[1]Munka2!$A:$B,2,FALSE)</f>
        <v>1</v>
      </c>
      <c r="M895" s="5">
        <f>_xlfn.IFNA(Táblázat1[[#This Row],[Kész2020]],0)</f>
        <v>1</v>
      </c>
      <c r="N895" s="5">
        <f>IF(Táblázat1[[#This Row],[Karb./akt.év]]-Táblázat1[[#This Row],[Kész2020_2]]&lt;0,0,Táblázat1[[#This Row],[Karb./akt.év]]-Táblázat1[[#This Row],[Kész2020_2]])</f>
        <v>1</v>
      </c>
    </row>
    <row r="896" spans="1:14" hidden="1" x14ac:dyDescent="0.25">
      <c r="A896" s="17" t="s">
        <v>10</v>
      </c>
      <c r="B896" s="17" t="s">
        <v>753</v>
      </c>
      <c r="C896" s="17" t="s">
        <v>1756</v>
      </c>
      <c r="D896" s="17" t="s">
        <v>2528</v>
      </c>
      <c r="E896" s="17" t="s">
        <v>3641</v>
      </c>
      <c r="F896" s="17" t="s">
        <v>3642</v>
      </c>
      <c r="G896" s="17" t="s">
        <v>5699</v>
      </c>
      <c r="H896" t="s">
        <v>7476</v>
      </c>
      <c r="I896" s="1">
        <v>2</v>
      </c>
      <c r="J896" s="1">
        <v>2</v>
      </c>
      <c r="K896" t="s">
        <v>7354</v>
      </c>
      <c r="L896" s="5">
        <f>VLOOKUP(D:D,[1]Munka2!$A:$B,2,FALSE)</f>
        <v>1</v>
      </c>
      <c r="M896" s="5">
        <f>_xlfn.IFNA(Táblázat1[[#This Row],[Kész2020]],0)</f>
        <v>1</v>
      </c>
      <c r="N896" s="5">
        <f>IF(Táblázat1[[#This Row],[Karb./akt.év]]-Táblázat1[[#This Row],[Kész2020_2]]&lt;0,0,Táblázat1[[#This Row],[Karb./akt.év]]-Táblázat1[[#This Row],[Kész2020_2]])</f>
        <v>1</v>
      </c>
    </row>
    <row r="897" spans="1:14" x14ac:dyDescent="0.25">
      <c r="A897" s="17" t="s">
        <v>10</v>
      </c>
      <c r="B897" s="17" t="s">
        <v>1582</v>
      </c>
      <c r="C897" s="17" t="s">
        <v>1756</v>
      </c>
      <c r="D897" s="17" t="s">
        <v>3429</v>
      </c>
      <c r="E897" s="17" t="s">
        <v>4026</v>
      </c>
      <c r="F897" s="17" t="s">
        <v>4027</v>
      </c>
      <c r="G897" s="17" t="s">
        <v>6484</v>
      </c>
      <c r="H897" t="s">
        <v>7476</v>
      </c>
      <c r="I897" s="1">
        <v>2</v>
      </c>
      <c r="J897" s="1">
        <v>2</v>
      </c>
      <c r="K897" t="s">
        <v>7014</v>
      </c>
      <c r="L897" s="5" t="e">
        <f>VLOOKUP(D:D,[1]Munka2!$A:$B,2,FALSE)</f>
        <v>#N/A</v>
      </c>
      <c r="M897" s="5">
        <f>_xlfn.IFNA(Táblázat1[[#This Row],[Kész2020]],0)</f>
        <v>0</v>
      </c>
      <c r="N897" s="5">
        <f>IF(Táblázat1[[#This Row],[Karb./akt.év]]-Táblázat1[[#This Row],[Kész2020_2]]&lt;0,0,Táblázat1[[#This Row],[Karb./akt.év]]-Táblázat1[[#This Row],[Kész2020_2]])</f>
        <v>2</v>
      </c>
    </row>
    <row r="898" spans="1:14" hidden="1" x14ac:dyDescent="0.25">
      <c r="A898" s="17" t="s">
        <v>10</v>
      </c>
      <c r="B898" s="17" t="s">
        <v>766</v>
      </c>
      <c r="C898" s="17" t="s">
        <v>1756</v>
      </c>
      <c r="D898" s="17" t="s">
        <v>2542</v>
      </c>
      <c r="E898" s="17" t="s">
        <v>3792</v>
      </c>
      <c r="F898" s="17" t="s">
        <v>3793</v>
      </c>
      <c r="G898" s="17" t="s">
        <v>5711</v>
      </c>
      <c r="H898" t="s">
        <v>7476</v>
      </c>
      <c r="I898" s="1">
        <v>2</v>
      </c>
      <c r="J898" s="1">
        <v>2</v>
      </c>
      <c r="K898" t="s">
        <v>6639</v>
      </c>
      <c r="L898" s="5">
        <f>VLOOKUP(D:D,[1]Munka2!$A:$B,2,FALSE)</f>
        <v>1</v>
      </c>
      <c r="M898" s="5">
        <f>_xlfn.IFNA(Táblázat1[[#This Row],[Kész2020]],0)</f>
        <v>1</v>
      </c>
      <c r="N898" s="5">
        <f>IF(Táblázat1[[#This Row],[Karb./akt.év]]-Táblázat1[[#This Row],[Kész2020_2]]&lt;0,0,Táblázat1[[#This Row],[Karb./akt.év]]-Táblázat1[[#This Row],[Kész2020_2]])</f>
        <v>1</v>
      </c>
    </row>
    <row r="899" spans="1:14" hidden="1" x14ac:dyDescent="0.25">
      <c r="A899" s="17" t="s">
        <v>10</v>
      </c>
      <c r="B899" s="17" t="s">
        <v>1132</v>
      </c>
      <c r="C899" s="17" t="s">
        <v>1756</v>
      </c>
      <c r="D899" s="17" t="s">
        <v>2929</v>
      </c>
      <c r="E899" s="17" t="s">
        <v>4014</v>
      </c>
      <c r="F899" s="17" t="s">
        <v>4015</v>
      </c>
      <c r="G899" s="17" t="s">
        <v>6062</v>
      </c>
      <c r="H899" t="s">
        <v>7476</v>
      </c>
      <c r="I899" s="1">
        <v>2</v>
      </c>
      <c r="J899" s="1">
        <v>2</v>
      </c>
      <c r="K899" t="s">
        <v>6784</v>
      </c>
      <c r="L899" s="5">
        <f>VLOOKUP(D:D,[1]Munka2!$A:$B,2,FALSE)</f>
        <v>1</v>
      </c>
      <c r="M899" s="5">
        <f>_xlfn.IFNA(Táblázat1[[#This Row],[Kész2020]],0)</f>
        <v>1</v>
      </c>
      <c r="N899" s="5">
        <f>IF(Táblázat1[[#This Row],[Karb./akt.év]]-Táblázat1[[#This Row],[Kész2020_2]]&lt;0,0,Táblázat1[[#This Row],[Karb./akt.év]]-Táblázat1[[#This Row],[Kész2020_2]])</f>
        <v>1</v>
      </c>
    </row>
    <row r="900" spans="1:14" hidden="1" x14ac:dyDescent="0.25">
      <c r="A900" s="17" t="s">
        <v>10</v>
      </c>
      <c r="B900" s="17" t="s">
        <v>601</v>
      </c>
      <c r="C900" s="17" t="s">
        <v>1742</v>
      </c>
      <c r="D900" s="17" t="s">
        <v>2374</v>
      </c>
      <c r="E900" s="17" t="s">
        <v>4217</v>
      </c>
      <c r="F900" s="17" t="s">
        <v>3598</v>
      </c>
      <c r="G900" s="17" t="s">
        <v>5563</v>
      </c>
      <c r="H900" t="s">
        <v>7476</v>
      </c>
      <c r="I900" s="1">
        <v>2</v>
      </c>
      <c r="J900" s="1">
        <v>2</v>
      </c>
      <c r="K900" t="s">
        <v>7017</v>
      </c>
      <c r="L900" s="5">
        <f>VLOOKUP(D:D,[1]Munka2!$A:$B,2,FALSE)</f>
        <v>1</v>
      </c>
      <c r="M900" s="5">
        <f>_xlfn.IFNA(Táblázat1[[#This Row],[Kész2020]],0)</f>
        <v>1</v>
      </c>
      <c r="N900" s="5">
        <f>IF(Táblázat1[[#This Row],[Karb./akt.év]]-Táblázat1[[#This Row],[Kész2020_2]]&lt;0,0,Táblázat1[[#This Row],[Karb./akt.év]]-Táblázat1[[#This Row],[Kész2020_2]])</f>
        <v>1</v>
      </c>
    </row>
    <row r="901" spans="1:14" hidden="1" x14ac:dyDescent="0.25">
      <c r="A901" s="17" t="s">
        <v>10</v>
      </c>
      <c r="B901" s="17" t="s">
        <v>6999</v>
      </c>
      <c r="C901" s="17" t="s">
        <v>1739</v>
      </c>
      <c r="D901" s="17" t="s">
        <v>1957</v>
      </c>
      <c r="E901" s="17" t="s">
        <v>3693</v>
      </c>
      <c r="F901" s="17" t="s">
        <v>3694</v>
      </c>
      <c r="G901" s="17" t="s">
        <v>5183</v>
      </c>
      <c r="H901" t="s">
        <v>7476</v>
      </c>
      <c r="I901" s="1">
        <v>2</v>
      </c>
      <c r="J901" s="1">
        <v>2</v>
      </c>
      <c r="K901" t="s">
        <v>6641</v>
      </c>
      <c r="L901" s="5">
        <f>VLOOKUP(D:D,[1]Munka2!$A:$B,2,FALSE)</f>
        <v>1</v>
      </c>
      <c r="M901" s="5">
        <f>_xlfn.IFNA(Táblázat1[[#This Row],[Kész2020]],0)</f>
        <v>1</v>
      </c>
      <c r="N901" s="5">
        <f>IF(Táblázat1[[#This Row],[Karb./akt.év]]-Táblázat1[[#This Row],[Kész2020_2]]&lt;0,0,Táblázat1[[#This Row],[Karb./akt.év]]-Táblázat1[[#This Row],[Kész2020_2]])</f>
        <v>1</v>
      </c>
    </row>
    <row r="902" spans="1:14" hidden="1" x14ac:dyDescent="0.25">
      <c r="A902" s="17" t="s">
        <v>10</v>
      </c>
      <c r="B902" s="17" t="s">
        <v>6968</v>
      </c>
      <c r="C902" s="17" t="s">
        <v>1739</v>
      </c>
      <c r="D902" s="17" t="s">
        <v>3000</v>
      </c>
      <c r="E902" s="17" t="s">
        <v>3881</v>
      </c>
      <c r="F902" s="17" t="s">
        <v>3755</v>
      </c>
      <c r="G902" s="17" t="s">
        <v>6123</v>
      </c>
      <c r="H902" t="s">
        <v>7476</v>
      </c>
      <c r="I902" s="1">
        <v>2</v>
      </c>
      <c r="J902" s="1">
        <v>2</v>
      </c>
      <c r="K902" t="s">
        <v>6640</v>
      </c>
      <c r="L902" s="5">
        <f>VLOOKUP(D:D,[1]Munka2!$A:$B,2,FALSE)</f>
        <v>1</v>
      </c>
      <c r="M902" s="5">
        <f>_xlfn.IFNA(Táblázat1[[#This Row],[Kész2020]],0)</f>
        <v>1</v>
      </c>
      <c r="N902" s="5">
        <f>IF(Táblázat1[[#This Row],[Karb./akt.év]]-Táblázat1[[#This Row],[Kész2020_2]]&lt;0,0,Táblázat1[[#This Row],[Karb./akt.év]]-Táblázat1[[#This Row],[Kész2020_2]])</f>
        <v>1</v>
      </c>
    </row>
    <row r="903" spans="1:14" hidden="1" x14ac:dyDescent="0.25">
      <c r="A903" s="17" t="s">
        <v>10</v>
      </c>
      <c r="B903" s="17" t="s">
        <v>6966</v>
      </c>
      <c r="C903" s="17" t="s">
        <v>1739</v>
      </c>
      <c r="D903" s="17" t="s">
        <v>1878</v>
      </c>
      <c r="E903" s="17" t="s">
        <v>3736</v>
      </c>
      <c r="F903" s="17" t="s">
        <v>3737</v>
      </c>
      <c r="G903" s="17" t="s">
        <v>5111</v>
      </c>
      <c r="H903" t="s">
        <v>7476</v>
      </c>
      <c r="I903" s="1">
        <v>2</v>
      </c>
      <c r="J903" s="1">
        <v>2</v>
      </c>
      <c r="K903" t="s">
        <v>6638</v>
      </c>
      <c r="L903" s="5">
        <f>VLOOKUP(D:D,[1]Munka2!$A:$B,2,FALSE)</f>
        <v>1</v>
      </c>
      <c r="M903" s="5">
        <f>_xlfn.IFNA(Táblázat1[[#This Row],[Kész2020]],0)</f>
        <v>1</v>
      </c>
      <c r="N903" s="5">
        <f>IF(Táblázat1[[#This Row],[Karb./akt.év]]-Táblázat1[[#This Row],[Kész2020_2]]&lt;0,0,Táblázat1[[#This Row],[Karb./akt.év]]-Táblázat1[[#This Row],[Kész2020_2]])</f>
        <v>1</v>
      </c>
    </row>
    <row r="904" spans="1:14" hidden="1" x14ac:dyDescent="0.25">
      <c r="A904" s="17" t="s">
        <v>10</v>
      </c>
      <c r="B904" s="17" t="s">
        <v>6990</v>
      </c>
      <c r="C904" s="17" t="s">
        <v>1739</v>
      </c>
      <c r="D904" s="17" t="s">
        <v>3329</v>
      </c>
      <c r="E904" s="17" t="s">
        <v>3743</v>
      </c>
      <c r="F904" s="17" t="s">
        <v>3744</v>
      </c>
      <c r="G904" s="17" t="s">
        <v>6399</v>
      </c>
      <c r="H904" t="s">
        <v>7476</v>
      </c>
      <c r="I904" s="1">
        <v>2</v>
      </c>
      <c r="J904" s="1">
        <v>2</v>
      </c>
      <c r="K904" t="s">
        <v>8102</v>
      </c>
      <c r="L904" s="5">
        <f>VLOOKUP(D:D,[1]Munka2!$A:$B,2,FALSE)</f>
        <v>1</v>
      </c>
      <c r="M904" s="5">
        <f>_xlfn.IFNA(Táblázat1[[#This Row],[Kész2020]],0)</f>
        <v>1</v>
      </c>
      <c r="N904" s="5">
        <f>IF(Táblázat1[[#This Row],[Karb./akt.év]]-Táblázat1[[#This Row],[Kész2020_2]]&lt;0,0,Táblázat1[[#This Row],[Karb./akt.év]]-Táblázat1[[#This Row],[Kész2020_2]])</f>
        <v>1</v>
      </c>
    </row>
    <row r="905" spans="1:14" hidden="1" x14ac:dyDescent="0.25">
      <c r="A905" s="17" t="s">
        <v>10</v>
      </c>
      <c r="B905" s="17" t="s">
        <v>1493</v>
      </c>
      <c r="C905" s="17" t="s">
        <v>1739</v>
      </c>
      <c r="D905" s="17" t="s">
        <v>3331</v>
      </c>
      <c r="E905" s="17" t="s">
        <v>3680</v>
      </c>
      <c r="F905" s="17" t="s">
        <v>3681</v>
      </c>
      <c r="G905" s="17" t="s">
        <v>6400</v>
      </c>
      <c r="H905" t="s">
        <v>7476</v>
      </c>
      <c r="I905" s="1">
        <v>2</v>
      </c>
      <c r="J905" s="1">
        <v>2</v>
      </c>
      <c r="K905" t="s">
        <v>6637</v>
      </c>
      <c r="L905" s="5">
        <f>VLOOKUP(D:D,[1]Munka2!$A:$B,2,FALSE)</f>
        <v>1</v>
      </c>
      <c r="M905" s="5">
        <f>_xlfn.IFNA(Táblázat1[[#This Row],[Kész2020]],0)</f>
        <v>1</v>
      </c>
      <c r="N905" s="5">
        <f>IF(Táblázat1[[#This Row],[Karb./akt.év]]-Táblázat1[[#This Row],[Kész2020_2]]&lt;0,0,Táblázat1[[#This Row],[Karb./akt.év]]-Táblázat1[[#This Row],[Kész2020_2]])</f>
        <v>1</v>
      </c>
    </row>
    <row r="906" spans="1:14" hidden="1" x14ac:dyDescent="0.25">
      <c r="A906" s="17" t="s">
        <v>10</v>
      </c>
      <c r="B906" s="17" t="s">
        <v>6959</v>
      </c>
      <c r="C906" s="17" t="s">
        <v>1739</v>
      </c>
      <c r="D906" s="17" t="s">
        <v>2770</v>
      </c>
      <c r="E906" s="17" t="s">
        <v>3782</v>
      </c>
      <c r="F906" s="17" t="s">
        <v>3783</v>
      </c>
      <c r="G906" s="17" t="s">
        <v>5911</v>
      </c>
      <c r="H906" t="s">
        <v>7476</v>
      </c>
      <c r="I906" s="1">
        <v>2</v>
      </c>
      <c r="J906" s="1">
        <v>2</v>
      </c>
      <c r="K906" t="s">
        <v>8103</v>
      </c>
      <c r="L906" s="5">
        <f>VLOOKUP(D:D,[1]Munka2!$A:$B,2,FALSE)</f>
        <v>1</v>
      </c>
      <c r="M906" s="5">
        <f>_xlfn.IFNA(Táblázat1[[#This Row],[Kész2020]],0)</f>
        <v>1</v>
      </c>
      <c r="N906" s="5">
        <f>IF(Táblázat1[[#This Row],[Karb./akt.év]]-Táblázat1[[#This Row],[Kész2020_2]]&lt;0,0,Táblázat1[[#This Row],[Karb./akt.év]]-Táblázat1[[#This Row],[Kész2020_2]])</f>
        <v>1</v>
      </c>
    </row>
    <row r="907" spans="1:14" hidden="1" x14ac:dyDescent="0.25">
      <c r="A907" s="17" t="s">
        <v>10</v>
      </c>
      <c r="B907" s="17" t="s">
        <v>6965</v>
      </c>
      <c r="C907" s="17" t="s">
        <v>1739</v>
      </c>
      <c r="D907" s="17" t="s">
        <v>3216</v>
      </c>
      <c r="E907" s="17" t="s">
        <v>4187</v>
      </c>
      <c r="F907" s="17" t="s">
        <v>4188</v>
      </c>
      <c r="G907" s="17" t="s">
        <v>6297</v>
      </c>
      <c r="H907" t="s">
        <v>7476</v>
      </c>
      <c r="I907" s="1">
        <v>2</v>
      </c>
      <c r="J907" s="1">
        <v>2</v>
      </c>
      <c r="K907" t="s">
        <v>6785</v>
      </c>
      <c r="L907" s="5">
        <f>VLOOKUP(D:D,[1]Munka2!$A:$B,2,FALSE)</f>
        <v>1</v>
      </c>
      <c r="M907" s="5">
        <f>_xlfn.IFNA(Táblázat1[[#This Row],[Kész2020]],0)</f>
        <v>1</v>
      </c>
      <c r="N907" s="5">
        <f>IF(Táblázat1[[#This Row],[Karb./akt.év]]-Táblázat1[[#This Row],[Kész2020_2]]&lt;0,0,Táblázat1[[#This Row],[Karb./akt.év]]-Táblázat1[[#This Row],[Kész2020_2]])</f>
        <v>1</v>
      </c>
    </row>
    <row r="908" spans="1:14" hidden="1" x14ac:dyDescent="0.25">
      <c r="A908" s="17" t="s">
        <v>10</v>
      </c>
      <c r="B908" s="17" t="s">
        <v>6980</v>
      </c>
      <c r="C908" s="17" t="s">
        <v>1739</v>
      </c>
      <c r="D908" s="17" t="s">
        <v>3391</v>
      </c>
      <c r="E908" s="17" t="s">
        <v>4941</v>
      </c>
      <c r="F908" s="17" t="s">
        <v>3598</v>
      </c>
      <c r="G908" s="17" t="s">
        <v>6453</v>
      </c>
      <c r="H908" t="s">
        <v>7476</v>
      </c>
      <c r="I908" s="1">
        <v>2</v>
      </c>
      <c r="J908" s="1">
        <v>2</v>
      </c>
      <c r="K908" t="s">
        <v>8101</v>
      </c>
      <c r="L908" s="5">
        <f>VLOOKUP(D:D,[1]Munka2!$A:$B,2,FALSE)</f>
        <v>1</v>
      </c>
      <c r="M908" s="5">
        <f>_xlfn.IFNA(Táblázat1[[#This Row],[Kész2020]],0)</f>
        <v>1</v>
      </c>
      <c r="N908" s="5">
        <f>IF(Táblázat1[[#This Row],[Karb./akt.év]]-Táblázat1[[#This Row],[Kész2020_2]]&lt;0,0,Táblázat1[[#This Row],[Karb./akt.év]]-Táblázat1[[#This Row],[Kész2020_2]])</f>
        <v>1</v>
      </c>
    </row>
    <row r="909" spans="1:14" hidden="1" x14ac:dyDescent="0.25">
      <c r="A909" s="17" t="s">
        <v>10</v>
      </c>
      <c r="B909" s="17" t="s">
        <v>6998</v>
      </c>
      <c r="C909" s="17" t="s">
        <v>1739</v>
      </c>
      <c r="D909" s="17" t="s">
        <v>2818</v>
      </c>
      <c r="E909" s="17" t="s">
        <v>4063</v>
      </c>
      <c r="F909" s="17" t="s">
        <v>3598</v>
      </c>
      <c r="G909" s="17" t="s">
        <v>5956</v>
      </c>
      <c r="H909" t="s">
        <v>7476</v>
      </c>
      <c r="I909" s="1">
        <v>2</v>
      </c>
      <c r="J909" s="1">
        <v>2</v>
      </c>
      <c r="K909" t="s">
        <v>7017</v>
      </c>
      <c r="L909" s="5">
        <f>VLOOKUP(D:D,[1]Munka2!$A:$B,2,FALSE)</f>
        <v>1</v>
      </c>
      <c r="M909" s="5">
        <f>_xlfn.IFNA(Táblázat1[[#This Row],[Kész2020]],0)</f>
        <v>1</v>
      </c>
      <c r="N909" s="5">
        <f>IF(Táblázat1[[#This Row],[Karb./akt.év]]-Táblázat1[[#This Row],[Kész2020_2]]&lt;0,0,Táblázat1[[#This Row],[Karb./akt.év]]-Táblázat1[[#This Row],[Kész2020_2]])</f>
        <v>1</v>
      </c>
    </row>
    <row r="910" spans="1:14" hidden="1" x14ac:dyDescent="0.25">
      <c r="A910" s="17" t="s">
        <v>10</v>
      </c>
      <c r="B910" s="17" t="s">
        <v>6970</v>
      </c>
      <c r="C910" s="17" t="s">
        <v>1739</v>
      </c>
      <c r="D910" s="17" t="s">
        <v>3568</v>
      </c>
      <c r="E910" s="17" t="s">
        <v>4312</v>
      </c>
      <c r="F910" s="17" t="s">
        <v>3598</v>
      </c>
      <c r="G910" s="17" t="s">
        <v>6605</v>
      </c>
      <c r="H910" t="s">
        <v>7476</v>
      </c>
      <c r="I910" s="1">
        <v>2</v>
      </c>
      <c r="J910" s="1">
        <v>2</v>
      </c>
      <c r="K910" t="s">
        <v>7014</v>
      </c>
      <c r="L910" s="5">
        <f>VLOOKUP(D:D,[1]Munka2!$A:$B,2,FALSE)</f>
        <v>1</v>
      </c>
      <c r="M910" s="5">
        <f>_xlfn.IFNA(Táblázat1[[#This Row],[Kész2020]],0)</f>
        <v>1</v>
      </c>
      <c r="N910" s="5">
        <f>IF(Táblázat1[[#This Row],[Karb./akt.év]]-Táblázat1[[#This Row],[Kész2020_2]]&lt;0,0,Táblázat1[[#This Row],[Karb./akt.év]]-Táblázat1[[#This Row],[Kész2020_2]])</f>
        <v>1</v>
      </c>
    </row>
    <row r="911" spans="1:14" hidden="1" x14ac:dyDescent="0.25">
      <c r="A911" s="17" t="s">
        <v>10</v>
      </c>
      <c r="B911" s="17" t="s">
        <v>6987</v>
      </c>
      <c r="C911" s="17" t="s">
        <v>1739</v>
      </c>
      <c r="D911" s="17" t="s">
        <v>3247</v>
      </c>
      <c r="E911" s="17" t="s">
        <v>3667</v>
      </c>
      <c r="F911" s="17" t="s">
        <v>3668</v>
      </c>
      <c r="G911" s="17" t="s">
        <v>6321</v>
      </c>
      <c r="H911" t="s">
        <v>7476</v>
      </c>
      <c r="I911" s="1">
        <v>2</v>
      </c>
      <c r="J911" s="1">
        <v>2</v>
      </c>
      <c r="K911" t="s">
        <v>6637</v>
      </c>
      <c r="L911" s="5">
        <f>VLOOKUP(D:D,[1]Munka2!$A:$B,2,FALSE)</f>
        <v>1</v>
      </c>
      <c r="M911" s="5">
        <f>_xlfn.IFNA(Táblázat1[[#This Row],[Kész2020]],0)</f>
        <v>1</v>
      </c>
      <c r="N911" s="5">
        <f>IF(Táblázat1[[#This Row],[Karb./akt.év]]-Táblázat1[[#This Row],[Kész2020_2]]&lt;0,0,Táblázat1[[#This Row],[Karb./akt.év]]-Táblázat1[[#This Row],[Kész2020_2]])</f>
        <v>1</v>
      </c>
    </row>
    <row r="912" spans="1:14" hidden="1" x14ac:dyDescent="0.25">
      <c r="A912" s="17" t="s">
        <v>10</v>
      </c>
      <c r="B912" s="17" t="s">
        <v>6986</v>
      </c>
      <c r="C912" s="17" t="s">
        <v>1739</v>
      </c>
      <c r="D912" s="17" t="s">
        <v>2694</v>
      </c>
      <c r="E912" s="17" t="s">
        <v>3788</v>
      </c>
      <c r="F912" s="17" t="s">
        <v>3789</v>
      </c>
      <c r="G912" s="17" t="s">
        <v>5839</v>
      </c>
      <c r="H912" t="s">
        <v>7476</v>
      </c>
      <c r="I912" s="1">
        <v>2</v>
      </c>
      <c r="J912" s="1">
        <v>2</v>
      </c>
      <c r="K912" t="s">
        <v>6634</v>
      </c>
      <c r="L912" s="5">
        <f>VLOOKUP(D:D,[1]Munka2!$A:$B,2,FALSE)</f>
        <v>1</v>
      </c>
      <c r="M912" s="5">
        <f>_xlfn.IFNA(Táblázat1[[#This Row],[Kész2020]],0)</f>
        <v>1</v>
      </c>
      <c r="N912" s="5">
        <f>IF(Táblázat1[[#This Row],[Karb./akt.év]]-Táblázat1[[#This Row],[Kész2020_2]]&lt;0,0,Táblázat1[[#This Row],[Karb./akt.év]]-Táblázat1[[#This Row],[Kész2020_2]])</f>
        <v>1</v>
      </c>
    </row>
    <row r="913" spans="1:14" hidden="1" x14ac:dyDescent="0.25">
      <c r="A913" s="17" t="s">
        <v>10</v>
      </c>
      <c r="B913" s="17" t="s">
        <v>6963</v>
      </c>
      <c r="C913" s="17" t="s">
        <v>1739</v>
      </c>
      <c r="D913" s="17" t="s">
        <v>1960</v>
      </c>
      <c r="E913" s="17" t="s">
        <v>3619</v>
      </c>
      <c r="F913" s="17" t="s">
        <v>3620</v>
      </c>
      <c r="G913" s="17" t="s">
        <v>5185</v>
      </c>
      <c r="H913" t="s">
        <v>7476</v>
      </c>
      <c r="I913" s="1">
        <v>2</v>
      </c>
      <c r="J913" s="1">
        <v>2</v>
      </c>
      <c r="K913" t="s">
        <v>6642</v>
      </c>
      <c r="L913" s="5">
        <f>VLOOKUP(D:D,[1]Munka2!$A:$B,2,FALSE)</f>
        <v>1</v>
      </c>
      <c r="M913" s="5">
        <f>_xlfn.IFNA(Táblázat1[[#This Row],[Kész2020]],0)</f>
        <v>1</v>
      </c>
      <c r="N913" s="5">
        <f>IF(Táblázat1[[#This Row],[Karb./akt.év]]-Táblázat1[[#This Row],[Kész2020_2]]&lt;0,0,Táblázat1[[#This Row],[Karb./akt.év]]-Táblázat1[[#This Row],[Kész2020_2]])</f>
        <v>1</v>
      </c>
    </row>
    <row r="914" spans="1:14" hidden="1" x14ac:dyDescent="0.25">
      <c r="A914" s="17" t="s">
        <v>10</v>
      </c>
      <c r="B914" s="17" t="s">
        <v>7479</v>
      </c>
      <c r="C914" s="17" t="s">
        <v>1739</v>
      </c>
      <c r="D914" s="17" t="s">
        <v>2541</v>
      </c>
      <c r="E914" s="17" t="s">
        <v>4333</v>
      </c>
      <c r="F914" s="17" t="s">
        <v>4334</v>
      </c>
      <c r="G914" s="17" t="s">
        <v>5710</v>
      </c>
      <c r="H914" t="s">
        <v>7476</v>
      </c>
      <c r="I914" s="1">
        <v>2</v>
      </c>
      <c r="J914" s="1">
        <v>2</v>
      </c>
      <c r="K914" t="s">
        <v>6640</v>
      </c>
      <c r="L914" s="5">
        <f>VLOOKUP(D:D,[1]Munka2!$A:$B,2,FALSE)</f>
        <v>1</v>
      </c>
      <c r="M914" s="5">
        <f>_xlfn.IFNA(Táblázat1[[#This Row],[Kész2020]],0)</f>
        <v>1</v>
      </c>
      <c r="N914" s="5">
        <f>IF(Táblázat1[[#This Row],[Karb./akt.év]]-Táblázat1[[#This Row],[Kész2020_2]]&lt;0,0,Táblázat1[[#This Row],[Karb./akt.év]]-Táblázat1[[#This Row],[Kész2020_2]])</f>
        <v>1</v>
      </c>
    </row>
    <row r="915" spans="1:14" hidden="1" x14ac:dyDescent="0.25">
      <c r="A915" s="17" t="s">
        <v>10</v>
      </c>
      <c r="B915" s="17" t="s">
        <v>6964</v>
      </c>
      <c r="C915" s="17" t="s">
        <v>1739</v>
      </c>
      <c r="D915" s="17" t="s">
        <v>2006</v>
      </c>
      <c r="E915" s="17" t="s">
        <v>3887</v>
      </c>
      <c r="F915" s="17" t="s">
        <v>3718</v>
      </c>
      <c r="G915" s="17" t="s">
        <v>5226</v>
      </c>
      <c r="H915" t="s">
        <v>7476</v>
      </c>
      <c r="I915" s="1">
        <v>2</v>
      </c>
      <c r="J915" s="1">
        <v>2</v>
      </c>
      <c r="K915" t="s">
        <v>8102</v>
      </c>
      <c r="L915" s="5">
        <f>VLOOKUP(D:D,[1]Munka2!$A:$B,2,FALSE)</f>
        <v>1</v>
      </c>
      <c r="M915" s="5">
        <f>_xlfn.IFNA(Táblázat1[[#This Row],[Kész2020]],0)</f>
        <v>1</v>
      </c>
      <c r="N915" s="5">
        <f>IF(Táblázat1[[#This Row],[Karb./akt.év]]-Táblázat1[[#This Row],[Kész2020_2]]&lt;0,0,Táblázat1[[#This Row],[Karb./akt.év]]-Táblázat1[[#This Row],[Kész2020_2]])</f>
        <v>1</v>
      </c>
    </row>
    <row r="916" spans="1:14" hidden="1" x14ac:dyDescent="0.25">
      <c r="A916" s="17" t="s">
        <v>10</v>
      </c>
      <c r="B916" s="17" t="s">
        <v>6967</v>
      </c>
      <c r="C916" s="17" t="s">
        <v>1739</v>
      </c>
      <c r="D916" s="17" t="s">
        <v>3551</v>
      </c>
      <c r="E916" s="17" t="s">
        <v>4279</v>
      </c>
      <c r="F916" s="17" t="s">
        <v>3598</v>
      </c>
      <c r="G916" s="17" t="s">
        <v>6591</v>
      </c>
      <c r="H916" t="s">
        <v>7476</v>
      </c>
      <c r="I916" s="1">
        <v>2</v>
      </c>
      <c r="J916" s="1">
        <v>2</v>
      </c>
      <c r="K916" t="s">
        <v>6633</v>
      </c>
      <c r="L916" s="5">
        <f>VLOOKUP(D:D,[1]Munka2!$A:$B,2,FALSE)</f>
        <v>1</v>
      </c>
      <c r="M916" s="5">
        <f>_xlfn.IFNA(Táblázat1[[#This Row],[Kész2020]],0)</f>
        <v>1</v>
      </c>
      <c r="N916" s="5">
        <f>IF(Táblázat1[[#This Row],[Karb./akt.év]]-Táblázat1[[#This Row],[Kész2020_2]]&lt;0,0,Táblázat1[[#This Row],[Karb./akt.év]]-Táblázat1[[#This Row],[Kész2020_2]])</f>
        <v>1</v>
      </c>
    </row>
    <row r="917" spans="1:14" hidden="1" x14ac:dyDescent="0.25">
      <c r="A917" s="17" t="s">
        <v>10</v>
      </c>
      <c r="B917" s="17" t="s">
        <v>7480</v>
      </c>
      <c r="C917" s="17" t="s">
        <v>1739</v>
      </c>
      <c r="D917" s="17" t="s">
        <v>2862</v>
      </c>
      <c r="E917" s="17" t="s">
        <v>3824</v>
      </c>
      <c r="F917" s="17" t="s">
        <v>3598</v>
      </c>
      <c r="G917" s="17" t="s">
        <v>6002</v>
      </c>
      <c r="H917" t="s">
        <v>7476</v>
      </c>
      <c r="I917" s="1">
        <v>2</v>
      </c>
      <c r="J917" s="1">
        <v>2</v>
      </c>
      <c r="K917" t="s">
        <v>6785</v>
      </c>
      <c r="L917" s="5">
        <f>VLOOKUP(D:D,[1]Munka2!$A:$B,2,FALSE)</f>
        <v>1</v>
      </c>
      <c r="M917" s="5">
        <f>_xlfn.IFNA(Táblázat1[[#This Row],[Kész2020]],0)</f>
        <v>1</v>
      </c>
      <c r="N917" s="5">
        <f>IF(Táblázat1[[#This Row],[Karb./akt.év]]-Táblázat1[[#This Row],[Kész2020_2]]&lt;0,0,Táblázat1[[#This Row],[Karb./akt.év]]-Táblázat1[[#This Row],[Kész2020_2]])</f>
        <v>1</v>
      </c>
    </row>
    <row r="918" spans="1:14" hidden="1" x14ac:dyDescent="0.25">
      <c r="A918" s="17" t="s">
        <v>10</v>
      </c>
      <c r="B918" s="17" t="s">
        <v>6979</v>
      </c>
      <c r="C918" s="17" t="s">
        <v>1739</v>
      </c>
      <c r="D918" s="17" t="s">
        <v>3351</v>
      </c>
      <c r="E918" s="17" t="s">
        <v>3893</v>
      </c>
      <c r="F918" s="17" t="s">
        <v>3664</v>
      </c>
      <c r="G918" s="17" t="s">
        <v>6417</v>
      </c>
      <c r="H918" t="s">
        <v>7476</v>
      </c>
      <c r="I918" s="1">
        <v>2</v>
      </c>
      <c r="J918" s="1">
        <v>2</v>
      </c>
      <c r="K918" t="s">
        <v>6638</v>
      </c>
      <c r="L918" s="5">
        <f>VLOOKUP(D:D,[1]Munka2!$A:$B,2,FALSE)</f>
        <v>1</v>
      </c>
      <c r="M918" s="5">
        <f>_xlfn.IFNA(Táblázat1[[#This Row],[Kész2020]],0)</f>
        <v>1</v>
      </c>
      <c r="N918" s="5">
        <f>IF(Táblázat1[[#This Row],[Karb./akt.év]]-Táblázat1[[#This Row],[Kész2020_2]]&lt;0,0,Táblázat1[[#This Row],[Karb./akt.év]]-Táblázat1[[#This Row],[Kész2020_2]])</f>
        <v>1</v>
      </c>
    </row>
    <row r="919" spans="1:14" hidden="1" x14ac:dyDescent="0.25">
      <c r="A919" s="17" t="s">
        <v>10</v>
      </c>
      <c r="B919" s="17" t="s">
        <v>7481</v>
      </c>
      <c r="C919" s="17" t="s">
        <v>1739</v>
      </c>
      <c r="D919" s="17" t="s">
        <v>3333</v>
      </c>
      <c r="E919" s="17" t="s">
        <v>3683</v>
      </c>
      <c r="F919" s="17" t="s">
        <v>3684</v>
      </c>
      <c r="G919" s="17" t="s">
        <v>6401</v>
      </c>
      <c r="H919" t="s">
        <v>7476</v>
      </c>
      <c r="I919" s="1">
        <v>2</v>
      </c>
      <c r="J919" s="1">
        <v>2</v>
      </c>
      <c r="K919" t="s">
        <v>6784</v>
      </c>
      <c r="L919" s="5">
        <f>VLOOKUP(D:D,[1]Munka2!$A:$B,2,FALSE)</f>
        <v>1</v>
      </c>
      <c r="M919" s="5">
        <f>_xlfn.IFNA(Táblázat1[[#This Row],[Kész2020]],0)</f>
        <v>1</v>
      </c>
      <c r="N919" s="5">
        <f>IF(Táblázat1[[#This Row],[Karb./akt.év]]-Táblázat1[[#This Row],[Kész2020_2]]&lt;0,0,Táblázat1[[#This Row],[Karb./akt.év]]-Táblázat1[[#This Row],[Kész2020_2]])</f>
        <v>1</v>
      </c>
    </row>
    <row r="920" spans="1:14" hidden="1" x14ac:dyDescent="0.25">
      <c r="A920" s="17" t="s">
        <v>10</v>
      </c>
      <c r="B920" s="17" t="s">
        <v>6974</v>
      </c>
      <c r="C920" s="17" t="s">
        <v>1739</v>
      </c>
      <c r="D920" s="17" t="s">
        <v>2798</v>
      </c>
      <c r="E920" s="17" t="s">
        <v>3792</v>
      </c>
      <c r="F920" s="17" t="s">
        <v>3793</v>
      </c>
      <c r="G920" s="17" t="s">
        <v>5937</v>
      </c>
      <c r="H920" t="s">
        <v>7476</v>
      </c>
      <c r="I920" s="1">
        <v>2</v>
      </c>
      <c r="J920" s="1">
        <v>2</v>
      </c>
      <c r="K920" t="s">
        <v>6639</v>
      </c>
      <c r="L920" s="5">
        <f>VLOOKUP(D:D,[1]Munka2!$A:$B,2,FALSE)</f>
        <v>1</v>
      </c>
      <c r="M920" s="5">
        <f>_xlfn.IFNA(Táblázat1[[#This Row],[Kész2020]],0)</f>
        <v>1</v>
      </c>
      <c r="N920" s="5">
        <f>IF(Táblázat1[[#This Row],[Karb./akt.év]]-Táblázat1[[#This Row],[Kész2020_2]]&lt;0,0,Táblázat1[[#This Row],[Karb./akt.év]]-Táblázat1[[#This Row],[Kész2020_2]])</f>
        <v>1</v>
      </c>
    </row>
    <row r="921" spans="1:14" hidden="1" x14ac:dyDescent="0.25">
      <c r="A921" s="17" t="s">
        <v>10</v>
      </c>
      <c r="B921" s="17" t="s">
        <v>6988</v>
      </c>
      <c r="C921" s="17" t="s">
        <v>1739</v>
      </c>
      <c r="D921" s="17" t="s">
        <v>2236</v>
      </c>
      <c r="E921" s="17" t="s">
        <v>3775</v>
      </c>
      <c r="F921" s="17" t="s">
        <v>3776</v>
      </c>
      <c r="G921" s="17" t="s">
        <v>5438</v>
      </c>
      <c r="H921" t="s">
        <v>7476</v>
      </c>
      <c r="I921" s="1">
        <v>2</v>
      </c>
      <c r="J921" s="1">
        <v>2</v>
      </c>
      <c r="K921" t="s">
        <v>6634</v>
      </c>
      <c r="L921" s="5">
        <f>VLOOKUP(D:D,[1]Munka2!$A:$B,2,FALSE)</f>
        <v>1</v>
      </c>
      <c r="M921" s="5">
        <f>_xlfn.IFNA(Táblázat1[[#This Row],[Kész2020]],0)</f>
        <v>1</v>
      </c>
      <c r="N921" s="5">
        <f>IF(Táblázat1[[#This Row],[Karb./akt.év]]-Táblázat1[[#This Row],[Kész2020_2]]&lt;0,0,Táblázat1[[#This Row],[Karb./akt.év]]-Táblázat1[[#This Row],[Kész2020_2]])</f>
        <v>1</v>
      </c>
    </row>
    <row r="922" spans="1:14" hidden="1" x14ac:dyDescent="0.25">
      <c r="A922" s="17" t="s">
        <v>10</v>
      </c>
      <c r="B922" s="17" t="s">
        <v>1339</v>
      </c>
      <c r="C922" s="17" t="s">
        <v>1741</v>
      </c>
      <c r="D922" s="17" t="s">
        <v>3157</v>
      </c>
      <c r="E922" s="17" t="s">
        <v>4828</v>
      </c>
      <c r="F922" s="17" t="s">
        <v>3979</v>
      </c>
      <c r="G922" s="17" t="s">
        <v>6257</v>
      </c>
      <c r="H922" t="s">
        <v>7476</v>
      </c>
      <c r="I922" s="1">
        <v>2</v>
      </c>
      <c r="J922" s="1">
        <v>2</v>
      </c>
      <c r="K922" t="s">
        <v>6641</v>
      </c>
      <c r="L922" s="5">
        <f>VLOOKUP(D:D,[1]Munka2!$A:$B,2,FALSE)</f>
        <v>1</v>
      </c>
      <c r="M922" s="5">
        <f>_xlfn.IFNA(Táblázat1[[#This Row],[Kész2020]],0)</f>
        <v>1</v>
      </c>
      <c r="N922" s="5">
        <f>IF(Táblázat1[[#This Row],[Karb./akt.év]]-Táblázat1[[#This Row],[Kész2020_2]]&lt;0,0,Táblázat1[[#This Row],[Karb./akt.év]]-Táblázat1[[#This Row],[Kész2020_2]])</f>
        <v>1</v>
      </c>
    </row>
    <row r="923" spans="1:14" hidden="1" x14ac:dyDescent="0.25">
      <c r="A923" s="17" t="s">
        <v>10</v>
      </c>
      <c r="B923" s="17" t="s">
        <v>1011</v>
      </c>
      <c r="C923" s="17" t="s">
        <v>1739</v>
      </c>
      <c r="D923" s="17" t="s">
        <v>2802</v>
      </c>
      <c r="E923" s="17" t="s">
        <v>4063</v>
      </c>
      <c r="F923" s="17" t="s">
        <v>3598</v>
      </c>
      <c r="G923" s="17" t="s">
        <v>5939</v>
      </c>
      <c r="H923" t="s">
        <v>7476</v>
      </c>
      <c r="I923" s="1">
        <v>2</v>
      </c>
      <c r="J923" s="1">
        <v>2</v>
      </c>
      <c r="K923" t="s">
        <v>7017</v>
      </c>
      <c r="L923" s="5">
        <f>VLOOKUP(D:D,[1]Munka2!$A:$B,2,FALSE)</f>
        <v>1</v>
      </c>
      <c r="M923" s="5">
        <f>_xlfn.IFNA(Táblázat1[[#This Row],[Kész2020]],0)</f>
        <v>1</v>
      </c>
      <c r="N923" s="5">
        <f>IF(Táblázat1[[#This Row],[Karb./akt.év]]-Táblázat1[[#This Row],[Kész2020_2]]&lt;0,0,Táblázat1[[#This Row],[Karb./akt.év]]-Táblázat1[[#This Row],[Kész2020_2]])</f>
        <v>1</v>
      </c>
    </row>
    <row r="924" spans="1:14" hidden="1" x14ac:dyDescent="0.25">
      <c r="A924" s="17" t="s">
        <v>10</v>
      </c>
      <c r="B924" s="17" t="s">
        <v>6995</v>
      </c>
      <c r="C924" s="17" t="s">
        <v>1739</v>
      </c>
      <c r="D924" s="17" t="s">
        <v>2180</v>
      </c>
      <c r="E924" s="17" t="s">
        <v>4024</v>
      </c>
      <c r="F924" s="17" t="s">
        <v>3598</v>
      </c>
      <c r="G924" s="17" t="s">
        <v>5389</v>
      </c>
      <c r="H924" t="s">
        <v>7476</v>
      </c>
      <c r="I924" s="1">
        <v>2</v>
      </c>
      <c r="J924" s="1">
        <v>2</v>
      </c>
      <c r="K924" t="s">
        <v>6785</v>
      </c>
      <c r="L924" s="5">
        <f>VLOOKUP(D:D,[1]Munka2!$A:$B,2,FALSE)</f>
        <v>1</v>
      </c>
      <c r="M924" s="5">
        <f>_xlfn.IFNA(Táblázat1[[#This Row],[Kész2020]],0)</f>
        <v>1</v>
      </c>
      <c r="N924" s="5">
        <f>IF(Táblázat1[[#This Row],[Karb./akt.év]]-Táblázat1[[#This Row],[Kész2020_2]]&lt;0,0,Táblázat1[[#This Row],[Karb./akt.év]]-Táblázat1[[#This Row],[Kész2020_2]])</f>
        <v>1</v>
      </c>
    </row>
    <row r="925" spans="1:14" hidden="1" x14ac:dyDescent="0.25">
      <c r="A925" s="17" t="s">
        <v>10</v>
      </c>
      <c r="B925" s="17" t="s">
        <v>6957</v>
      </c>
      <c r="C925" s="17" t="s">
        <v>1739</v>
      </c>
      <c r="D925" s="17" t="s">
        <v>3585</v>
      </c>
      <c r="E925" s="17" t="s">
        <v>5003</v>
      </c>
      <c r="F925" s="17" t="s">
        <v>3598</v>
      </c>
      <c r="G925" s="17" t="s">
        <v>6620</v>
      </c>
      <c r="H925" t="s">
        <v>7476</v>
      </c>
      <c r="I925" s="1">
        <v>2</v>
      </c>
      <c r="J925" s="1">
        <v>2</v>
      </c>
      <c r="K925" t="s">
        <v>6636</v>
      </c>
      <c r="L925" s="5">
        <f>VLOOKUP(D:D,[1]Munka2!$A:$B,2,FALSE)</f>
        <v>1</v>
      </c>
      <c r="M925" s="5">
        <f>_xlfn.IFNA(Táblázat1[[#This Row],[Kész2020]],0)</f>
        <v>1</v>
      </c>
      <c r="N925" s="5">
        <f>IF(Táblázat1[[#This Row],[Karb./akt.év]]-Táblázat1[[#This Row],[Kész2020_2]]&lt;0,0,Táblázat1[[#This Row],[Karb./akt.év]]-Táblázat1[[#This Row],[Kész2020_2]])</f>
        <v>1</v>
      </c>
    </row>
    <row r="926" spans="1:14" hidden="1" x14ac:dyDescent="0.25">
      <c r="A926" s="17" t="s">
        <v>10</v>
      </c>
      <c r="B926" s="17" t="s">
        <v>6989</v>
      </c>
      <c r="C926" s="17" t="s">
        <v>1739</v>
      </c>
      <c r="D926" s="17" t="s">
        <v>3342</v>
      </c>
      <c r="E926" s="17" t="s">
        <v>3918</v>
      </c>
      <c r="F926" s="17" t="s">
        <v>3919</v>
      </c>
      <c r="G926" s="17" t="s">
        <v>6410</v>
      </c>
      <c r="H926" t="s">
        <v>7476</v>
      </c>
      <c r="I926" s="1">
        <v>2</v>
      </c>
      <c r="J926" s="1">
        <v>2</v>
      </c>
      <c r="K926" t="s">
        <v>7014</v>
      </c>
      <c r="L926" s="5">
        <f>VLOOKUP(D:D,[1]Munka2!$A:$B,2,FALSE)</f>
        <v>1</v>
      </c>
      <c r="M926" s="5">
        <f>_xlfn.IFNA(Táblázat1[[#This Row],[Kész2020]],0)</f>
        <v>1</v>
      </c>
      <c r="N926" s="5">
        <f>IF(Táblázat1[[#This Row],[Karb./akt.év]]-Táblázat1[[#This Row],[Kész2020_2]]&lt;0,0,Táblázat1[[#This Row],[Karb./akt.év]]-Táblázat1[[#This Row],[Kész2020_2]])</f>
        <v>1</v>
      </c>
    </row>
    <row r="927" spans="1:14" hidden="1" x14ac:dyDescent="0.25">
      <c r="A927" s="17" t="s">
        <v>10</v>
      </c>
      <c r="B927" s="17" t="s">
        <v>6961</v>
      </c>
      <c r="C927" s="17" t="s">
        <v>1739</v>
      </c>
      <c r="D927" s="17" t="s">
        <v>3224</v>
      </c>
      <c r="E927" s="17" t="s">
        <v>3741</v>
      </c>
      <c r="F927" s="17" t="s">
        <v>3742</v>
      </c>
      <c r="G927" s="17" t="s">
        <v>7528</v>
      </c>
      <c r="H927" t="s">
        <v>7476</v>
      </c>
      <c r="I927" s="1">
        <v>2</v>
      </c>
      <c r="J927" s="1">
        <v>2</v>
      </c>
      <c r="K927" t="s">
        <v>7354</v>
      </c>
      <c r="L927" s="5">
        <f>VLOOKUP(D:D,[1]Munka2!$A:$B,2,FALSE)</f>
        <v>1</v>
      </c>
      <c r="M927" s="5">
        <f>_xlfn.IFNA(Táblázat1[[#This Row],[Kész2020]],0)</f>
        <v>1</v>
      </c>
      <c r="N927" s="5">
        <f>IF(Táblázat1[[#This Row],[Karb./akt.év]]-Táblázat1[[#This Row],[Kész2020_2]]&lt;0,0,Táblázat1[[#This Row],[Karb./akt.év]]-Táblázat1[[#This Row],[Kész2020_2]])</f>
        <v>1</v>
      </c>
    </row>
    <row r="928" spans="1:14" hidden="1" x14ac:dyDescent="0.25">
      <c r="A928" s="17" t="s">
        <v>10</v>
      </c>
      <c r="B928" s="17" t="s">
        <v>7482</v>
      </c>
      <c r="C928" s="17" t="s">
        <v>1739</v>
      </c>
      <c r="D928" s="17" t="s">
        <v>3445</v>
      </c>
      <c r="E928" s="17" t="s">
        <v>3689</v>
      </c>
      <c r="F928" s="17" t="s">
        <v>3690</v>
      </c>
      <c r="G928" s="17" t="s">
        <v>6497</v>
      </c>
      <c r="H928" t="s">
        <v>7476</v>
      </c>
      <c r="I928" s="1">
        <v>2</v>
      </c>
      <c r="J928" s="1">
        <v>2</v>
      </c>
      <c r="K928" t="s">
        <v>6784</v>
      </c>
      <c r="L928" s="5">
        <f>VLOOKUP(D:D,[1]Munka2!$A:$B,2,FALSE)</f>
        <v>1</v>
      </c>
      <c r="M928" s="5">
        <f>_xlfn.IFNA(Táblázat1[[#This Row],[Kész2020]],0)</f>
        <v>1</v>
      </c>
      <c r="N928" s="5">
        <f>IF(Táblázat1[[#This Row],[Karb./akt.év]]-Táblázat1[[#This Row],[Kész2020_2]]&lt;0,0,Táblázat1[[#This Row],[Karb./akt.év]]-Táblázat1[[#This Row],[Kész2020_2]])</f>
        <v>1</v>
      </c>
    </row>
    <row r="929" spans="1:14" hidden="1" x14ac:dyDescent="0.25">
      <c r="A929" s="17" t="s">
        <v>10</v>
      </c>
      <c r="B929" s="17" t="s">
        <v>6983</v>
      </c>
      <c r="C929" s="17" t="s">
        <v>1739</v>
      </c>
      <c r="D929" s="17" t="s">
        <v>2233</v>
      </c>
      <c r="E929" s="17" t="s">
        <v>3773</v>
      </c>
      <c r="F929" s="17" t="s">
        <v>3774</v>
      </c>
      <c r="G929" s="17" t="s">
        <v>5436</v>
      </c>
      <c r="H929" t="s">
        <v>7476</v>
      </c>
      <c r="I929" s="1">
        <v>2</v>
      </c>
      <c r="J929" s="1">
        <v>2</v>
      </c>
      <c r="K929" t="s">
        <v>7014</v>
      </c>
      <c r="L929" s="5">
        <f>VLOOKUP(D:D,[1]Munka2!$A:$B,2,FALSE)</f>
        <v>1</v>
      </c>
      <c r="M929" s="5">
        <f>_xlfn.IFNA(Táblázat1[[#This Row],[Kész2020]],0)</f>
        <v>1</v>
      </c>
      <c r="N929" s="5">
        <f>IF(Táblázat1[[#This Row],[Karb./akt.év]]-Táblázat1[[#This Row],[Kész2020_2]]&lt;0,0,Táblázat1[[#This Row],[Karb./akt.év]]-Táblázat1[[#This Row],[Kész2020_2]])</f>
        <v>1</v>
      </c>
    </row>
    <row r="930" spans="1:14" hidden="1" x14ac:dyDescent="0.25">
      <c r="A930" s="17" t="s">
        <v>10</v>
      </c>
      <c r="B930" s="17" t="s">
        <v>6981</v>
      </c>
      <c r="C930" s="17" t="s">
        <v>1739</v>
      </c>
      <c r="D930" s="17" t="s">
        <v>3291</v>
      </c>
      <c r="E930" s="17" t="s">
        <v>3928</v>
      </c>
      <c r="F930" s="17" t="s">
        <v>3929</v>
      </c>
      <c r="G930" s="17" t="s">
        <v>6366</v>
      </c>
      <c r="H930" t="s">
        <v>7476</v>
      </c>
      <c r="I930" s="1">
        <v>2</v>
      </c>
      <c r="J930" s="1">
        <v>2</v>
      </c>
      <c r="K930" t="s">
        <v>8102</v>
      </c>
      <c r="L930" s="5">
        <f>VLOOKUP(D:D,[1]Munka2!$A:$B,2,FALSE)</f>
        <v>1</v>
      </c>
      <c r="M930" s="5">
        <f>_xlfn.IFNA(Táblázat1[[#This Row],[Kész2020]],0)</f>
        <v>1</v>
      </c>
      <c r="N930" s="5">
        <f>IF(Táblázat1[[#This Row],[Karb./akt.év]]-Táblázat1[[#This Row],[Kész2020_2]]&lt;0,0,Táblázat1[[#This Row],[Karb./akt.év]]-Táblázat1[[#This Row],[Kész2020_2]])</f>
        <v>1</v>
      </c>
    </row>
    <row r="931" spans="1:14" hidden="1" x14ac:dyDescent="0.25">
      <c r="A931" s="17" t="s">
        <v>10</v>
      </c>
      <c r="B931" s="17" t="s">
        <v>6982</v>
      </c>
      <c r="C931" s="17" t="s">
        <v>1739</v>
      </c>
      <c r="D931" s="17" t="s">
        <v>3449</v>
      </c>
      <c r="E931" s="17" t="s">
        <v>3820</v>
      </c>
      <c r="F931" s="17" t="s">
        <v>3821</v>
      </c>
      <c r="G931" s="17" t="s">
        <v>6501</v>
      </c>
      <c r="H931" t="s">
        <v>7476</v>
      </c>
      <c r="I931" s="1">
        <v>2</v>
      </c>
      <c r="J931" s="1">
        <v>2</v>
      </c>
      <c r="K931" t="s">
        <v>6638</v>
      </c>
      <c r="L931" s="5">
        <f>VLOOKUP(D:D,[1]Munka2!$A:$B,2,FALSE)</f>
        <v>1</v>
      </c>
      <c r="M931" s="5">
        <f>_xlfn.IFNA(Táblázat1[[#This Row],[Kész2020]],0)</f>
        <v>1</v>
      </c>
      <c r="N931" s="5">
        <f>IF(Táblázat1[[#This Row],[Karb./akt.év]]-Táblázat1[[#This Row],[Kész2020_2]]&lt;0,0,Táblázat1[[#This Row],[Karb./akt.év]]-Táblázat1[[#This Row],[Kész2020_2]])</f>
        <v>1</v>
      </c>
    </row>
    <row r="932" spans="1:14" hidden="1" x14ac:dyDescent="0.25">
      <c r="A932" s="17" t="s">
        <v>10</v>
      </c>
      <c r="B932" s="17" t="s">
        <v>6960</v>
      </c>
      <c r="C932" s="17" t="s">
        <v>1739</v>
      </c>
      <c r="D932" s="17" t="s">
        <v>3498</v>
      </c>
      <c r="E932" s="17" t="s">
        <v>3836</v>
      </c>
      <c r="F932" s="17" t="s">
        <v>3837</v>
      </c>
      <c r="G932" s="17" t="s">
        <v>6537</v>
      </c>
      <c r="H932" t="s">
        <v>7476</v>
      </c>
      <c r="I932" s="1">
        <v>2</v>
      </c>
      <c r="J932" s="1">
        <v>2</v>
      </c>
      <c r="K932" t="s">
        <v>8103</v>
      </c>
      <c r="L932" s="5">
        <f>VLOOKUP(D:D,[1]Munka2!$A:$B,2,FALSE)</f>
        <v>1</v>
      </c>
      <c r="M932" s="5">
        <f>_xlfn.IFNA(Táblázat1[[#This Row],[Kész2020]],0)</f>
        <v>1</v>
      </c>
      <c r="N932" s="5">
        <f>IF(Táblázat1[[#This Row],[Karb./akt.év]]-Táblázat1[[#This Row],[Kész2020_2]]&lt;0,0,Táblázat1[[#This Row],[Karb./akt.év]]-Táblázat1[[#This Row],[Kész2020_2]])</f>
        <v>1</v>
      </c>
    </row>
    <row r="933" spans="1:14" hidden="1" x14ac:dyDescent="0.25">
      <c r="A933" s="17" t="s">
        <v>10</v>
      </c>
      <c r="B933" s="17" t="s">
        <v>885</v>
      </c>
      <c r="C933" s="17" t="s">
        <v>1739</v>
      </c>
      <c r="D933" s="17" t="s">
        <v>2669</v>
      </c>
      <c r="E933" s="17" t="s">
        <v>3890</v>
      </c>
      <c r="F933" s="17" t="s">
        <v>3891</v>
      </c>
      <c r="G933" s="17" t="s">
        <v>7530</v>
      </c>
      <c r="H933" t="s">
        <v>7476</v>
      </c>
      <c r="I933" s="1">
        <v>2</v>
      </c>
      <c r="J933" s="1">
        <v>2</v>
      </c>
      <c r="K933" t="s">
        <v>8103</v>
      </c>
      <c r="L933" s="5">
        <f>VLOOKUP(D:D,[1]Munka2!$A:$B,2,FALSE)</f>
        <v>1</v>
      </c>
      <c r="M933" s="5">
        <f>_xlfn.IFNA(Táblázat1[[#This Row],[Kész2020]],0)</f>
        <v>1</v>
      </c>
      <c r="N933" s="5">
        <f>IF(Táblázat1[[#This Row],[Karb./akt.év]]-Táblázat1[[#This Row],[Kész2020_2]]&lt;0,0,Táblázat1[[#This Row],[Karb./akt.év]]-Táblázat1[[#This Row],[Kész2020_2]])</f>
        <v>1</v>
      </c>
    </row>
    <row r="934" spans="1:14" hidden="1" x14ac:dyDescent="0.25">
      <c r="A934" s="17" t="s">
        <v>10</v>
      </c>
      <c r="B934" s="17" t="s">
        <v>7483</v>
      </c>
      <c r="C934" s="17" t="s">
        <v>1739</v>
      </c>
      <c r="D934" s="17" t="s">
        <v>7421</v>
      </c>
      <c r="E934" s="17" t="s">
        <v>3711</v>
      </c>
      <c r="F934" s="17" t="s">
        <v>3712</v>
      </c>
      <c r="G934" s="17" t="s">
        <v>6157</v>
      </c>
      <c r="H934" t="s">
        <v>7476</v>
      </c>
      <c r="I934" s="1">
        <v>2</v>
      </c>
      <c r="J934" s="1">
        <v>2</v>
      </c>
      <c r="K934" t="s">
        <v>6633</v>
      </c>
      <c r="L934" s="5">
        <f>VLOOKUP(D:D,[1]Munka2!$A:$B,2,FALSE)</f>
        <v>1</v>
      </c>
      <c r="M934" s="5">
        <f>_xlfn.IFNA(Táblázat1[[#This Row],[Kész2020]],0)</f>
        <v>1</v>
      </c>
      <c r="N934" s="5">
        <f>IF(Táblázat1[[#This Row],[Karb./akt.év]]-Táblázat1[[#This Row],[Kész2020_2]]&lt;0,0,Táblázat1[[#This Row],[Karb./akt.év]]-Táblázat1[[#This Row],[Kész2020_2]])</f>
        <v>1</v>
      </c>
    </row>
    <row r="935" spans="1:14" x14ac:dyDescent="0.25">
      <c r="A935" s="17" t="s">
        <v>10</v>
      </c>
      <c r="B935" s="17" t="s">
        <v>1733</v>
      </c>
      <c r="C935" s="17" t="s">
        <v>1739</v>
      </c>
      <c r="D935" s="17" t="s">
        <v>3593</v>
      </c>
      <c r="E935" s="17" t="s">
        <v>4355</v>
      </c>
      <c r="F935" s="17" t="s">
        <v>4356</v>
      </c>
      <c r="G935" s="17" t="s">
        <v>6181</v>
      </c>
      <c r="H935" t="s">
        <v>7476</v>
      </c>
      <c r="I935" s="1">
        <v>2</v>
      </c>
      <c r="J935" s="1">
        <v>2</v>
      </c>
      <c r="K935" t="s">
        <v>6637</v>
      </c>
      <c r="L935" s="5" t="e">
        <f>VLOOKUP(D:D,[1]Munka2!$A:$B,2,FALSE)</f>
        <v>#N/A</v>
      </c>
      <c r="M935" s="5">
        <f>_xlfn.IFNA(Táblázat1[[#This Row],[Kész2020]],0)</f>
        <v>0</v>
      </c>
      <c r="N935" s="5">
        <f>IF(Táblázat1[[#This Row],[Karb./akt.év]]-Táblázat1[[#This Row],[Kész2020_2]]&lt;0,0,Táblázat1[[#This Row],[Karb./akt.év]]-Táblázat1[[#This Row],[Kész2020_2]])</f>
        <v>2</v>
      </c>
    </row>
    <row r="936" spans="1:14" hidden="1" x14ac:dyDescent="0.25">
      <c r="A936" s="17" t="s">
        <v>10</v>
      </c>
      <c r="B936" s="17" t="s">
        <v>6993</v>
      </c>
      <c r="C936" s="17" t="s">
        <v>1739</v>
      </c>
      <c r="D936" s="17" t="s">
        <v>2197</v>
      </c>
      <c r="E936" s="17" t="s">
        <v>4052</v>
      </c>
      <c r="F936" s="17" t="s">
        <v>3598</v>
      </c>
      <c r="G936" s="17" t="s">
        <v>5405</v>
      </c>
      <c r="H936" t="s">
        <v>7476</v>
      </c>
      <c r="I936" s="1">
        <v>2</v>
      </c>
      <c r="J936" s="1">
        <v>2</v>
      </c>
      <c r="K936" t="s">
        <v>7017</v>
      </c>
      <c r="L936" s="5">
        <f>VLOOKUP(D:D,[1]Munka2!$A:$B,2,FALSE)</f>
        <v>1</v>
      </c>
      <c r="M936" s="5">
        <f>_xlfn.IFNA(Táblázat1[[#This Row],[Kész2020]],0)</f>
        <v>1</v>
      </c>
      <c r="N936" s="5">
        <f>IF(Táblázat1[[#This Row],[Karb./akt.év]]-Táblázat1[[#This Row],[Kész2020_2]]&lt;0,0,Táblázat1[[#This Row],[Karb./akt.év]]-Táblázat1[[#This Row],[Kész2020_2]])</f>
        <v>1</v>
      </c>
    </row>
    <row r="937" spans="1:14" hidden="1" x14ac:dyDescent="0.25">
      <c r="A937" s="17" t="s">
        <v>10</v>
      </c>
      <c r="B937" s="17" t="s">
        <v>886</v>
      </c>
      <c r="C937" s="17" t="s">
        <v>1739</v>
      </c>
      <c r="D937" s="17" t="s">
        <v>2670</v>
      </c>
      <c r="E937" s="17" t="s">
        <v>4266</v>
      </c>
      <c r="F937" s="17" t="s">
        <v>4267</v>
      </c>
      <c r="G937" s="17" t="s">
        <v>5819</v>
      </c>
      <c r="H937" t="s">
        <v>7476</v>
      </c>
      <c r="I937" s="1">
        <v>2</v>
      </c>
      <c r="J937" s="1">
        <v>2</v>
      </c>
      <c r="K937" t="s">
        <v>6784</v>
      </c>
      <c r="L937" s="5">
        <f>VLOOKUP(D:D,[1]Munka2!$A:$B,2,FALSE)</f>
        <v>1</v>
      </c>
      <c r="M937" s="5">
        <f>_xlfn.IFNA(Táblázat1[[#This Row],[Kész2020]],0)</f>
        <v>1</v>
      </c>
      <c r="N937" s="5">
        <f>IF(Táblázat1[[#This Row],[Karb./akt.év]]-Táblázat1[[#This Row],[Kész2020_2]]&lt;0,0,Táblázat1[[#This Row],[Karb./akt.év]]-Táblázat1[[#This Row],[Kész2020_2]])</f>
        <v>1</v>
      </c>
    </row>
    <row r="938" spans="1:14" hidden="1" x14ac:dyDescent="0.25">
      <c r="A938" s="17" t="s">
        <v>10</v>
      </c>
      <c r="B938" s="17" t="s">
        <v>1443</v>
      </c>
      <c r="C938" s="17" t="s">
        <v>1739</v>
      </c>
      <c r="D938" s="17" t="s">
        <v>3274</v>
      </c>
      <c r="E938" s="17" t="s">
        <v>3804</v>
      </c>
      <c r="F938" s="17" t="s">
        <v>3805</v>
      </c>
      <c r="G938" s="17" t="s">
        <v>6349</v>
      </c>
      <c r="H938" t="s">
        <v>7476</v>
      </c>
      <c r="I938" s="1">
        <v>2</v>
      </c>
      <c r="J938" s="1">
        <v>2</v>
      </c>
      <c r="K938" t="s">
        <v>6635</v>
      </c>
      <c r="L938" s="5">
        <f>VLOOKUP(D:D,[1]Munka2!$A:$B,2,FALSE)</f>
        <v>1</v>
      </c>
      <c r="M938" s="5">
        <f>_xlfn.IFNA(Táblázat1[[#This Row],[Kész2020]],0)</f>
        <v>1</v>
      </c>
      <c r="N938" s="5">
        <f>IF(Táblázat1[[#This Row],[Karb./akt.év]]-Táblázat1[[#This Row],[Kész2020_2]]&lt;0,0,Táblázat1[[#This Row],[Karb./akt.év]]-Táblázat1[[#This Row],[Kész2020_2]])</f>
        <v>1</v>
      </c>
    </row>
    <row r="939" spans="1:14" hidden="1" x14ac:dyDescent="0.25">
      <c r="A939" s="17" t="s">
        <v>10</v>
      </c>
      <c r="B939" s="17" t="s">
        <v>6955</v>
      </c>
      <c r="C939" s="17" t="s">
        <v>1739</v>
      </c>
      <c r="D939" s="17" t="s">
        <v>2240</v>
      </c>
      <c r="E939" s="17" t="s">
        <v>4071</v>
      </c>
      <c r="F939" s="17" t="s">
        <v>4072</v>
      </c>
      <c r="G939" s="17" t="s">
        <v>5440</v>
      </c>
      <c r="H939" t="s">
        <v>7476</v>
      </c>
      <c r="I939" s="1">
        <v>2</v>
      </c>
      <c r="J939" s="1">
        <v>2</v>
      </c>
      <c r="K939" t="s">
        <v>6642</v>
      </c>
      <c r="L939" s="5">
        <f>VLOOKUP(D:D,[1]Munka2!$A:$B,2,FALSE)</f>
        <v>1</v>
      </c>
      <c r="M939" s="5">
        <f>_xlfn.IFNA(Táblázat1[[#This Row],[Kész2020]],0)</f>
        <v>1</v>
      </c>
      <c r="N939" s="5">
        <f>IF(Táblázat1[[#This Row],[Karb./akt.év]]-Táblázat1[[#This Row],[Kész2020_2]]&lt;0,0,Táblázat1[[#This Row],[Karb./akt.év]]-Táblázat1[[#This Row],[Kész2020_2]])</f>
        <v>1</v>
      </c>
    </row>
    <row r="940" spans="1:14" hidden="1" x14ac:dyDescent="0.25">
      <c r="A940" s="17" t="s">
        <v>10</v>
      </c>
      <c r="B940" s="17" t="s">
        <v>6978</v>
      </c>
      <c r="C940" s="17" t="s">
        <v>1739</v>
      </c>
      <c r="D940" s="17" t="s">
        <v>2882</v>
      </c>
      <c r="E940" s="17" t="s">
        <v>3641</v>
      </c>
      <c r="F940" s="17" t="s">
        <v>3642</v>
      </c>
      <c r="G940" s="17" t="s">
        <v>6020</v>
      </c>
      <c r="H940" t="s">
        <v>7476</v>
      </c>
      <c r="I940" s="1">
        <v>2</v>
      </c>
      <c r="J940" s="1">
        <v>2</v>
      </c>
      <c r="K940" t="s">
        <v>7354</v>
      </c>
      <c r="L940" s="5">
        <f>VLOOKUP(D:D,[1]Munka2!$A:$B,2,FALSE)</f>
        <v>1</v>
      </c>
      <c r="M940" s="5">
        <f>_xlfn.IFNA(Táblázat1[[#This Row],[Kész2020]],0)</f>
        <v>1</v>
      </c>
      <c r="N940" s="5">
        <f>IF(Táblázat1[[#This Row],[Karb./akt.év]]-Táblázat1[[#This Row],[Kész2020_2]]&lt;0,0,Táblázat1[[#This Row],[Karb./akt.év]]-Táblázat1[[#This Row],[Kész2020_2]])</f>
        <v>1</v>
      </c>
    </row>
    <row r="941" spans="1:14" hidden="1" x14ac:dyDescent="0.25">
      <c r="A941" s="17" t="s">
        <v>10</v>
      </c>
      <c r="B941" s="17" t="s">
        <v>7484</v>
      </c>
      <c r="C941" s="17" t="s">
        <v>1739</v>
      </c>
      <c r="D941" s="17" t="s">
        <v>3373</v>
      </c>
      <c r="E941" s="17" t="s">
        <v>4930</v>
      </c>
      <c r="F941" s="17" t="s">
        <v>4931</v>
      </c>
      <c r="G941" s="17" t="s">
        <v>6438</v>
      </c>
      <c r="H941" t="s">
        <v>7476</v>
      </c>
      <c r="I941" s="1">
        <v>2</v>
      </c>
      <c r="J941" s="1">
        <v>2</v>
      </c>
      <c r="K941" t="s">
        <v>6634</v>
      </c>
      <c r="L941" s="5">
        <f>VLOOKUP(D:D,[1]Munka2!$A:$B,2,FALSE)</f>
        <v>1</v>
      </c>
      <c r="M941" s="5">
        <f>_xlfn.IFNA(Táblázat1[[#This Row],[Kész2020]],0)</f>
        <v>1</v>
      </c>
      <c r="N941" s="5">
        <f>IF(Táblázat1[[#This Row],[Karb./akt.év]]-Táblázat1[[#This Row],[Kész2020_2]]&lt;0,0,Táblázat1[[#This Row],[Karb./akt.év]]-Táblázat1[[#This Row],[Kész2020_2]])</f>
        <v>1</v>
      </c>
    </row>
    <row r="942" spans="1:14" hidden="1" x14ac:dyDescent="0.25">
      <c r="A942" s="17" t="s">
        <v>10</v>
      </c>
      <c r="B942" s="17" t="s">
        <v>1392</v>
      </c>
      <c r="C942" s="17" t="s">
        <v>1739</v>
      </c>
      <c r="D942" s="17" t="s">
        <v>3218</v>
      </c>
      <c r="E942" s="17" t="s">
        <v>3829</v>
      </c>
      <c r="F942" s="17" t="s">
        <v>3830</v>
      </c>
      <c r="G942" s="17" t="s">
        <v>6299</v>
      </c>
      <c r="H942" t="s">
        <v>7476</v>
      </c>
      <c r="I942" s="1">
        <v>2</v>
      </c>
      <c r="J942" s="1">
        <v>2</v>
      </c>
      <c r="K942" t="s">
        <v>6635</v>
      </c>
      <c r="L942" s="5">
        <f>VLOOKUP(D:D,[1]Munka2!$A:$B,2,FALSE)</f>
        <v>1</v>
      </c>
      <c r="M942" s="5">
        <f>_xlfn.IFNA(Táblázat1[[#This Row],[Kész2020]],0)</f>
        <v>1</v>
      </c>
      <c r="N942" s="5">
        <f>IF(Táblázat1[[#This Row],[Karb./akt.év]]-Táblázat1[[#This Row],[Kész2020_2]]&lt;0,0,Táblázat1[[#This Row],[Karb./akt.év]]-Táblázat1[[#This Row],[Kész2020_2]])</f>
        <v>1</v>
      </c>
    </row>
    <row r="943" spans="1:14" hidden="1" x14ac:dyDescent="0.25">
      <c r="A943" s="17" t="s">
        <v>10</v>
      </c>
      <c r="B943" s="17" t="s">
        <v>6996</v>
      </c>
      <c r="C943" s="17" t="s">
        <v>1739</v>
      </c>
      <c r="D943" s="17" t="s">
        <v>3448</v>
      </c>
      <c r="E943" s="17" t="s">
        <v>3740</v>
      </c>
      <c r="F943" s="17" t="s">
        <v>3679</v>
      </c>
      <c r="G943" s="17" t="s">
        <v>6500</v>
      </c>
      <c r="H943" t="s">
        <v>7476</v>
      </c>
      <c r="I943" s="1">
        <v>2</v>
      </c>
      <c r="J943" s="1">
        <v>2</v>
      </c>
      <c r="K943" t="s">
        <v>6635</v>
      </c>
      <c r="L943" s="5">
        <f>VLOOKUP(D:D,[1]Munka2!$A:$B,2,FALSE)</f>
        <v>1</v>
      </c>
      <c r="M943" s="5">
        <f>_xlfn.IFNA(Táblázat1[[#This Row],[Kész2020]],0)</f>
        <v>1</v>
      </c>
      <c r="N943" s="5">
        <f>IF(Táblázat1[[#This Row],[Karb./akt.év]]-Táblázat1[[#This Row],[Kész2020_2]]&lt;0,0,Táblázat1[[#This Row],[Karb./akt.év]]-Táblázat1[[#This Row],[Kész2020_2]])</f>
        <v>1</v>
      </c>
    </row>
    <row r="944" spans="1:14" hidden="1" x14ac:dyDescent="0.25">
      <c r="A944" s="17" t="s">
        <v>10</v>
      </c>
      <c r="B944" s="17" t="s">
        <v>7485</v>
      </c>
      <c r="C944" s="17" t="s">
        <v>1739</v>
      </c>
      <c r="D944" s="17" t="s">
        <v>3507</v>
      </c>
      <c r="E944" s="17" t="s">
        <v>3811</v>
      </c>
      <c r="F944" s="17" t="s">
        <v>3812</v>
      </c>
      <c r="G944" s="17" t="s">
        <v>6546</v>
      </c>
      <c r="H944" t="s">
        <v>7476</v>
      </c>
      <c r="I944" s="1">
        <v>2</v>
      </c>
      <c r="J944" s="1">
        <v>2</v>
      </c>
      <c r="K944" t="s">
        <v>6637</v>
      </c>
      <c r="L944" s="5">
        <f>VLOOKUP(D:D,[1]Munka2!$A:$B,2,FALSE)</f>
        <v>1</v>
      </c>
      <c r="M944" s="5">
        <f>_xlfn.IFNA(Táblázat1[[#This Row],[Kész2020]],0)</f>
        <v>1</v>
      </c>
      <c r="N944" s="5">
        <f>IF(Táblázat1[[#This Row],[Karb./akt.év]]-Táblázat1[[#This Row],[Kész2020_2]]&lt;0,0,Táblázat1[[#This Row],[Karb./akt.év]]-Táblázat1[[#This Row],[Kész2020_2]])</f>
        <v>1</v>
      </c>
    </row>
    <row r="945" spans="1:14" hidden="1" x14ac:dyDescent="0.25">
      <c r="A945" s="17" t="s">
        <v>10</v>
      </c>
      <c r="B945" s="17" t="s">
        <v>1651</v>
      </c>
      <c r="C945" s="17" t="s">
        <v>1739</v>
      </c>
      <c r="D945" s="17" t="s">
        <v>3508</v>
      </c>
      <c r="E945" s="17" t="s">
        <v>3738</v>
      </c>
      <c r="F945" s="17" t="s">
        <v>3739</v>
      </c>
      <c r="G945" s="17" t="s">
        <v>6547</v>
      </c>
      <c r="H945" t="s">
        <v>7476</v>
      </c>
      <c r="I945" s="1">
        <v>2</v>
      </c>
      <c r="J945" s="1">
        <v>2</v>
      </c>
      <c r="K945" t="s">
        <v>6642</v>
      </c>
      <c r="L945" s="5">
        <f>VLOOKUP(D:D,[1]Munka2!$A:$B,2,FALSE)</f>
        <v>1</v>
      </c>
      <c r="M945" s="5">
        <f>_xlfn.IFNA(Táblázat1[[#This Row],[Kész2020]],0)</f>
        <v>1</v>
      </c>
      <c r="N945" s="5">
        <f>IF(Táblázat1[[#This Row],[Karb./akt.év]]-Táblázat1[[#This Row],[Kész2020_2]]&lt;0,0,Táblázat1[[#This Row],[Karb./akt.év]]-Táblázat1[[#This Row],[Kész2020_2]])</f>
        <v>1</v>
      </c>
    </row>
    <row r="946" spans="1:14" hidden="1" x14ac:dyDescent="0.25">
      <c r="A946" s="17" t="s">
        <v>10</v>
      </c>
      <c r="B946" s="17" t="s">
        <v>1436</v>
      </c>
      <c r="C946" s="17" t="s">
        <v>1739</v>
      </c>
      <c r="D946" s="17" t="s">
        <v>3267</v>
      </c>
      <c r="E946" s="17" t="s">
        <v>3682</v>
      </c>
      <c r="F946" s="17" t="s">
        <v>3679</v>
      </c>
      <c r="G946" s="17" t="s">
        <v>6341</v>
      </c>
      <c r="H946" t="s">
        <v>7476</v>
      </c>
      <c r="I946" s="1">
        <v>2</v>
      </c>
      <c r="J946" s="1">
        <v>2</v>
      </c>
      <c r="K946" t="s">
        <v>6635</v>
      </c>
      <c r="L946" s="5">
        <f>VLOOKUP(D:D,[1]Munka2!$A:$B,2,FALSE)</f>
        <v>1</v>
      </c>
      <c r="M946" s="5">
        <f>_xlfn.IFNA(Táblázat1[[#This Row],[Kész2020]],0)</f>
        <v>1</v>
      </c>
      <c r="N946" s="5">
        <f>IF(Táblázat1[[#This Row],[Karb./akt.év]]-Táblázat1[[#This Row],[Kész2020_2]]&lt;0,0,Táblázat1[[#This Row],[Karb./akt.év]]-Táblázat1[[#This Row],[Kész2020_2]])</f>
        <v>1</v>
      </c>
    </row>
    <row r="947" spans="1:14" hidden="1" x14ac:dyDescent="0.25">
      <c r="A947" s="17" t="s">
        <v>10</v>
      </c>
      <c r="B947" s="17" t="s">
        <v>940</v>
      </c>
      <c r="C947" s="17" t="s">
        <v>1739</v>
      </c>
      <c r="D947" s="17" t="s">
        <v>2727</v>
      </c>
      <c r="E947" s="17" t="s">
        <v>3772</v>
      </c>
      <c r="F947" s="17" t="s">
        <v>3755</v>
      </c>
      <c r="G947" s="17" t="s">
        <v>5869</v>
      </c>
      <c r="H947" t="s">
        <v>7476</v>
      </c>
      <c r="I947" s="1">
        <v>2</v>
      </c>
      <c r="J947" s="1">
        <v>2</v>
      </c>
      <c r="K947" t="s">
        <v>6640</v>
      </c>
      <c r="L947" s="5">
        <f>VLOOKUP(D:D,[1]Munka2!$A:$B,2,FALSE)</f>
        <v>1</v>
      </c>
      <c r="M947" s="5">
        <f>_xlfn.IFNA(Táblázat1[[#This Row],[Kész2020]],0)</f>
        <v>1</v>
      </c>
      <c r="N947" s="5">
        <f>IF(Táblázat1[[#This Row],[Karb./akt.év]]-Táblázat1[[#This Row],[Kész2020_2]]&lt;0,0,Táblázat1[[#This Row],[Karb./akt.év]]-Táblázat1[[#This Row],[Kész2020_2]])</f>
        <v>1</v>
      </c>
    </row>
    <row r="948" spans="1:14" hidden="1" x14ac:dyDescent="0.25">
      <c r="A948" s="17" t="s">
        <v>10</v>
      </c>
      <c r="B948" s="17" t="s">
        <v>7003</v>
      </c>
      <c r="C948" s="17" t="s">
        <v>1739</v>
      </c>
      <c r="D948" s="17" t="s">
        <v>3151</v>
      </c>
      <c r="E948" s="17" t="s">
        <v>4026</v>
      </c>
      <c r="F948" s="17" t="s">
        <v>4027</v>
      </c>
      <c r="G948" s="17" t="s">
        <v>6255</v>
      </c>
      <c r="H948" t="s">
        <v>7476</v>
      </c>
      <c r="I948" s="1">
        <v>2</v>
      </c>
      <c r="J948" s="1">
        <v>2</v>
      </c>
      <c r="K948" t="s">
        <v>7014</v>
      </c>
      <c r="L948" s="5">
        <f>VLOOKUP(D:D,[1]Munka2!$A:$B,2,FALSE)</f>
        <v>1</v>
      </c>
      <c r="M948" s="5">
        <f>_xlfn.IFNA(Táblázat1[[#This Row],[Kész2020]],0)</f>
        <v>1</v>
      </c>
      <c r="N948" s="5">
        <f>IF(Táblázat1[[#This Row],[Karb./akt.év]]-Táblázat1[[#This Row],[Kész2020_2]]&lt;0,0,Táblázat1[[#This Row],[Karb./akt.év]]-Táblázat1[[#This Row],[Kész2020_2]])</f>
        <v>1</v>
      </c>
    </row>
    <row r="949" spans="1:14" hidden="1" x14ac:dyDescent="0.25">
      <c r="A949" s="17" t="s">
        <v>10</v>
      </c>
      <c r="B949" s="17" t="s">
        <v>7486</v>
      </c>
      <c r="C949" s="17" t="s">
        <v>1739</v>
      </c>
      <c r="D949" s="17" t="s">
        <v>2324</v>
      </c>
      <c r="E949" s="17" t="s">
        <v>4183</v>
      </c>
      <c r="F949" s="17" t="s">
        <v>4184</v>
      </c>
      <c r="G949" s="17" t="s">
        <v>5516</v>
      </c>
      <c r="H949" t="s">
        <v>7476</v>
      </c>
      <c r="I949" s="1">
        <v>2</v>
      </c>
      <c r="J949" s="1">
        <v>2</v>
      </c>
      <c r="K949" t="s">
        <v>6642</v>
      </c>
      <c r="L949" s="5">
        <f>VLOOKUP(D:D,[1]Munka2!$A:$B,2,FALSE)</f>
        <v>1</v>
      </c>
      <c r="M949" s="5">
        <f>_xlfn.IFNA(Táblázat1[[#This Row],[Kész2020]],0)</f>
        <v>1</v>
      </c>
      <c r="N949" s="5">
        <f>IF(Táblázat1[[#This Row],[Karb./akt.év]]-Táblázat1[[#This Row],[Kész2020_2]]&lt;0,0,Táblázat1[[#This Row],[Karb./akt.év]]-Táblázat1[[#This Row],[Kész2020_2]])</f>
        <v>1</v>
      </c>
    </row>
    <row r="950" spans="1:14" hidden="1" x14ac:dyDescent="0.25">
      <c r="A950" s="17" t="s">
        <v>10</v>
      </c>
      <c r="B950" s="17" t="s">
        <v>6954</v>
      </c>
      <c r="C950" s="17" t="s">
        <v>1739</v>
      </c>
      <c r="D950" s="17" t="s">
        <v>3238</v>
      </c>
      <c r="E950" s="17" t="s">
        <v>3802</v>
      </c>
      <c r="F950" s="17" t="s">
        <v>3803</v>
      </c>
      <c r="G950" s="17" t="s">
        <v>6315</v>
      </c>
      <c r="H950" t="s">
        <v>7476</v>
      </c>
      <c r="I950" s="1">
        <v>2</v>
      </c>
      <c r="J950" s="1">
        <v>2</v>
      </c>
      <c r="K950" t="s">
        <v>6635</v>
      </c>
      <c r="L950" s="5">
        <f>VLOOKUP(D:D,[1]Munka2!$A:$B,2,FALSE)</f>
        <v>1</v>
      </c>
      <c r="M950" s="5">
        <f>_xlfn.IFNA(Táblázat1[[#This Row],[Kész2020]],0)</f>
        <v>1</v>
      </c>
      <c r="N950" s="5">
        <f>IF(Táblázat1[[#This Row],[Karb./akt.év]]-Táblázat1[[#This Row],[Kész2020_2]]&lt;0,0,Táblázat1[[#This Row],[Karb./akt.év]]-Táblázat1[[#This Row],[Kész2020_2]])</f>
        <v>1</v>
      </c>
    </row>
    <row r="951" spans="1:14" hidden="1" x14ac:dyDescent="0.25">
      <c r="A951" s="17" t="s">
        <v>10</v>
      </c>
      <c r="B951" s="17" t="s">
        <v>101</v>
      </c>
      <c r="C951" s="17" t="s">
        <v>1739</v>
      </c>
      <c r="D951" s="17" t="s">
        <v>1840</v>
      </c>
      <c r="E951" s="17" t="s">
        <v>3676</v>
      </c>
      <c r="F951" s="17" t="s">
        <v>3598</v>
      </c>
      <c r="G951" s="17" t="s">
        <v>5072</v>
      </c>
      <c r="H951" t="s">
        <v>7476</v>
      </c>
      <c r="I951" s="1">
        <v>2</v>
      </c>
      <c r="J951" s="1">
        <v>2</v>
      </c>
      <c r="K951" t="s">
        <v>8101</v>
      </c>
      <c r="L951" s="5">
        <f>VLOOKUP(D:D,[1]Munka2!$A:$B,2,FALSE)</f>
        <v>1</v>
      </c>
      <c r="M951" s="5">
        <f>_xlfn.IFNA(Táblázat1[[#This Row],[Kész2020]],0)</f>
        <v>1</v>
      </c>
      <c r="N951" s="5">
        <f>IF(Táblázat1[[#This Row],[Karb./akt.év]]-Táblázat1[[#This Row],[Kész2020_2]]&lt;0,0,Táblázat1[[#This Row],[Karb./akt.év]]-Táblázat1[[#This Row],[Kész2020_2]])</f>
        <v>1</v>
      </c>
    </row>
    <row r="952" spans="1:14" hidden="1" x14ac:dyDescent="0.25">
      <c r="A952" s="17" t="s">
        <v>10</v>
      </c>
      <c r="B952" s="17" t="s">
        <v>6958</v>
      </c>
      <c r="C952" s="17" t="s">
        <v>1739</v>
      </c>
      <c r="D952" s="17" t="s">
        <v>2576</v>
      </c>
      <c r="E952" s="17" t="s">
        <v>4265</v>
      </c>
      <c r="F952" s="17" t="s">
        <v>3598</v>
      </c>
      <c r="G952" s="17" t="s">
        <v>5741</v>
      </c>
      <c r="H952" t="s">
        <v>7476</v>
      </c>
      <c r="I952" s="1">
        <v>2</v>
      </c>
      <c r="J952" s="1">
        <v>2</v>
      </c>
      <c r="K952" t="s">
        <v>6641</v>
      </c>
      <c r="L952" s="5">
        <f>VLOOKUP(D:D,[1]Munka2!$A:$B,2,FALSE)</f>
        <v>1</v>
      </c>
      <c r="M952" s="5">
        <f>_xlfn.IFNA(Táblázat1[[#This Row],[Kész2020]],0)</f>
        <v>1</v>
      </c>
      <c r="N952" s="5">
        <f>IF(Táblázat1[[#This Row],[Karb./akt.év]]-Táblázat1[[#This Row],[Kész2020_2]]&lt;0,0,Táblázat1[[#This Row],[Karb./akt.év]]-Táblázat1[[#This Row],[Kész2020_2]])</f>
        <v>1</v>
      </c>
    </row>
    <row r="953" spans="1:14" hidden="1" x14ac:dyDescent="0.25">
      <c r="A953" s="17" t="s">
        <v>10</v>
      </c>
      <c r="B953" s="17" t="s">
        <v>751</v>
      </c>
      <c r="C953" s="17" t="s">
        <v>1739</v>
      </c>
      <c r="D953" s="17" t="s">
        <v>2526</v>
      </c>
      <c r="E953" s="17" t="s">
        <v>3680</v>
      </c>
      <c r="F953" s="17" t="s">
        <v>3681</v>
      </c>
      <c r="G953" s="17" t="s">
        <v>5696</v>
      </c>
      <c r="H953" t="s">
        <v>7476</v>
      </c>
      <c r="I953" s="1">
        <v>2</v>
      </c>
      <c r="J953" s="1">
        <v>2</v>
      </c>
      <c r="K953" t="s">
        <v>6637</v>
      </c>
      <c r="L953" s="5">
        <f>VLOOKUP(D:D,[1]Munka2!$A:$B,2,FALSE)</f>
        <v>1</v>
      </c>
      <c r="M953" s="5">
        <f>_xlfn.IFNA(Táblázat1[[#This Row],[Kész2020]],0)</f>
        <v>1</v>
      </c>
      <c r="N953" s="5">
        <f>IF(Táblázat1[[#This Row],[Karb./akt.év]]-Táblázat1[[#This Row],[Kész2020_2]]&lt;0,0,Táblázat1[[#This Row],[Karb./akt.év]]-Táblázat1[[#This Row],[Kész2020_2]])</f>
        <v>1</v>
      </c>
    </row>
    <row r="954" spans="1:14" hidden="1" x14ac:dyDescent="0.25">
      <c r="A954" s="17" t="s">
        <v>10</v>
      </c>
      <c r="B954" s="17" t="s">
        <v>6976</v>
      </c>
      <c r="C954" s="17" t="s">
        <v>1739</v>
      </c>
      <c r="D954" s="17" t="s">
        <v>3138</v>
      </c>
      <c r="E954" s="17" t="s">
        <v>3697</v>
      </c>
      <c r="F954" s="17" t="s">
        <v>3698</v>
      </c>
      <c r="G954" s="17" t="s">
        <v>6241</v>
      </c>
      <c r="H954" t="s">
        <v>7476</v>
      </c>
      <c r="I954" s="1">
        <v>2</v>
      </c>
      <c r="J954" s="1">
        <v>2</v>
      </c>
      <c r="K954" t="s">
        <v>6639</v>
      </c>
      <c r="L954" s="5">
        <f>VLOOKUP(D:D,[1]Munka2!$A:$B,2,FALSE)</f>
        <v>1</v>
      </c>
      <c r="M954" s="5">
        <f>_xlfn.IFNA(Táblázat1[[#This Row],[Kész2020]],0)</f>
        <v>1</v>
      </c>
      <c r="N954" s="5">
        <f>IF(Táblázat1[[#This Row],[Karb./akt.év]]-Táblázat1[[#This Row],[Kész2020_2]]&lt;0,0,Táblázat1[[#This Row],[Karb./akt.év]]-Táblázat1[[#This Row],[Kész2020_2]])</f>
        <v>1</v>
      </c>
    </row>
    <row r="955" spans="1:14" hidden="1" x14ac:dyDescent="0.25">
      <c r="A955" s="17" t="s">
        <v>10</v>
      </c>
      <c r="B955" s="17" t="s">
        <v>1470</v>
      </c>
      <c r="C955" s="17" t="s">
        <v>1739</v>
      </c>
      <c r="D955" s="17" t="s">
        <v>3304</v>
      </c>
      <c r="E955" s="17" t="s">
        <v>4248</v>
      </c>
      <c r="F955" s="17" t="s">
        <v>4249</v>
      </c>
      <c r="G955" s="17" t="s">
        <v>6379</v>
      </c>
      <c r="H955" t="s">
        <v>7476</v>
      </c>
      <c r="I955" s="1">
        <v>2</v>
      </c>
      <c r="J955" s="1">
        <v>2</v>
      </c>
      <c r="K955" t="s">
        <v>6640</v>
      </c>
      <c r="L955" s="5">
        <f>VLOOKUP(D:D,[1]Munka2!$A:$B,2,FALSE)</f>
        <v>1</v>
      </c>
      <c r="M955" s="5">
        <f>_xlfn.IFNA(Táblázat1[[#This Row],[Kész2020]],0)</f>
        <v>1</v>
      </c>
      <c r="N955" s="5">
        <f>IF(Táblázat1[[#This Row],[Karb./akt.év]]-Táblázat1[[#This Row],[Kész2020_2]]&lt;0,0,Táblázat1[[#This Row],[Karb./akt.év]]-Táblázat1[[#This Row],[Kész2020_2]])</f>
        <v>1</v>
      </c>
    </row>
    <row r="956" spans="1:14" hidden="1" x14ac:dyDescent="0.25">
      <c r="A956" s="17" t="s">
        <v>10</v>
      </c>
      <c r="B956" s="17" t="s">
        <v>7487</v>
      </c>
      <c r="C956" s="17" t="s">
        <v>1739</v>
      </c>
      <c r="D956" s="17" t="s">
        <v>2282</v>
      </c>
      <c r="E956" s="17" t="s">
        <v>3818</v>
      </c>
      <c r="F956" s="17" t="s">
        <v>3819</v>
      </c>
      <c r="G956" s="17" t="s">
        <v>5451</v>
      </c>
      <c r="H956" t="s">
        <v>7476</v>
      </c>
      <c r="I956" s="1">
        <v>2</v>
      </c>
      <c r="J956" s="1">
        <v>2</v>
      </c>
      <c r="K956" t="s">
        <v>6634</v>
      </c>
      <c r="L956" s="5">
        <f>VLOOKUP(D:D,[1]Munka2!$A:$B,2,FALSE)</f>
        <v>1</v>
      </c>
      <c r="M956" s="5">
        <f>_xlfn.IFNA(Táblázat1[[#This Row],[Kész2020]],0)</f>
        <v>1</v>
      </c>
      <c r="N956" s="5">
        <f>IF(Táblázat1[[#This Row],[Karb./akt.év]]-Táblázat1[[#This Row],[Kész2020_2]]&lt;0,0,Táblázat1[[#This Row],[Karb./akt.év]]-Táblázat1[[#This Row],[Kész2020_2]])</f>
        <v>1</v>
      </c>
    </row>
    <row r="957" spans="1:14" hidden="1" x14ac:dyDescent="0.25">
      <c r="A957" s="17" t="s">
        <v>10</v>
      </c>
      <c r="B957" s="17" t="s">
        <v>6984</v>
      </c>
      <c r="C957" s="17" t="s">
        <v>1739</v>
      </c>
      <c r="D957" s="17" t="s">
        <v>3372</v>
      </c>
      <c r="E957" s="17" t="s">
        <v>3790</v>
      </c>
      <c r="F957" s="17" t="s">
        <v>3791</v>
      </c>
      <c r="G957" s="17" t="s">
        <v>6437</v>
      </c>
      <c r="H957" t="s">
        <v>7476</v>
      </c>
      <c r="I957" s="1">
        <v>2</v>
      </c>
      <c r="J957" s="1">
        <v>2</v>
      </c>
      <c r="K957" t="s">
        <v>6784</v>
      </c>
      <c r="L957" s="5">
        <f>VLOOKUP(D:D,[1]Munka2!$A:$B,2,FALSE)</f>
        <v>1</v>
      </c>
      <c r="M957" s="5">
        <f>_xlfn.IFNA(Táblázat1[[#This Row],[Kész2020]],0)</f>
        <v>1</v>
      </c>
      <c r="N957" s="5">
        <f>IF(Táblázat1[[#This Row],[Karb./akt.év]]-Táblázat1[[#This Row],[Kész2020_2]]&lt;0,0,Táblázat1[[#This Row],[Karb./akt.év]]-Táblázat1[[#This Row],[Kész2020_2]])</f>
        <v>1</v>
      </c>
    </row>
    <row r="958" spans="1:14" hidden="1" x14ac:dyDescent="0.25">
      <c r="A958" s="17" t="s">
        <v>10</v>
      </c>
      <c r="B958" s="17" t="s">
        <v>6991</v>
      </c>
      <c r="C958" s="17" t="s">
        <v>1739</v>
      </c>
      <c r="D958" s="17" t="s">
        <v>2723</v>
      </c>
      <c r="E958" s="17" t="s">
        <v>3650</v>
      </c>
      <c r="F958" s="17" t="s">
        <v>3651</v>
      </c>
      <c r="G958" s="17" t="s">
        <v>5864</v>
      </c>
      <c r="H958" t="s">
        <v>7476</v>
      </c>
      <c r="I958" s="1">
        <v>2</v>
      </c>
      <c r="J958" s="1">
        <v>2</v>
      </c>
      <c r="K958" t="s">
        <v>6639</v>
      </c>
      <c r="L958" s="5">
        <f>VLOOKUP(D:D,[1]Munka2!$A:$B,2,FALSE)</f>
        <v>1</v>
      </c>
      <c r="M958" s="5">
        <f>_xlfn.IFNA(Táblázat1[[#This Row],[Kész2020]],0)</f>
        <v>1</v>
      </c>
      <c r="N958" s="5">
        <f>IF(Táblázat1[[#This Row],[Karb./akt.év]]-Táblázat1[[#This Row],[Kész2020_2]]&lt;0,0,Táblázat1[[#This Row],[Karb./akt.év]]-Táblázat1[[#This Row],[Kész2020_2]])</f>
        <v>1</v>
      </c>
    </row>
    <row r="959" spans="1:14" hidden="1" x14ac:dyDescent="0.25">
      <c r="A959" s="17" t="s">
        <v>10</v>
      </c>
      <c r="B959" s="17" t="s">
        <v>614</v>
      </c>
      <c r="C959" s="17" t="s">
        <v>1739</v>
      </c>
      <c r="D959" s="17" t="s">
        <v>2388</v>
      </c>
      <c r="E959" s="17" t="s">
        <v>4133</v>
      </c>
      <c r="F959" s="17" t="s">
        <v>4134</v>
      </c>
      <c r="G959" s="17" t="s">
        <v>5574</v>
      </c>
      <c r="H959" t="s">
        <v>7476</v>
      </c>
      <c r="I959" s="1">
        <v>2</v>
      </c>
      <c r="J959" s="1">
        <v>2</v>
      </c>
      <c r="K959" t="s">
        <v>8102</v>
      </c>
      <c r="L959" s="5">
        <f>VLOOKUP(D:D,[1]Munka2!$A:$B,2,FALSE)</f>
        <v>1</v>
      </c>
      <c r="M959" s="5">
        <f>_xlfn.IFNA(Táblázat1[[#This Row],[Kész2020]],0)</f>
        <v>1</v>
      </c>
      <c r="N959" s="5">
        <f>IF(Táblázat1[[#This Row],[Karb./akt.év]]-Táblázat1[[#This Row],[Kész2020_2]]&lt;0,0,Táblázat1[[#This Row],[Karb./akt.év]]-Táblázat1[[#This Row],[Kész2020_2]])</f>
        <v>1</v>
      </c>
    </row>
    <row r="960" spans="1:14" hidden="1" x14ac:dyDescent="0.25">
      <c r="A960" s="17" t="s">
        <v>10</v>
      </c>
      <c r="B960" s="17" t="s">
        <v>229</v>
      </c>
      <c r="C960" s="17" t="s">
        <v>1739</v>
      </c>
      <c r="D960" s="17" t="s">
        <v>1973</v>
      </c>
      <c r="E960" s="17" t="s">
        <v>3842</v>
      </c>
      <c r="F960" s="17" t="s">
        <v>3843</v>
      </c>
      <c r="G960" s="17" t="s">
        <v>5197</v>
      </c>
      <c r="H960" t="s">
        <v>7476</v>
      </c>
      <c r="I960" s="1">
        <v>2</v>
      </c>
      <c r="J960" s="1">
        <v>2</v>
      </c>
      <c r="K960" t="s">
        <v>6633</v>
      </c>
      <c r="L960" s="5">
        <f>VLOOKUP(D:D,[1]Munka2!$A:$B,2,FALSE)</f>
        <v>1</v>
      </c>
      <c r="M960" s="5">
        <f>_xlfn.IFNA(Táblázat1[[#This Row],[Kész2020]],0)</f>
        <v>1</v>
      </c>
      <c r="N960" s="5">
        <f>IF(Táblázat1[[#This Row],[Karb./akt.év]]-Táblázat1[[#This Row],[Kész2020_2]]&lt;0,0,Táblázat1[[#This Row],[Karb./akt.év]]-Táblázat1[[#This Row],[Kész2020_2]])</f>
        <v>1</v>
      </c>
    </row>
    <row r="961" spans="1:14" hidden="1" x14ac:dyDescent="0.25">
      <c r="A961" s="17" t="s">
        <v>10</v>
      </c>
      <c r="B961" s="17" t="s">
        <v>317</v>
      </c>
      <c r="C961" s="17" t="s">
        <v>1739</v>
      </c>
      <c r="D961" s="17" t="s">
        <v>2066</v>
      </c>
      <c r="E961" s="17" t="s">
        <v>3641</v>
      </c>
      <c r="F961" s="17" t="s">
        <v>3642</v>
      </c>
      <c r="G961" s="17" t="s">
        <v>5283</v>
      </c>
      <c r="H961" t="s">
        <v>7476</v>
      </c>
      <c r="I961" s="1">
        <v>2</v>
      </c>
      <c r="J961" s="1">
        <v>2</v>
      </c>
      <c r="K961" t="s">
        <v>7354</v>
      </c>
      <c r="L961" s="5">
        <f>VLOOKUP(D:D,[1]Munka2!$A:$B,2,FALSE)</f>
        <v>1</v>
      </c>
      <c r="M961" s="5">
        <f>_xlfn.IFNA(Táblázat1[[#This Row],[Kész2020]],0)</f>
        <v>1</v>
      </c>
      <c r="N961" s="5">
        <f>IF(Táblázat1[[#This Row],[Karb./akt.év]]-Táblázat1[[#This Row],[Kész2020_2]]&lt;0,0,Táblázat1[[#This Row],[Karb./akt.év]]-Táblázat1[[#This Row],[Kész2020_2]])</f>
        <v>1</v>
      </c>
    </row>
    <row r="962" spans="1:14" hidden="1" x14ac:dyDescent="0.25">
      <c r="A962" s="17" t="s">
        <v>10</v>
      </c>
      <c r="B962" s="17" t="s">
        <v>7488</v>
      </c>
      <c r="C962" s="17" t="s">
        <v>1739</v>
      </c>
      <c r="D962" s="17" t="s">
        <v>3418</v>
      </c>
      <c r="E962" s="17" t="s">
        <v>4037</v>
      </c>
      <c r="F962" s="17" t="s">
        <v>4038</v>
      </c>
      <c r="G962" s="17" t="s">
        <v>6474</v>
      </c>
      <c r="H962" t="s">
        <v>7476</v>
      </c>
      <c r="I962" s="1">
        <v>2</v>
      </c>
      <c r="J962" s="1">
        <v>2</v>
      </c>
      <c r="K962" t="s">
        <v>6642</v>
      </c>
      <c r="L962" s="5">
        <f>VLOOKUP(D:D,[1]Munka2!$A:$B,2,FALSE)</f>
        <v>1</v>
      </c>
      <c r="M962" s="5">
        <f>_xlfn.IFNA(Táblázat1[[#This Row],[Kész2020]],0)</f>
        <v>1</v>
      </c>
      <c r="N962" s="5">
        <f>IF(Táblázat1[[#This Row],[Karb./akt.év]]-Táblázat1[[#This Row],[Kész2020_2]]&lt;0,0,Táblázat1[[#This Row],[Karb./akt.év]]-Táblázat1[[#This Row],[Kész2020_2]])</f>
        <v>1</v>
      </c>
    </row>
    <row r="963" spans="1:14" hidden="1" x14ac:dyDescent="0.25">
      <c r="A963" s="17" t="s">
        <v>10</v>
      </c>
      <c r="B963" s="17" t="s">
        <v>1614</v>
      </c>
      <c r="C963" s="17" t="s">
        <v>1739</v>
      </c>
      <c r="D963" s="17" t="s">
        <v>3465</v>
      </c>
      <c r="E963" s="17" t="s">
        <v>4818</v>
      </c>
      <c r="F963" s="17" t="s">
        <v>4819</v>
      </c>
      <c r="G963" s="17" t="s">
        <v>6516</v>
      </c>
      <c r="H963" t="s">
        <v>7476</v>
      </c>
      <c r="I963" s="1">
        <v>2</v>
      </c>
      <c r="J963" s="1">
        <v>2</v>
      </c>
      <c r="K963" t="s">
        <v>8103</v>
      </c>
      <c r="L963" s="5">
        <f>VLOOKUP(D:D,[1]Munka2!$A:$B,2,FALSE)</f>
        <v>1</v>
      </c>
      <c r="M963" s="5">
        <f>_xlfn.IFNA(Táblázat1[[#This Row],[Kész2020]],0)</f>
        <v>1</v>
      </c>
      <c r="N963" s="5">
        <f>IF(Táblázat1[[#This Row],[Karb./akt.év]]-Táblázat1[[#This Row],[Kész2020_2]]&lt;0,0,Táblázat1[[#This Row],[Karb./akt.év]]-Táblázat1[[#This Row],[Kész2020_2]])</f>
        <v>1</v>
      </c>
    </row>
    <row r="964" spans="1:14" hidden="1" x14ac:dyDescent="0.25">
      <c r="A964" s="17" t="s">
        <v>10</v>
      </c>
      <c r="B964" s="17" t="s">
        <v>7489</v>
      </c>
      <c r="C964" s="17" t="s">
        <v>1739</v>
      </c>
      <c r="D964" s="17" t="s">
        <v>2100</v>
      </c>
      <c r="E964" s="17" t="s">
        <v>3959</v>
      </c>
      <c r="F964" s="17" t="s">
        <v>3960</v>
      </c>
      <c r="G964" s="17" t="s">
        <v>5312</v>
      </c>
      <c r="H964" t="s">
        <v>7476</v>
      </c>
      <c r="I964" s="1">
        <v>2</v>
      </c>
      <c r="J964" s="1">
        <v>2</v>
      </c>
      <c r="K964" t="s">
        <v>6640</v>
      </c>
      <c r="L964" s="5">
        <f>VLOOKUP(D:D,[1]Munka2!$A:$B,2,FALSE)</f>
        <v>1</v>
      </c>
      <c r="M964" s="5">
        <f>_xlfn.IFNA(Táblázat1[[#This Row],[Kész2020]],0)</f>
        <v>1</v>
      </c>
      <c r="N964" s="5">
        <f>IF(Táblázat1[[#This Row],[Karb./akt.év]]-Táblázat1[[#This Row],[Kész2020_2]]&lt;0,0,Táblázat1[[#This Row],[Karb./akt.év]]-Táblázat1[[#This Row],[Kész2020_2]])</f>
        <v>1</v>
      </c>
    </row>
    <row r="965" spans="1:14" hidden="1" x14ac:dyDescent="0.25">
      <c r="A965" s="17" t="s">
        <v>10</v>
      </c>
      <c r="B965" s="17" t="s">
        <v>7490</v>
      </c>
      <c r="C965" s="17" t="s">
        <v>1739</v>
      </c>
      <c r="D965" s="17" t="s">
        <v>2725</v>
      </c>
      <c r="E965" s="17" t="s">
        <v>4059</v>
      </c>
      <c r="F965" s="17" t="s">
        <v>3598</v>
      </c>
      <c r="G965" s="17" t="s">
        <v>5867</v>
      </c>
      <c r="H965" t="s">
        <v>7476</v>
      </c>
      <c r="I965" s="1">
        <v>2</v>
      </c>
      <c r="J965" s="1">
        <v>2</v>
      </c>
      <c r="K965" t="s">
        <v>8101</v>
      </c>
      <c r="L965" s="5">
        <f>VLOOKUP(D:D,[1]Munka2!$A:$B,2,FALSE)</f>
        <v>1</v>
      </c>
      <c r="M965" s="5">
        <f>_xlfn.IFNA(Táblázat1[[#This Row],[Kész2020]],0)</f>
        <v>1</v>
      </c>
      <c r="N965" s="5">
        <f>IF(Táblázat1[[#This Row],[Karb./akt.év]]-Táblázat1[[#This Row],[Kész2020_2]]&lt;0,0,Táblázat1[[#This Row],[Karb./akt.év]]-Táblázat1[[#This Row],[Kész2020_2]])</f>
        <v>1</v>
      </c>
    </row>
    <row r="966" spans="1:14" hidden="1" x14ac:dyDescent="0.25">
      <c r="A966" s="17" t="s">
        <v>10</v>
      </c>
      <c r="B966" s="17" t="s">
        <v>6969</v>
      </c>
      <c r="C966" s="17" t="s">
        <v>1739</v>
      </c>
      <c r="D966" s="17" t="s">
        <v>3580</v>
      </c>
      <c r="E966" s="17" t="s">
        <v>4573</v>
      </c>
      <c r="F966" s="17" t="s">
        <v>3598</v>
      </c>
      <c r="G966" s="17" t="s">
        <v>6616</v>
      </c>
      <c r="H966" t="s">
        <v>7476</v>
      </c>
      <c r="I966" s="1">
        <v>2</v>
      </c>
      <c r="J966" s="1">
        <v>2</v>
      </c>
      <c r="K966" t="s">
        <v>6641</v>
      </c>
      <c r="L966" s="5">
        <f>VLOOKUP(D:D,[1]Munka2!$A:$B,2,FALSE)</f>
        <v>1</v>
      </c>
      <c r="M966" s="5">
        <f>_xlfn.IFNA(Táblázat1[[#This Row],[Kész2020]],0)</f>
        <v>1</v>
      </c>
      <c r="N966" s="5">
        <f>IF(Táblázat1[[#This Row],[Karb./akt.év]]-Táblázat1[[#This Row],[Kész2020_2]]&lt;0,0,Táblázat1[[#This Row],[Karb./akt.év]]-Táblázat1[[#This Row],[Kész2020_2]])</f>
        <v>1</v>
      </c>
    </row>
    <row r="967" spans="1:14" hidden="1" x14ac:dyDescent="0.25">
      <c r="A967" s="17" t="s">
        <v>10</v>
      </c>
      <c r="B967" s="17" t="s">
        <v>1499</v>
      </c>
      <c r="C967" s="17" t="s">
        <v>1739</v>
      </c>
      <c r="D967" s="17" t="s">
        <v>3338</v>
      </c>
      <c r="E967" s="17" t="s">
        <v>4308</v>
      </c>
      <c r="F967" s="17" t="s">
        <v>3664</v>
      </c>
      <c r="G967" s="17" t="s">
        <v>6407</v>
      </c>
      <c r="H967" t="s">
        <v>7476</v>
      </c>
      <c r="I967" s="1">
        <v>2</v>
      </c>
      <c r="J967" s="1">
        <v>2</v>
      </c>
      <c r="K967" t="s">
        <v>6638</v>
      </c>
      <c r="L967" s="5">
        <f>VLOOKUP(D:D,[1]Munka2!$A:$B,2,FALSE)</f>
        <v>1</v>
      </c>
      <c r="M967" s="5">
        <f>_xlfn.IFNA(Táblázat1[[#This Row],[Kész2020]],0)</f>
        <v>1</v>
      </c>
      <c r="N967" s="5">
        <f>IF(Táblázat1[[#This Row],[Karb./akt.év]]-Táblázat1[[#This Row],[Kész2020_2]]&lt;0,0,Táblázat1[[#This Row],[Karb./akt.év]]-Táblázat1[[#This Row],[Kész2020_2]])</f>
        <v>1</v>
      </c>
    </row>
    <row r="968" spans="1:14" hidden="1" x14ac:dyDescent="0.25">
      <c r="A968" s="17" t="s">
        <v>10</v>
      </c>
      <c r="B968" s="17" t="s">
        <v>7491</v>
      </c>
      <c r="C968" s="17" t="s">
        <v>1739</v>
      </c>
      <c r="D968" s="17" t="s">
        <v>2334</v>
      </c>
      <c r="E968" s="17" t="s">
        <v>3798</v>
      </c>
      <c r="F968" s="17" t="s">
        <v>3799</v>
      </c>
      <c r="G968" s="17" t="s">
        <v>5526</v>
      </c>
      <c r="H968" t="s">
        <v>7476</v>
      </c>
      <c r="I968" s="1">
        <v>2</v>
      </c>
      <c r="J968" s="1">
        <v>2</v>
      </c>
      <c r="K968" t="s">
        <v>6636</v>
      </c>
      <c r="L968" s="5">
        <f>VLOOKUP(D:D,[1]Munka2!$A:$B,2,FALSE)</f>
        <v>1</v>
      </c>
      <c r="M968" s="5">
        <f>_xlfn.IFNA(Táblázat1[[#This Row],[Kész2020]],0)</f>
        <v>1</v>
      </c>
      <c r="N968" s="5">
        <f>IF(Táblázat1[[#This Row],[Karb./akt.év]]-Táblázat1[[#This Row],[Kész2020_2]]&lt;0,0,Táblázat1[[#This Row],[Karb./akt.év]]-Táblázat1[[#This Row],[Kész2020_2]])</f>
        <v>1</v>
      </c>
    </row>
    <row r="969" spans="1:14" hidden="1" x14ac:dyDescent="0.25">
      <c r="A969" s="17" t="s">
        <v>10</v>
      </c>
      <c r="B969" s="17" t="s">
        <v>1631</v>
      </c>
      <c r="C969" s="17" t="s">
        <v>1739</v>
      </c>
      <c r="D969" s="17" t="s">
        <v>3483</v>
      </c>
      <c r="E969" s="17" t="s">
        <v>4967</v>
      </c>
      <c r="F969" s="17" t="s">
        <v>3598</v>
      </c>
      <c r="G969" s="17" t="s">
        <v>6527</v>
      </c>
      <c r="H969" t="s">
        <v>7476</v>
      </c>
      <c r="I969" s="1">
        <v>2</v>
      </c>
      <c r="J969" s="1">
        <v>2</v>
      </c>
      <c r="K969" t="s">
        <v>6633</v>
      </c>
      <c r="L969" s="5">
        <f>VLOOKUP(D:D,[1]Munka2!$A:$B,2,FALSE)</f>
        <v>1</v>
      </c>
      <c r="M969" s="5">
        <f>_xlfn.IFNA(Táblázat1[[#This Row],[Kész2020]],0)</f>
        <v>1</v>
      </c>
      <c r="N969" s="5">
        <f>IF(Táblázat1[[#This Row],[Karb./akt.év]]-Táblázat1[[#This Row],[Kész2020_2]]&lt;0,0,Táblázat1[[#This Row],[Karb./akt.év]]-Táblázat1[[#This Row],[Kész2020_2]])</f>
        <v>1</v>
      </c>
    </row>
    <row r="970" spans="1:14" hidden="1" x14ac:dyDescent="0.25">
      <c r="A970" s="17" t="s">
        <v>10</v>
      </c>
      <c r="B970" s="17" t="s">
        <v>604</v>
      </c>
      <c r="C970" s="17" t="s">
        <v>1739</v>
      </c>
      <c r="D970" s="17" t="s">
        <v>2377</v>
      </c>
      <c r="E970" s="17" t="s">
        <v>4028</v>
      </c>
      <c r="F970" s="17" t="s">
        <v>4029</v>
      </c>
      <c r="G970" s="17" t="s">
        <v>5565</v>
      </c>
      <c r="H970" t="s">
        <v>7476</v>
      </c>
      <c r="I970" s="1">
        <v>2</v>
      </c>
      <c r="J970" s="1">
        <v>2</v>
      </c>
      <c r="K970" t="s">
        <v>6639</v>
      </c>
      <c r="L970" s="5">
        <f>VLOOKUP(D:D,[1]Munka2!$A:$B,2,FALSE)</f>
        <v>1</v>
      </c>
      <c r="M970" s="5">
        <f>_xlfn.IFNA(Táblázat1[[#This Row],[Kész2020]],0)</f>
        <v>1</v>
      </c>
      <c r="N970" s="5">
        <f>IF(Táblázat1[[#This Row],[Karb./akt.év]]-Táblázat1[[#This Row],[Kész2020_2]]&lt;0,0,Táblázat1[[#This Row],[Karb./akt.év]]-Táblázat1[[#This Row],[Kész2020_2]])</f>
        <v>1</v>
      </c>
    </row>
    <row r="971" spans="1:14" hidden="1" x14ac:dyDescent="0.25">
      <c r="A971" s="17" t="s">
        <v>10</v>
      </c>
      <c r="B971" s="17" t="s">
        <v>6971</v>
      </c>
      <c r="C971" s="17" t="s">
        <v>1739</v>
      </c>
      <c r="D971" s="17" t="s">
        <v>2423</v>
      </c>
      <c r="E971" s="17" t="s">
        <v>3974</v>
      </c>
      <c r="F971" s="17" t="s">
        <v>3708</v>
      </c>
      <c r="G971" s="17" t="s">
        <v>5606</v>
      </c>
      <c r="H971" t="s">
        <v>7476</v>
      </c>
      <c r="I971" s="1">
        <v>2</v>
      </c>
      <c r="J971" s="1">
        <v>2</v>
      </c>
      <c r="K971" t="s">
        <v>6641</v>
      </c>
      <c r="L971" s="5">
        <f>VLOOKUP(D:D,[1]Munka2!$A:$B,2,FALSE)</f>
        <v>1</v>
      </c>
      <c r="M971" s="5">
        <f>_xlfn.IFNA(Táblázat1[[#This Row],[Kész2020]],0)</f>
        <v>1</v>
      </c>
      <c r="N971" s="5">
        <f>IF(Táblázat1[[#This Row],[Karb./akt.év]]-Táblázat1[[#This Row],[Kész2020_2]]&lt;0,0,Táblázat1[[#This Row],[Karb./akt.év]]-Táblázat1[[#This Row],[Kész2020_2]])</f>
        <v>1</v>
      </c>
    </row>
    <row r="972" spans="1:14" hidden="1" x14ac:dyDescent="0.25">
      <c r="A972" s="17" t="s">
        <v>10</v>
      </c>
      <c r="B972" s="17" t="s">
        <v>7492</v>
      </c>
      <c r="C972" s="17" t="s">
        <v>1739</v>
      </c>
      <c r="D972" s="17" t="s">
        <v>3314</v>
      </c>
      <c r="E972" s="17" t="s">
        <v>3897</v>
      </c>
      <c r="F972" s="17" t="s">
        <v>3898</v>
      </c>
      <c r="G972" s="17" t="s">
        <v>6388</v>
      </c>
      <c r="H972" t="s">
        <v>7476</v>
      </c>
      <c r="I972" s="1">
        <v>2</v>
      </c>
      <c r="J972" s="1">
        <v>2</v>
      </c>
      <c r="K972" t="s">
        <v>6637</v>
      </c>
      <c r="L972" s="5">
        <f>VLOOKUP(D:D,[1]Munka2!$A:$B,2,FALSE)</f>
        <v>1</v>
      </c>
      <c r="M972" s="5">
        <f>_xlfn.IFNA(Táblázat1[[#This Row],[Kész2020]],0)</f>
        <v>1</v>
      </c>
      <c r="N972" s="5">
        <f>IF(Táblázat1[[#This Row],[Karb./akt.év]]-Táblázat1[[#This Row],[Kész2020_2]]&lt;0,0,Táblázat1[[#This Row],[Karb./akt.év]]-Táblázat1[[#This Row],[Kész2020_2]])</f>
        <v>1</v>
      </c>
    </row>
    <row r="973" spans="1:14" hidden="1" x14ac:dyDescent="0.25">
      <c r="A973" s="17" t="s">
        <v>10</v>
      </c>
      <c r="B973" s="17" t="s">
        <v>7493</v>
      </c>
      <c r="C973" s="17" t="s">
        <v>1739</v>
      </c>
      <c r="D973" s="17" t="s">
        <v>3174</v>
      </c>
      <c r="E973" s="17" t="s">
        <v>4378</v>
      </c>
      <c r="F973" s="17" t="s">
        <v>4379</v>
      </c>
      <c r="G973" s="17" t="s">
        <v>6268</v>
      </c>
      <c r="H973" t="s">
        <v>7476</v>
      </c>
      <c r="I973" s="1">
        <v>2</v>
      </c>
      <c r="J973" s="1">
        <v>2</v>
      </c>
      <c r="K973" t="s">
        <v>6639</v>
      </c>
      <c r="L973" s="5">
        <f>VLOOKUP(D:D,[1]Munka2!$A:$B,2,FALSE)</f>
        <v>1</v>
      </c>
      <c r="M973" s="5">
        <f>_xlfn.IFNA(Táblázat1[[#This Row],[Kész2020]],0)</f>
        <v>1</v>
      </c>
      <c r="N973" s="5">
        <f>IF(Táblázat1[[#This Row],[Karb./akt.év]]-Táblázat1[[#This Row],[Kész2020_2]]&lt;0,0,Táblázat1[[#This Row],[Karb./akt.év]]-Táblázat1[[#This Row],[Kész2020_2]])</f>
        <v>1</v>
      </c>
    </row>
    <row r="974" spans="1:14" hidden="1" x14ac:dyDescent="0.25">
      <c r="A974" s="17" t="s">
        <v>10</v>
      </c>
      <c r="B974" s="17" t="s">
        <v>309</v>
      </c>
      <c r="C974" s="17" t="s">
        <v>1739</v>
      </c>
      <c r="D974" s="17" t="s">
        <v>2058</v>
      </c>
      <c r="E974" s="17" t="s">
        <v>3888</v>
      </c>
      <c r="F974" s="17" t="s">
        <v>3889</v>
      </c>
      <c r="G974" s="17" t="s">
        <v>5276</v>
      </c>
      <c r="H974" t="s">
        <v>7476</v>
      </c>
      <c r="I974" s="1">
        <v>2</v>
      </c>
      <c r="J974" s="1">
        <v>2</v>
      </c>
      <c r="K974" t="s">
        <v>7354</v>
      </c>
      <c r="L974" s="5">
        <f>VLOOKUP(D:D,[1]Munka2!$A:$B,2,FALSE)</f>
        <v>1</v>
      </c>
      <c r="M974" s="5">
        <f>_xlfn.IFNA(Táblázat1[[#This Row],[Kész2020]],0)</f>
        <v>1</v>
      </c>
      <c r="N974" s="5">
        <f>IF(Táblázat1[[#This Row],[Karb./akt.év]]-Táblázat1[[#This Row],[Kész2020_2]]&lt;0,0,Táblázat1[[#This Row],[Karb./akt.év]]-Táblázat1[[#This Row],[Kész2020_2]])</f>
        <v>1</v>
      </c>
    </row>
    <row r="975" spans="1:14" hidden="1" x14ac:dyDescent="0.25">
      <c r="A975" s="17" t="s">
        <v>10</v>
      </c>
      <c r="B975" s="17" t="s">
        <v>7494</v>
      </c>
      <c r="C975" s="17" t="s">
        <v>1739</v>
      </c>
      <c r="D975" s="17" t="s">
        <v>1870</v>
      </c>
      <c r="E975" s="17" t="s">
        <v>3726</v>
      </c>
      <c r="F975" s="17" t="s">
        <v>3727</v>
      </c>
      <c r="G975" s="17" t="s">
        <v>5102</v>
      </c>
      <c r="H975" t="s">
        <v>7476</v>
      </c>
      <c r="I975" s="1">
        <v>2</v>
      </c>
      <c r="J975" s="1">
        <v>2</v>
      </c>
      <c r="K975" t="s">
        <v>6642</v>
      </c>
      <c r="L975" s="5">
        <f>VLOOKUP(D:D,[1]Munka2!$A:$B,2,FALSE)</f>
        <v>1</v>
      </c>
      <c r="M975" s="5">
        <f>_xlfn.IFNA(Táblázat1[[#This Row],[Kész2020]],0)</f>
        <v>1</v>
      </c>
      <c r="N975" s="5">
        <f>IF(Táblázat1[[#This Row],[Karb./akt.év]]-Táblázat1[[#This Row],[Kész2020_2]]&lt;0,0,Táblázat1[[#This Row],[Karb./akt.év]]-Táblázat1[[#This Row],[Kész2020_2]])</f>
        <v>1</v>
      </c>
    </row>
    <row r="976" spans="1:14" hidden="1" x14ac:dyDescent="0.25">
      <c r="A976" s="17" t="s">
        <v>10</v>
      </c>
      <c r="B976" s="17" t="s">
        <v>1504</v>
      </c>
      <c r="C976" s="17" t="s">
        <v>1739</v>
      </c>
      <c r="D976" s="17" t="s">
        <v>3344</v>
      </c>
      <c r="E976" s="17" t="s">
        <v>3736</v>
      </c>
      <c r="F976" s="17" t="s">
        <v>3737</v>
      </c>
      <c r="G976" s="17" t="s">
        <v>6412</v>
      </c>
      <c r="H976" t="s">
        <v>7476</v>
      </c>
      <c r="I976" s="1">
        <v>2</v>
      </c>
      <c r="J976" s="1">
        <v>2</v>
      </c>
      <c r="K976" t="s">
        <v>6638</v>
      </c>
      <c r="L976" s="5">
        <f>VLOOKUP(D:D,[1]Munka2!$A:$B,2,FALSE)</f>
        <v>1</v>
      </c>
      <c r="M976" s="5">
        <f>_xlfn.IFNA(Táblázat1[[#This Row],[Kész2020]],0)</f>
        <v>1</v>
      </c>
      <c r="N976" s="5">
        <f>IF(Táblázat1[[#This Row],[Karb./akt.év]]-Táblázat1[[#This Row],[Kész2020_2]]&lt;0,0,Táblázat1[[#This Row],[Karb./akt.év]]-Táblázat1[[#This Row],[Kész2020_2]])</f>
        <v>1</v>
      </c>
    </row>
    <row r="977" spans="1:14" hidden="1" x14ac:dyDescent="0.25">
      <c r="A977" s="17" t="s">
        <v>10</v>
      </c>
      <c r="B977" s="17" t="s">
        <v>6985</v>
      </c>
      <c r="C977" s="17" t="s">
        <v>1739</v>
      </c>
      <c r="D977" s="17" t="s">
        <v>2972</v>
      </c>
      <c r="E977" s="17" t="s">
        <v>4677</v>
      </c>
      <c r="F977" s="17" t="s">
        <v>4191</v>
      </c>
      <c r="G977" s="17" t="s">
        <v>6098</v>
      </c>
      <c r="H977" t="s">
        <v>7476</v>
      </c>
      <c r="I977" s="1">
        <v>2</v>
      </c>
      <c r="J977" s="1">
        <v>2</v>
      </c>
      <c r="K977" t="s">
        <v>7354</v>
      </c>
      <c r="L977" s="5">
        <f>VLOOKUP(D:D,[1]Munka2!$A:$B,2,FALSE)</f>
        <v>1</v>
      </c>
      <c r="M977" s="5">
        <f>_xlfn.IFNA(Táblázat1[[#This Row],[Kész2020]],0)</f>
        <v>1</v>
      </c>
      <c r="N977" s="5">
        <f>IF(Táblázat1[[#This Row],[Karb./akt.év]]-Táblázat1[[#This Row],[Kész2020_2]]&lt;0,0,Táblázat1[[#This Row],[Karb./akt.év]]-Táblázat1[[#This Row],[Kész2020_2]])</f>
        <v>1</v>
      </c>
    </row>
    <row r="978" spans="1:14" hidden="1" x14ac:dyDescent="0.25">
      <c r="A978" s="17" t="s">
        <v>10</v>
      </c>
      <c r="B978" s="17" t="s">
        <v>6977</v>
      </c>
      <c r="C978" s="17" t="s">
        <v>1739</v>
      </c>
      <c r="D978" s="17" t="s">
        <v>1967</v>
      </c>
      <c r="E978" s="17" t="s">
        <v>3834</v>
      </c>
      <c r="F978" s="17" t="s">
        <v>3835</v>
      </c>
      <c r="G978" s="17" t="s">
        <v>5191</v>
      </c>
      <c r="H978" t="s">
        <v>7476</v>
      </c>
      <c r="I978" s="1">
        <v>2</v>
      </c>
      <c r="J978" s="1">
        <v>2</v>
      </c>
      <c r="K978" t="s">
        <v>7014</v>
      </c>
      <c r="L978" s="5">
        <f>VLOOKUP(D:D,[1]Munka2!$A:$B,2,FALSE)</f>
        <v>1</v>
      </c>
      <c r="M978" s="5">
        <f>_xlfn.IFNA(Táblázat1[[#This Row],[Kész2020]],0)</f>
        <v>1</v>
      </c>
      <c r="N978" s="5">
        <f>IF(Táblázat1[[#This Row],[Karb./akt.év]]-Táblázat1[[#This Row],[Kész2020_2]]&lt;0,0,Táblázat1[[#This Row],[Karb./akt.év]]-Táblázat1[[#This Row],[Kész2020_2]])</f>
        <v>1</v>
      </c>
    </row>
    <row r="979" spans="1:14" hidden="1" x14ac:dyDescent="0.25">
      <c r="A979" s="17" t="s">
        <v>10</v>
      </c>
      <c r="B979" s="17" t="s">
        <v>7495</v>
      </c>
      <c r="C979" s="17" t="s">
        <v>1739</v>
      </c>
      <c r="D979" s="17" t="s">
        <v>2631</v>
      </c>
      <c r="E979" s="17" t="s">
        <v>4325</v>
      </c>
      <c r="F979" s="17" t="s">
        <v>4326</v>
      </c>
      <c r="G979" s="17" t="s">
        <v>5790</v>
      </c>
      <c r="H979" t="s">
        <v>7476</v>
      </c>
      <c r="I979" s="1">
        <v>2</v>
      </c>
      <c r="J979" s="1">
        <v>2</v>
      </c>
      <c r="K979" t="s">
        <v>6640</v>
      </c>
      <c r="L979" s="5">
        <f>VLOOKUP(D:D,[1]Munka2!$A:$B,2,FALSE)</f>
        <v>1</v>
      </c>
      <c r="M979" s="5">
        <f>_xlfn.IFNA(Táblázat1[[#This Row],[Kész2020]],0)</f>
        <v>1</v>
      </c>
      <c r="N979" s="5">
        <f>IF(Táblázat1[[#This Row],[Karb./akt.év]]-Táblázat1[[#This Row],[Kész2020_2]]&lt;0,0,Táblázat1[[#This Row],[Karb./akt.év]]-Táblázat1[[#This Row],[Kész2020_2]])</f>
        <v>1</v>
      </c>
    </row>
    <row r="980" spans="1:14" hidden="1" x14ac:dyDescent="0.25">
      <c r="A980" s="17" t="s">
        <v>10</v>
      </c>
      <c r="B980" s="17" t="s">
        <v>7496</v>
      </c>
      <c r="C980" s="17" t="s">
        <v>1739</v>
      </c>
      <c r="D980" s="17" t="s">
        <v>1825</v>
      </c>
      <c r="E980" s="17" t="s">
        <v>3669</v>
      </c>
      <c r="F980" s="17" t="s">
        <v>3598</v>
      </c>
      <c r="G980" s="17" t="s">
        <v>5056</v>
      </c>
      <c r="H980" t="s">
        <v>7476</v>
      </c>
      <c r="I980" s="1">
        <v>2</v>
      </c>
      <c r="J980" s="1">
        <v>2</v>
      </c>
      <c r="K980" t="s">
        <v>8101</v>
      </c>
      <c r="L980" s="5">
        <f>VLOOKUP(D:D,[1]Munka2!$A:$B,2,FALSE)</f>
        <v>1</v>
      </c>
      <c r="M980" s="5">
        <f>_xlfn.IFNA(Táblázat1[[#This Row],[Kész2020]],0)</f>
        <v>1</v>
      </c>
      <c r="N980" s="5">
        <f>IF(Táblázat1[[#This Row],[Karb./akt.év]]-Táblázat1[[#This Row],[Kész2020_2]]&lt;0,0,Táblázat1[[#This Row],[Karb./akt.év]]-Táblázat1[[#This Row],[Kész2020_2]])</f>
        <v>1</v>
      </c>
    </row>
    <row r="981" spans="1:14" hidden="1" x14ac:dyDescent="0.25">
      <c r="A981" s="17" t="s">
        <v>10</v>
      </c>
      <c r="B981" s="17" t="s">
        <v>7497</v>
      </c>
      <c r="C981" s="17" t="s">
        <v>1739</v>
      </c>
      <c r="D981" s="17" t="s">
        <v>3117</v>
      </c>
      <c r="E981" s="17" t="s">
        <v>4543</v>
      </c>
      <c r="F981" s="17" t="s">
        <v>4544</v>
      </c>
      <c r="G981" s="17" t="s">
        <v>6222</v>
      </c>
      <c r="H981" t="s">
        <v>7476</v>
      </c>
      <c r="I981" s="1">
        <v>2</v>
      </c>
      <c r="J981" s="1">
        <v>2</v>
      </c>
      <c r="K981" t="s">
        <v>6635</v>
      </c>
      <c r="L981" s="5">
        <f>VLOOKUP(D:D,[1]Munka2!$A:$B,2,FALSE)</f>
        <v>1</v>
      </c>
      <c r="M981" s="5">
        <f>_xlfn.IFNA(Táblázat1[[#This Row],[Kész2020]],0)</f>
        <v>1</v>
      </c>
      <c r="N981" s="5">
        <f>IF(Táblázat1[[#This Row],[Karb./akt.év]]-Táblázat1[[#This Row],[Kész2020_2]]&lt;0,0,Táblázat1[[#This Row],[Karb./akt.év]]-Táblázat1[[#This Row],[Kész2020_2]])</f>
        <v>1</v>
      </c>
    </row>
    <row r="982" spans="1:14" hidden="1" x14ac:dyDescent="0.25">
      <c r="A982" s="17" t="s">
        <v>10</v>
      </c>
      <c r="B982" s="17" t="s">
        <v>1029</v>
      </c>
      <c r="C982" s="17" t="s">
        <v>1739</v>
      </c>
      <c r="D982" s="17" t="s">
        <v>2819</v>
      </c>
      <c r="E982" s="17" t="s">
        <v>4063</v>
      </c>
      <c r="F982" s="17" t="s">
        <v>3598</v>
      </c>
      <c r="G982" s="17" t="s">
        <v>5957</v>
      </c>
      <c r="H982" t="s">
        <v>7476</v>
      </c>
      <c r="I982" s="1">
        <v>2</v>
      </c>
      <c r="J982" s="1">
        <v>2</v>
      </c>
      <c r="K982" t="s">
        <v>7017</v>
      </c>
      <c r="L982" s="5">
        <f>VLOOKUP(D:D,[1]Munka2!$A:$B,2,FALSE)</f>
        <v>1</v>
      </c>
      <c r="M982" s="5">
        <f>_xlfn.IFNA(Táblázat1[[#This Row],[Kész2020]],0)</f>
        <v>1</v>
      </c>
      <c r="N982" s="5">
        <f>IF(Táblázat1[[#This Row],[Karb./akt.év]]-Táblázat1[[#This Row],[Kész2020_2]]&lt;0,0,Táblázat1[[#This Row],[Karb./akt.év]]-Táblázat1[[#This Row],[Kész2020_2]])</f>
        <v>1</v>
      </c>
    </row>
    <row r="983" spans="1:14" hidden="1" x14ac:dyDescent="0.25">
      <c r="A983" s="17" t="s">
        <v>10</v>
      </c>
      <c r="B983" s="17" t="s">
        <v>690</v>
      </c>
      <c r="C983" s="17" t="s">
        <v>1739</v>
      </c>
      <c r="D983" s="17" t="s">
        <v>2465</v>
      </c>
      <c r="E983" s="17" t="s">
        <v>4299</v>
      </c>
      <c r="F983" s="17" t="s">
        <v>3598</v>
      </c>
      <c r="G983" s="17" t="s">
        <v>5644</v>
      </c>
      <c r="H983" t="s">
        <v>7476</v>
      </c>
      <c r="I983" s="1">
        <v>2</v>
      </c>
      <c r="J983" s="1">
        <v>2</v>
      </c>
      <c r="K983" t="s">
        <v>8101</v>
      </c>
      <c r="L983" s="5">
        <f>VLOOKUP(D:D,[1]Munka2!$A:$B,2,FALSE)</f>
        <v>1</v>
      </c>
      <c r="M983" s="5">
        <f>_xlfn.IFNA(Táblázat1[[#This Row],[Kész2020]],0)</f>
        <v>1</v>
      </c>
      <c r="N983" s="5">
        <f>IF(Táblázat1[[#This Row],[Karb./akt.év]]-Táblázat1[[#This Row],[Kész2020_2]]&lt;0,0,Táblázat1[[#This Row],[Karb./akt.év]]-Táblázat1[[#This Row],[Kész2020_2]])</f>
        <v>1</v>
      </c>
    </row>
    <row r="984" spans="1:14" hidden="1" x14ac:dyDescent="0.25">
      <c r="A984" s="17" t="s">
        <v>10</v>
      </c>
      <c r="B984" s="17" t="s">
        <v>7498</v>
      </c>
      <c r="C984" s="17" t="s">
        <v>1739</v>
      </c>
      <c r="D984" s="17" t="s">
        <v>2897</v>
      </c>
      <c r="E984" s="17" t="s">
        <v>3729</v>
      </c>
      <c r="F984" s="17" t="s">
        <v>3598</v>
      </c>
      <c r="G984" s="17" t="s">
        <v>6033</v>
      </c>
      <c r="H984" t="s">
        <v>7476</v>
      </c>
      <c r="I984" s="1">
        <v>2</v>
      </c>
      <c r="J984" s="1">
        <v>2</v>
      </c>
      <c r="K984" t="s">
        <v>8101</v>
      </c>
      <c r="L984" s="5">
        <f>VLOOKUP(D:D,[1]Munka2!$A:$B,2,FALSE)</f>
        <v>1</v>
      </c>
      <c r="M984" s="5">
        <f>_xlfn.IFNA(Táblázat1[[#This Row],[Kész2020]],0)</f>
        <v>1</v>
      </c>
      <c r="N984" s="5">
        <f>IF(Táblázat1[[#This Row],[Karb./akt.év]]-Táblázat1[[#This Row],[Kész2020_2]]&lt;0,0,Táblázat1[[#This Row],[Karb./akt.év]]-Táblázat1[[#This Row],[Kész2020_2]])</f>
        <v>1</v>
      </c>
    </row>
    <row r="985" spans="1:14" hidden="1" x14ac:dyDescent="0.25">
      <c r="A985" s="17" t="s">
        <v>10</v>
      </c>
      <c r="B985" s="17" t="s">
        <v>956</v>
      </c>
      <c r="C985" s="17" t="s">
        <v>1739</v>
      </c>
      <c r="D985" s="17" t="s">
        <v>2742</v>
      </c>
      <c r="E985" s="17" t="s">
        <v>4332</v>
      </c>
      <c r="F985" s="17" t="s">
        <v>3598</v>
      </c>
      <c r="G985" s="17" t="s">
        <v>5886</v>
      </c>
      <c r="H985" t="s">
        <v>7476</v>
      </c>
      <c r="I985" s="1">
        <v>2</v>
      </c>
      <c r="J985" s="1">
        <v>2</v>
      </c>
      <c r="K985" t="s">
        <v>6785</v>
      </c>
      <c r="L985" s="5">
        <f>VLOOKUP(D:D,[1]Munka2!$A:$B,2,FALSE)</f>
        <v>1</v>
      </c>
      <c r="M985" s="5">
        <f>_xlfn.IFNA(Táblázat1[[#This Row],[Kész2020]],0)</f>
        <v>1</v>
      </c>
      <c r="N985" s="5">
        <f>IF(Táblázat1[[#This Row],[Karb./akt.év]]-Táblázat1[[#This Row],[Kész2020_2]]&lt;0,0,Táblázat1[[#This Row],[Karb./akt.év]]-Táblázat1[[#This Row],[Kész2020_2]])</f>
        <v>1</v>
      </c>
    </row>
    <row r="986" spans="1:14" hidden="1" x14ac:dyDescent="0.25">
      <c r="A986" s="17" t="s">
        <v>10</v>
      </c>
      <c r="B986" s="17" t="s">
        <v>625</v>
      </c>
      <c r="C986" s="17" t="s">
        <v>1739</v>
      </c>
      <c r="D986" s="17" t="s">
        <v>2399</v>
      </c>
      <c r="E986" s="17" t="s">
        <v>4242</v>
      </c>
      <c r="F986" s="17" t="s">
        <v>4243</v>
      </c>
      <c r="G986" s="17" t="s">
        <v>5585</v>
      </c>
      <c r="H986" t="s">
        <v>7476</v>
      </c>
      <c r="I986" s="1">
        <v>2</v>
      </c>
      <c r="J986" s="1">
        <v>2</v>
      </c>
      <c r="K986" t="s">
        <v>6633</v>
      </c>
      <c r="L986" s="5">
        <f>VLOOKUP(D:D,[1]Munka2!$A:$B,2,FALSE)</f>
        <v>1</v>
      </c>
      <c r="M986" s="5">
        <f>_xlfn.IFNA(Táblázat1[[#This Row],[Kész2020]],0)</f>
        <v>1</v>
      </c>
      <c r="N986" s="5">
        <f>IF(Táblázat1[[#This Row],[Karb./akt.év]]-Táblázat1[[#This Row],[Kész2020_2]]&lt;0,0,Táblázat1[[#This Row],[Karb./akt.év]]-Táblázat1[[#This Row],[Kész2020_2]])</f>
        <v>1</v>
      </c>
    </row>
    <row r="987" spans="1:14" hidden="1" x14ac:dyDescent="0.25">
      <c r="A987" s="17" t="s">
        <v>10</v>
      </c>
      <c r="B987" s="17" t="s">
        <v>869</v>
      </c>
      <c r="C987" s="17" t="s">
        <v>1739</v>
      </c>
      <c r="D987" s="17" t="s">
        <v>2650</v>
      </c>
      <c r="E987" s="17" t="s">
        <v>4351</v>
      </c>
      <c r="F987" s="17" t="s">
        <v>4352</v>
      </c>
      <c r="G987" s="17" t="s">
        <v>5806</v>
      </c>
      <c r="H987" t="s">
        <v>7476</v>
      </c>
      <c r="I987" s="1">
        <v>2</v>
      </c>
      <c r="J987" s="1">
        <v>2</v>
      </c>
      <c r="K987" t="s">
        <v>7354</v>
      </c>
      <c r="L987" s="5">
        <f>VLOOKUP(D:D,[1]Munka2!$A:$B,2,FALSE)</f>
        <v>1</v>
      </c>
      <c r="M987" s="5">
        <f>_xlfn.IFNA(Táblázat1[[#This Row],[Kész2020]],0)</f>
        <v>1</v>
      </c>
      <c r="N987" s="5">
        <f>IF(Táblázat1[[#This Row],[Karb./akt.év]]-Táblázat1[[#This Row],[Kész2020_2]]&lt;0,0,Táblázat1[[#This Row],[Karb./akt.év]]-Táblázat1[[#This Row],[Kész2020_2]])</f>
        <v>1</v>
      </c>
    </row>
    <row r="988" spans="1:14" hidden="1" x14ac:dyDescent="0.25">
      <c r="A988" s="17" t="s">
        <v>10</v>
      </c>
      <c r="B988" s="17" t="s">
        <v>867</v>
      </c>
      <c r="C988" s="17" t="s">
        <v>1739</v>
      </c>
      <c r="D988" s="17" t="s">
        <v>2649</v>
      </c>
      <c r="E988" s="17" t="s">
        <v>4382</v>
      </c>
      <c r="F988" s="17" t="s">
        <v>4383</v>
      </c>
      <c r="G988" s="17" t="s">
        <v>5804</v>
      </c>
      <c r="H988" t="s">
        <v>7476</v>
      </c>
      <c r="I988" s="1">
        <v>2</v>
      </c>
      <c r="J988" s="1">
        <v>2</v>
      </c>
      <c r="K988" t="s">
        <v>7354</v>
      </c>
      <c r="L988" s="5">
        <f>VLOOKUP(D:D,[1]Munka2!$A:$B,2,FALSE)</f>
        <v>1</v>
      </c>
      <c r="M988" s="5">
        <f>_xlfn.IFNA(Táblázat1[[#This Row],[Kész2020]],0)</f>
        <v>1</v>
      </c>
      <c r="N988" s="5">
        <f>IF(Táblázat1[[#This Row],[Karb./akt.év]]-Táblázat1[[#This Row],[Kész2020_2]]&lt;0,0,Táblázat1[[#This Row],[Karb./akt.év]]-Táblázat1[[#This Row],[Kész2020_2]])</f>
        <v>1</v>
      </c>
    </row>
    <row r="989" spans="1:14" hidden="1" x14ac:dyDescent="0.25">
      <c r="A989" s="17" t="s">
        <v>10</v>
      </c>
      <c r="B989" s="17" t="s">
        <v>463</v>
      </c>
      <c r="C989" s="17" t="s">
        <v>1739</v>
      </c>
      <c r="D989" s="17" t="s">
        <v>2220</v>
      </c>
      <c r="E989" s="17" t="s">
        <v>4073</v>
      </c>
      <c r="F989" s="17" t="s">
        <v>4074</v>
      </c>
      <c r="G989" s="17" t="s">
        <v>5427</v>
      </c>
      <c r="H989" t="s">
        <v>7476</v>
      </c>
      <c r="I989" s="1">
        <v>2</v>
      </c>
      <c r="J989" s="1">
        <v>2</v>
      </c>
      <c r="K989" t="s">
        <v>8103</v>
      </c>
      <c r="L989" s="5">
        <f>VLOOKUP(D:D,[1]Munka2!$A:$B,2,FALSE)</f>
        <v>1</v>
      </c>
      <c r="M989" s="5">
        <f>_xlfn.IFNA(Táblázat1[[#This Row],[Kész2020]],0)</f>
        <v>1</v>
      </c>
      <c r="N989" s="5">
        <f>IF(Táblázat1[[#This Row],[Karb./akt.év]]-Táblázat1[[#This Row],[Kész2020_2]]&lt;0,0,Táblázat1[[#This Row],[Karb./akt.év]]-Táblázat1[[#This Row],[Kész2020_2]])</f>
        <v>1</v>
      </c>
    </row>
    <row r="990" spans="1:14" hidden="1" x14ac:dyDescent="0.25">
      <c r="A990" s="17" t="s">
        <v>10</v>
      </c>
      <c r="B990" s="17" t="s">
        <v>7499</v>
      </c>
      <c r="C990" s="17" t="s">
        <v>1739</v>
      </c>
      <c r="D990" s="17" t="s">
        <v>2935</v>
      </c>
      <c r="E990" s="17" t="s">
        <v>4641</v>
      </c>
      <c r="F990" s="17" t="s">
        <v>4642</v>
      </c>
      <c r="G990" s="17" t="s">
        <v>6068</v>
      </c>
      <c r="H990" t="s">
        <v>7476</v>
      </c>
      <c r="I990" s="1">
        <v>2</v>
      </c>
      <c r="J990" s="1">
        <v>2</v>
      </c>
      <c r="K990" t="s">
        <v>8102</v>
      </c>
      <c r="L990" s="5">
        <f>VLOOKUP(D:D,[1]Munka2!$A:$B,2,FALSE)</f>
        <v>1</v>
      </c>
      <c r="M990" s="5">
        <f>_xlfn.IFNA(Táblázat1[[#This Row],[Kész2020]],0)</f>
        <v>1</v>
      </c>
      <c r="N990" s="5">
        <f>IF(Táblázat1[[#This Row],[Karb./akt.év]]-Táblázat1[[#This Row],[Kész2020_2]]&lt;0,0,Táblázat1[[#This Row],[Karb./akt.év]]-Táblázat1[[#This Row],[Kész2020_2]])</f>
        <v>1</v>
      </c>
    </row>
    <row r="991" spans="1:14" hidden="1" x14ac:dyDescent="0.25">
      <c r="A991" s="17" t="s">
        <v>10</v>
      </c>
      <c r="B991" s="17" t="s">
        <v>144</v>
      </c>
      <c r="C991" s="17" t="s">
        <v>1739</v>
      </c>
      <c r="D991" s="17" t="s">
        <v>1884</v>
      </c>
      <c r="E991" s="17" t="s">
        <v>3745</v>
      </c>
      <c r="F991" s="17" t="s">
        <v>3598</v>
      </c>
      <c r="G991" s="17" t="s">
        <v>5117</v>
      </c>
      <c r="H991" t="s">
        <v>7476</v>
      </c>
      <c r="I991" s="1">
        <v>2</v>
      </c>
      <c r="J991" s="1">
        <v>2</v>
      </c>
      <c r="K991" t="s">
        <v>8101</v>
      </c>
      <c r="L991" s="5">
        <f>VLOOKUP(D:D,[1]Munka2!$A:$B,2,FALSE)</f>
        <v>1</v>
      </c>
      <c r="M991" s="5">
        <f>_xlfn.IFNA(Táblázat1[[#This Row],[Kész2020]],0)</f>
        <v>1</v>
      </c>
      <c r="N991" s="5">
        <f>IF(Táblázat1[[#This Row],[Karb./akt.év]]-Táblázat1[[#This Row],[Kész2020_2]]&lt;0,0,Táblázat1[[#This Row],[Karb./akt.év]]-Táblázat1[[#This Row],[Kész2020_2]])</f>
        <v>1</v>
      </c>
    </row>
    <row r="992" spans="1:14" hidden="1" x14ac:dyDescent="0.25">
      <c r="A992" s="17" t="s">
        <v>10</v>
      </c>
      <c r="B992" s="17" t="s">
        <v>6994</v>
      </c>
      <c r="C992" s="17" t="s">
        <v>1739</v>
      </c>
      <c r="D992" s="17" t="s">
        <v>2553</v>
      </c>
      <c r="E992" s="17" t="s">
        <v>3659</v>
      </c>
      <c r="F992" s="17" t="s">
        <v>3660</v>
      </c>
      <c r="G992" s="17" t="s">
        <v>5720</v>
      </c>
      <c r="H992" t="s">
        <v>7476</v>
      </c>
      <c r="I992" s="1">
        <v>2</v>
      </c>
      <c r="J992" s="1">
        <v>2</v>
      </c>
      <c r="K992" t="s">
        <v>7354</v>
      </c>
      <c r="L992" s="5">
        <f>VLOOKUP(D:D,[1]Munka2!$A:$B,2,FALSE)</f>
        <v>1</v>
      </c>
      <c r="M992" s="5">
        <f>_xlfn.IFNA(Táblázat1[[#This Row],[Kész2020]],0)</f>
        <v>1</v>
      </c>
      <c r="N992" s="5">
        <f>IF(Táblázat1[[#This Row],[Karb./akt.év]]-Táblázat1[[#This Row],[Kész2020_2]]&lt;0,0,Táblázat1[[#This Row],[Karb./akt.év]]-Táblázat1[[#This Row],[Kész2020_2]])</f>
        <v>1</v>
      </c>
    </row>
    <row r="993" spans="1:14" hidden="1" x14ac:dyDescent="0.25">
      <c r="A993" s="17" t="s">
        <v>10</v>
      </c>
      <c r="B993" s="17" t="s">
        <v>1284</v>
      </c>
      <c r="C993" s="17" t="s">
        <v>1739</v>
      </c>
      <c r="D993" s="17" t="s">
        <v>3097</v>
      </c>
      <c r="E993" s="17" t="s">
        <v>4017</v>
      </c>
      <c r="F993" s="17" t="s">
        <v>4018</v>
      </c>
      <c r="G993" s="17" t="s">
        <v>6206</v>
      </c>
      <c r="H993" t="s">
        <v>7476</v>
      </c>
      <c r="I993" s="1">
        <v>2</v>
      </c>
      <c r="J993" s="1">
        <v>2</v>
      </c>
      <c r="K993" t="s">
        <v>6634</v>
      </c>
      <c r="L993" s="5">
        <f>VLOOKUP(D:D,[1]Munka2!$A:$B,2,FALSE)</f>
        <v>1</v>
      </c>
      <c r="M993" s="5">
        <f>_xlfn.IFNA(Táblázat1[[#This Row],[Kész2020]],0)</f>
        <v>1</v>
      </c>
      <c r="N993" s="5">
        <f>IF(Táblázat1[[#This Row],[Karb./akt.év]]-Táblázat1[[#This Row],[Kész2020_2]]&lt;0,0,Táblázat1[[#This Row],[Karb./akt.év]]-Táblázat1[[#This Row],[Kész2020_2]])</f>
        <v>1</v>
      </c>
    </row>
    <row r="994" spans="1:14" hidden="1" x14ac:dyDescent="0.25">
      <c r="A994" s="17" t="s">
        <v>10</v>
      </c>
      <c r="B994" s="17" t="s">
        <v>7002</v>
      </c>
      <c r="C994" s="17" t="s">
        <v>1739</v>
      </c>
      <c r="D994" s="17" t="s">
        <v>2780</v>
      </c>
      <c r="E994" s="17" t="s">
        <v>3816</v>
      </c>
      <c r="F994" s="17" t="s">
        <v>3598</v>
      </c>
      <c r="G994" s="17" t="s">
        <v>5921</v>
      </c>
      <c r="H994" t="s">
        <v>7476</v>
      </c>
      <c r="I994" s="1">
        <v>2</v>
      </c>
      <c r="J994" s="1">
        <v>2</v>
      </c>
      <c r="K994" t="s">
        <v>6785</v>
      </c>
      <c r="L994" s="5">
        <f>VLOOKUP(D:D,[1]Munka2!$A:$B,2,FALSE)</f>
        <v>1</v>
      </c>
      <c r="M994" s="5">
        <f>_xlfn.IFNA(Táblázat1[[#This Row],[Kész2020]],0)</f>
        <v>1</v>
      </c>
      <c r="N994" s="5">
        <f>IF(Táblázat1[[#This Row],[Karb./akt.év]]-Táblázat1[[#This Row],[Kész2020_2]]&lt;0,0,Táblázat1[[#This Row],[Karb./akt.év]]-Táblázat1[[#This Row],[Kész2020_2]])</f>
        <v>1</v>
      </c>
    </row>
    <row r="995" spans="1:14" hidden="1" x14ac:dyDescent="0.25">
      <c r="A995" s="17" t="s">
        <v>10</v>
      </c>
      <c r="B995" s="17" t="s">
        <v>342</v>
      </c>
      <c r="C995" s="17" t="s">
        <v>1739</v>
      </c>
      <c r="D995" s="17" t="s">
        <v>2093</v>
      </c>
      <c r="E995" s="17" t="s">
        <v>3625</v>
      </c>
      <c r="F995" s="17" t="s">
        <v>3626</v>
      </c>
      <c r="G995" s="17" t="s">
        <v>5305</v>
      </c>
      <c r="H995" t="s">
        <v>7476</v>
      </c>
      <c r="I995" s="1">
        <v>2</v>
      </c>
      <c r="J995" s="1">
        <v>2</v>
      </c>
      <c r="K995" t="s">
        <v>6642</v>
      </c>
      <c r="L995" s="5">
        <f>VLOOKUP(D:D,[1]Munka2!$A:$B,2,FALSE)</f>
        <v>1</v>
      </c>
      <c r="M995" s="5">
        <f>_xlfn.IFNA(Táblázat1[[#This Row],[Kész2020]],0)</f>
        <v>1</v>
      </c>
      <c r="N995" s="5">
        <f>IF(Táblázat1[[#This Row],[Karb./akt.év]]-Táblázat1[[#This Row],[Kész2020_2]]&lt;0,0,Táblázat1[[#This Row],[Karb./akt.év]]-Táblázat1[[#This Row],[Kész2020_2]])</f>
        <v>1</v>
      </c>
    </row>
    <row r="996" spans="1:14" hidden="1" x14ac:dyDescent="0.25">
      <c r="A996" s="17" t="s">
        <v>10</v>
      </c>
      <c r="B996" s="17" t="s">
        <v>129</v>
      </c>
      <c r="C996" s="17" t="s">
        <v>1739</v>
      </c>
      <c r="D996" s="17" t="s">
        <v>1868</v>
      </c>
      <c r="E996" s="17" t="s">
        <v>3724</v>
      </c>
      <c r="F996" s="17" t="s">
        <v>3725</v>
      </c>
      <c r="G996" s="17" t="s">
        <v>5100</v>
      </c>
      <c r="H996" t="s">
        <v>7476</v>
      </c>
      <c r="I996" s="1">
        <v>2</v>
      </c>
      <c r="J996" s="1">
        <v>2</v>
      </c>
      <c r="K996" t="s">
        <v>8102</v>
      </c>
      <c r="L996" s="5">
        <f>VLOOKUP(D:D,[1]Munka2!$A:$B,2,FALSE)</f>
        <v>1</v>
      </c>
      <c r="M996" s="5">
        <f>_xlfn.IFNA(Táblázat1[[#This Row],[Kész2020]],0)</f>
        <v>1</v>
      </c>
      <c r="N996" s="5">
        <f>IF(Táblázat1[[#This Row],[Karb./akt.év]]-Táblázat1[[#This Row],[Kész2020_2]]&lt;0,0,Táblázat1[[#This Row],[Karb./akt.év]]-Táblázat1[[#This Row],[Kész2020_2]])</f>
        <v>1</v>
      </c>
    </row>
    <row r="997" spans="1:14" hidden="1" x14ac:dyDescent="0.25">
      <c r="A997" s="17" t="s">
        <v>10</v>
      </c>
      <c r="B997" s="17" t="s">
        <v>247</v>
      </c>
      <c r="C997" s="17" t="s">
        <v>1739</v>
      </c>
      <c r="D997" s="17" t="s">
        <v>1992</v>
      </c>
      <c r="E997" s="17" t="s">
        <v>3862</v>
      </c>
      <c r="F997" s="17" t="s">
        <v>3598</v>
      </c>
      <c r="G997" s="17" t="s">
        <v>5214</v>
      </c>
      <c r="H997" t="s">
        <v>7476</v>
      </c>
      <c r="I997" s="1">
        <v>2</v>
      </c>
      <c r="J997" s="1">
        <v>2</v>
      </c>
      <c r="K997" t="s">
        <v>6633</v>
      </c>
      <c r="L997" s="5">
        <f>VLOOKUP(D:D,[1]Munka2!$A:$B,2,FALSE)</f>
        <v>1</v>
      </c>
      <c r="M997" s="5">
        <f>_xlfn.IFNA(Táblázat1[[#This Row],[Kész2020]],0)</f>
        <v>1</v>
      </c>
      <c r="N997" s="5">
        <f>IF(Táblázat1[[#This Row],[Karb./akt.év]]-Táblázat1[[#This Row],[Kész2020_2]]&lt;0,0,Táblázat1[[#This Row],[Karb./akt.év]]-Táblázat1[[#This Row],[Kész2020_2]])</f>
        <v>1</v>
      </c>
    </row>
    <row r="998" spans="1:14" hidden="1" x14ac:dyDescent="0.25">
      <c r="A998" s="17" t="s">
        <v>10</v>
      </c>
      <c r="B998" s="17" t="s">
        <v>1430</v>
      </c>
      <c r="C998" s="17" t="s">
        <v>1739</v>
      </c>
      <c r="D998" s="17" t="s">
        <v>3261</v>
      </c>
      <c r="E998" s="17" t="s">
        <v>4647</v>
      </c>
      <c r="F998" s="17" t="s">
        <v>3753</v>
      </c>
      <c r="G998" s="17" t="s">
        <v>6334</v>
      </c>
      <c r="H998" t="s">
        <v>7476</v>
      </c>
      <c r="I998" s="1">
        <v>2</v>
      </c>
      <c r="J998" s="1">
        <v>2</v>
      </c>
      <c r="K998" t="s">
        <v>6641</v>
      </c>
      <c r="L998" s="5">
        <f>VLOOKUP(D:D,[1]Munka2!$A:$B,2,FALSE)</f>
        <v>1</v>
      </c>
      <c r="M998" s="5">
        <f>_xlfn.IFNA(Táblázat1[[#This Row],[Kész2020]],0)</f>
        <v>1</v>
      </c>
      <c r="N998" s="5">
        <f>IF(Táblázat1[[#This Row],[Karb./akt.év]]-Táblázat1[[#This Row],[Kész2020_2]]&lt;0,0,Táblázat1[[#This Row],[Karb./akt.év]]-Táblázat1[[#This Row],[Kész2020_2]])</f>
        <v>1</v>
      </c>
    </row>
    <row r="999" spans="1:14" hidden="1" x14ac:dyDescent="0.25">
      <c r="A999" s="17" t="s">
        <v>10</v>
      </c>
      <c r="B999" s="17" t="s">
        <v>6997</v>
      </c>
      <c r="C999" s="17" t="s">
        <v>1739</v>
      </c>
      <c r="D999" s="17" t="s">
        <v>3200</v>
      </c>
      <c r="E999" s="17" t="s">
        <v>3894</v>
      </c>
      <c r="F999" s="17" t="s">
        <v>3895</v>
      </c>
      <c r="G999" s="17" t="s">
        <v>6283</v>
      </c>
      <c r="H999" t="s">
        <v>7476</v>
      </c>
      <c r="I999" s="1">
        <v>2</v>
      </c>
      <c r="J999" s="1">
        <v>2</v>
      </c>
      <c r="K999" t="s">
        <v>7354</v>
      </c>
      <c r="L999" s="5">
        <f>VLOOKUP(D:D,[1]Munka2!$A:$B,2,FALSE)</f>
        <v>1</v>
      </c>
      <c r="M999" s="5">
        <f>_xlfn.IFNA(Táblázat1[[#This Row],[Kész2020]],0)</f>
        <v>1</v>
      </c>
      <c r="N999" s="5">
        <f>IF(Táblázat1[[#This Row],[Karb./akt.év]]-Táblázat1[[#This Row],[Kész2020_2]]&lt;0,0,Táblázat1[[#This Row],[Karb./akt.év]]-Táblázat1[[#This Row],[Kész2020_2]])</f>
        <v>1</v>
      </c>
    </row>
    <row r="1000" spans="1:14" hidden="1" x14ac:dyDescent="0.25">
      <c r="A1000" s="17" t="s">
        <v>10</v>
      </c>
      <c r="B1000" s="17" t="s">
        <v>7500</v>
      </c>
      <c r="C1000" s="17" t="s">
        <v>1739</v>
      </c>
      <c r="D1000" s="17" t="s">
        <v>3504</v>
      </c>
      <c r="E1000" s="17" t="s">
        <v>4368</v>
      </c>
      <c r="F1000" s="17" t="s">
        <v>4369</v>
      </c>
      <c r="G1000" s="17" t="s">
        <v>6543</v>
      </c>
      <c r="H1000" t="s">
        <v>7476</v>
      </c>
      <c r="I1000" s="1">
        <v>2</v>
      </c>
      <c r="J1000" s="1">
        <v>2</v>
      </c>
      <c r="K1000" t="s">
        <v>8102</v>
      </c>
      <c r="L1000" s="5">
        <f>VLOOKUP(D:D,[1]Munka2!$A:$B,2,FALSE)</f>
        <v>1</v>
      </c>
      <c r="M1000" s="5">
        <f>_xlfn.IFNA(Táblázat1[[#This Row],[Kész2020]],0)</f>
        <v>1</v>
      </c>
      <c r="N1000" s="5">
        <f>IF(Táblázat1[[#This Row],[Karb./akt.év]]-Táblázat1[[#This Row],[Kész2020_2]]&lt;0,0,Táblázat1[[#This Row],[Karb./akt.év]]-Táblázat1[[#This Row],[Kész2020_2]])</f>
        <v>1</v>
      </c>
    </row>
    <row r="1001" spans="1:14" hidden="1" x14ac:dyDescent="0.25">
      <c r="A1001" s="17" t="s">
        <v>10</v>
      </c>
      <c r="B1001" s="17" t="s">
        <v>7501</v>
      </c>
      <c r="C1001" s="17" t="s">
        <v>1739</v>
      </c>
      <c r="D1001" s="17" t="s">
        <v>2258</v>
      </c>
      <c r="E1001" s="17" t="s">
        <v>4103</v>
      </c>
      <c r="F1001" s="17" t="s">
        <v>4104</v>
      </c>
      <c r="G1001" s="17" t="s">
        <v>5458</v>
      </c>
      <c r="H1001" t="s">
        <v>7476</v>
      </c>
      <c r="I1001" s="1">
        <v>2</v>
      </c>
      <c r="J1001" s="1">
        <v>2</v>
      </c>
      <c r="K1001" t="s">
        <v>7014</v>
      </c>
      <c r="L1001" s="5">
        <f>VLOOKUP(D:D,[1]Munka2!$A:$B,2,FALSE)</f>
        <v>1</v>
      </c>
      <c r="M1001" s="5">
        <f>_xlfn.IFNA(Táblázat1[[#This Row],[Kész2020]],0)</f>
        <v>1</v>
      </c>
      <c r="N1001" s="5">
        <f>IF(Táblázat1[[#This Row],[Karb./akt.év]]-Táblázat1[[#This Row],[Kész2020_2]]&lt;0,0,Táblázat1[[#This Row],[Karb./akt.év]]-Táblázat1[[#This Row],[Kész2020_2]])</f>
        <v>1</v>
      </c>
    </row>
    <row r="1002" spans="1:14" hidden="1" x14ac:dyDescent="0.25">
      <c r="A1002" s="17" t="s">
        <v>10</v>
      </c>
      <c r="B1002" s="17" t="s">
        <v>1016</v>
      </c>
      <c r="C1002" s="17" t="s">
        <v>1739</v>
      </c>
      <c r="D1002" s="17" t="s">
        <v>2806</v>
      </c>
      <c r="E1002" s="17" t="s">
        <v>4538</v>
      </c>
      <c r="F1002" s="17" t="s">
        <v>3598</v>
      </c>
      <c r="G1002" s="17" t="s">
        <v>5944</v>
      </c>
      <c r="H1002" t="s">
        <v>7476</v>
      </c>
      <c r="I1002" s="1">
        <v>2</v>
      </c>
      <c r="J1002" s="1">
        <v>2</v>
      </c>
      <c r="K1002" t="s">
        <v>7017</v>
      </c>
      <c r="L1002" s="5">
        <f>VLOOKUP(D:D,[1]Munka2!$A:$B,2,FALSE)</f>
        <v>1</v>
      </c>
      <c r="M1002" s="5">
        <f>_xlfn.IFNA(Táblázat1[[#This Row],[Kész2020]],0)</f>
        <v>1</v>
      </c>
      <c r="N1002" s="5">
        <f>IF(Táblázat1[[#This Row],[Karb./akt.év]]-Táblázat1[[#This Row],[Kész2020_2]]&lt;0,0,Táblázat1[[#This Row],[Karb./akt.év]]-Táblázat1[[#This Row],[Kész2020_2]])</f>
        <v>1</v>
      </c>
    </row>
    <row r="1003" spans="1:14" hidden="1" x14ac:dyDescent="0.25">
      <c r="A1003" s="17" t="s">
        <v>10</v>
      </c>
      <c r="B1003" s="17" t="s">
        <v>449</v>
      </c>
      <c r="C1003" s="17" t="s">
        <v>1739</v>
      </c>
      <c r="D1003" s="17" t="s">
        <v>2207</v>
      </c>
      <c r="E1003" s="17" t="s">
        <v>3746</v>
      </c>
      <c r="F1003" s="17" t="s">
        <v>3598</v>
      </c>
      <c r="G1003" s="17" t="s">
        <v>5414</v>
      </c>
      <c r="H1003" t="s">
        <v>7476</v>
      </c>
      <c r="I1003" s="1">
        <v>2</v>
      </c>
      <c r="J1003" s="1">
        <v>2</v>
      </c>
      <c r="K1003" t="s">
        <v>8101</v>
      </c>
      <c r="L1003" s="5">
        <f>VLOOKUP(D:D,[1]Munka2!$A:$B,2,FALSE)</f>
        <v>1</v>
      </c>
      <c r="M1003" s="5">
        <f>_xlfn.IFNA(Táblázat1[[#This Row],[Kész2020]],0)</f>
        <v>1</v>
      </c>
      <c r="N1003" s="5">
        <f>IF(Táblázat1[[#This Row],[Karb./akt.év]]-Táblázat1[[#This Row],[Kész2020_2]]&lt;0,0,Táblázat1[[#This Row],[Karb./akt.év]]-Táblázat1[[#This Row],[Kész2020_2]])</f>
        <v>1</v>
      </c>
    </row>
    <row r="1004" spans="1:14" hidden="1" x14ac:dyDescent="0.25">
      <c r="A1004" s="17" t="s">
        <v>10</v>
      </c>
      <c r="B1004" s="17" t="s">
        <v>1108</v>
      </c>
      <c r="C1004" s="17" t="s">
        <v>1739</v>
      </c>
      <c r="D1004" s="17" t="s">
        <v>2902</v>
      </c>
      <c r="E1004" s="17" t="s">
        <v>4627</v>
      </c>
      <c r="F1004" s="17" t="s">
        <v>3598</v>
      </c>
      <c r="G1004" s="17" t="s">
        <v>6038</v>
      </c>
      <c r="H1004" t="s">
        <v>7476</v>
      </c>
      <c r="I1004" s="1">
        <v>2</v>
      </c>
      <c r="J1004" s="1">
        <v>2</v>
      </c>
      <c r="K1004" t="s">
        <v>6633</v>
      </c>
      <c r="L1004" s="5">
        <f>VLOOKUP(D:D,[1]Munka2!$A:$B,2,FALSE)</f>
        <v>1</v>
      </c>
      <c r="M1004" s="5">
        <f>_xlfn.IFNA(Táblázat1[[#This Row],[Kész2020]],0)</f>
        <v>1</v>
      </c>
      <c r="N1004" s="5">
        <f>IF(Táblázat1[[#This Row],[Karb./akt.év]]-Táblázat1[[#This Row],[Kész2020_2]]&lt;0,0,Táblázat1[[#This Row],[Karb./akt.év]]-Táblázat1[[#This Row],[Kész2020_2]])</f>
        <v>1</v>
      </c>
    </row>
    <row r="1005" spans="1:14" hidden="1" x14ac:dyDescent="0.25">
      <c r="A1005" s="17" t="s">
        <v>10</v>
      </c>
      <c r="B1005" s="17" t="s">
        <v>6973</v>
      </c>
      <c r="C1005" s="17" t="s">
        <v>1739</v>
      </c>
      <c r="D1005" s="17" t="s">
        <v>3459</v>
      </c>
      <c r="E1005" s="17" t="s">
        <v>4287</v>
      </c>
      <c r="F1005" s="17" t="s">
        <v>3598</v>
      </c>
      <c r="G1005" s="17" t="s">
        <v>6511</v>
      </c>
      <c r="H1005" t="s">
        <v>7476</v>
      </c>
      <c r="I1005" s="1">
        <v>2</v>
      </c>
      <c r="J1005" s="1">
        <v>2</v>
      </c>
      <c r="K1005" t="s">
        <v>7014</v>
      </c>
      <c r="L1005" s="5">
        <f>VLOOKUP(D:D,[1]Munka2!$A:$B,2,FALSE)</f>
        <v>1</v>
      </c>
      <c r="M1005" s="5">
        <f>_xlfn.IFNA(Táblázat1[[#This Row],[Kész2020]],0)</f>
        <v>1</v>
      </c>
      <c r="N1005" s="5">
        <f>IF(Táblázat1[[#This Row],[Karb./akt.év]]-Táblázat1[[#This Row],[Kész2020_2]]&lt;0,0,Táblázat1[[#This Row],[Karb./akt.év]]-Táblázat1[[#This Row],[Kész2020_2]])</f>
        <v>1</v>
      </c>
    </row>
    <row r="1006" spans="1:14" hidden="1" x14ac:dyDescent="0.25">
      <c r="A1006" s="17" t="s">
        <v>10</v>
      </c>
      <c r="B1006" s="17" t="s">
        <v>7502</v>
      </c>
      <c r="C1006" s="17" t="s">
        <v>1739</v>
      </c>
      <c r="D1006" s="17" t="s">
        <v>2182</v>
      </c>
      <c r="E1006" s="17" t="s">
        <v>4040</v>
      </c>
      <c r="F1006" s="17" t="s">
        <v>4041</v>
      </c>
      <c r="G1006" s="17" t="s">
        <v>5391</v>
      </c>
      <c r="H1006" t="s">
        <v>7476</v>
      </c>
      <c r="I1006" s="1">
        <v>2</v>
      </c>
      <c r="J1006" s="1">
        <v>2</v>
      </c>
      <c r="K1006" t="s">
        <v>8102</v>
      </c>
      <c r="L1006" s="5">
        <f>VLOOKUP(D:D,[1]Munka2!$A:$B,2,FALSE)</f>
        <v>1</v>
      </c>
      <c r="M1006" s="5">
        <f>_xlfn.IFNA(Táblázat1[[#This Row],[Kész2020]],0)</f>
        <v>1</v>
      </c>
      <c r="N1006" s="5">
        <f>IF(Táblázat1[[#This Row],[Karb./akt.év]]-Táblázat1[[#This Row],[Kész2020_2]]&lt;0,0,Táblázat1[[#This Row],[Karb./akt.év]]-Táblázat1[[#This Row],[Kész2020_2]])</f>
        <v>1</v>
      </c>
    </row>
    <row r="1007" spans="1:14" hidden="1" x14ac:dyDescent="0.25">
      <c r="A1007" s="17" t="s">
        <v>10</v>
      </c>
      <c r="B1007" s="17" t="s">
        <v>7503</v>
      </c>
      <c r="C1007" s="17" t="s">
        <v>1739</v>
      </c>
      <c r="D1007" s="17" t="s">
        <v>2981</v>
      </c>
      <c r="E1007" s="17" t="s">
        <v>4306</v>
      </c>
      <c r="F1007" s="17" t="s">
        <v>4307</v>
      </c>
      <c r="G1007" s="17" t="s">
        <v>6105</v>
      </c>
      <c r="H1007" t="s">
        <v>7476</v>
      </c>
      <c r="I1007" s="1">
        <v>2</v>
      </c>
      <c r="J1007" s="1">
        <v>2</v>
      </c>
      <c r="K1007" t="s">
        <v>6639</v>
      </c>
      <c r="L1007" s="5">
        <f>VLOOKUP(D:D,[1]Munka2!$A:$B,2,FALSE)</f>
        <v>1</v>
      </c>
      <c r="M1007" s="5">
        <f>_xlfn.IFNA(Táblázat1[[#This Row],[Kész2020]],0)</f>
        <v>1</v>
      </c>
      <c r="N1007" s="5">
        <f>IF(Táblázat1[[#This Row],[Karb./akt.év]]-Táblázat1[[#This Row],[Kész2020_2]]&lt;0,0,Táblázat1[[#This Row],[Karb./akt.év]]-Táblázat1[[#This Row],[Kész2020_2]])</f>
        <v>1</v>
      </c>
    </row>
    <row r="1008" spans="1:14" hidden="1" x14ac:dyDescent="0.25">
      <c r="A1008" s="17" t="s">
        <v>10</v>
      </c>
      <c r="B1008" s="17" t="s">
        <v>7504</v>
      </c>
      <c r="C1008" s="17" t="s">
        <v>1739</v>
      </c>
      <c r="D1008" s="17" t="s">
        <v>3292</v>
      </c>
      <c r="E1008" s="17" t="s">
        <v>4220</v>
      </c>
      <c r="F1008" s="17" t="s">
        <v>4221</v>
      </c>
      <c r="G1008" s="17" t="s">
        <v>6367</v>
      </c>
      <c r="H1008" t="s">
        <v>7476</v>
      </c>
      <c r="I1008" s="1">
        <v>2</v>
      </c>
      <c r="J1008" s="1">
        <v>2</v>
      </c>
      <c r="K1008" t="s">
        <v>8102</v>
      </c>
      <c r="L1008" s="5">
        <f>VLOOKUP(D:D,[1]Munka2!$A:$B,2,FALSE)</f>
        <v>1</v>
      </c>
      <c r="M1008" s="5">
        <f>_xlfn.IFNA(Táblázat1[[#This Row],[Kész2020]],0)</f>
        <v>1</v>
      </c>
      <c r="N1008" s="5">
        <f>IF(Táblázat1[[#This Row],[Karb./akt.év]]-Táblázat1[[#This Row],[Kész2020_2]]&lt;0,0,Táblázat1[[#This Row],[Karb./akt.év]]-Táblázat1[[#This Row],[Kész2020_2]])</f>
        <v>1</v>
      </c>
    </row>
    <row r="1009" spans="1:14" hidden="1" x14ac:dyDescent="0.25">
      <c r="A1009" s="17" t="s">
        <v>10</v>
      </c>
      <c r="B1009" s="17" t="s">
        <v>1372</v>
      </c>
      <c r="C1009" s="17" t="s">
        <v>1739</v>
      </c>
      <c r="D1009" s="17" t="s">
        <v>3191</v>
      </c>
      <c r="E1009" s="17" t="s">
        <v>4159</v>
      </c>
      <c r="F1009" s="17" t="s">
        <v>4160</v>
      </c>
      <c r="G1009" s="17" t="s">
        <v>6275</v>
      </c>
      <c r="H1009" t="s">
        <v>7476</v>
      </c>
      <c r="I1009" s="1">
        <v>2</v>
      </c>
      <c r="J1009" s="1">
        <v>2</v>
      </c>
      <c r="K1009" t="s">
        <v>6642</v>
      </c>
      <c r="L1009" s="5">
        <f>VLOOKUP(D:D,[1]Munka2!$A:$B,2,FALSE)</f>
        <v>1</v>
      </c>
      <c r="M1009" s="5">
        <f>_xlfn.IFNA(Táblázat1[[#This Row],[Kész2020]],0)</f>
        <v>1</v>
      </c>
      <c r="N1009" s="5">
        <f>IF(Táblázat1[[#This Row],[Karb./akt.év]]-Táblázat1[[#This Row],[Kész2020_2]]&lt;0,0,Táblázat1[[#This Row],[Karb./akt.év]]-Táblázat1[[#This Row],[Kész2020_2]])</f>
        <v>1</v>
      </c>
    </row>
    <row r="1010" spans="1:14" hidden="1" x14ac:dyDescent="0.25">
      <c r="A1010" s="17" t="s">
        <v>10</v>
      </c>
      <c r="B1010" s="17" t="s">
        <v>243</v>
      </c>
      <c r="C1010" s="17" t="s">
        <v>1739</v>
      </c>
      <c r="D1010" s="17" t="s">
        <v>1987</v>
      </c>
      <c r="E1010" s="17" t="s">
        <v>3856</v>
      </c>
      <c r="F1010" s="17" t="s">
        <v>3857</v>
      </c>
      <c r="G1010" s="17" t="s">
        <v>5210</v>
      </c>
      <c r="H1010" t="s">
        <v>7476</v>
      </c>
      <c r="I1010" s="1">
        <v>2</v>
      </c>
      <c r="J1010" s="1">
        <v>2</v>
      </c>
      <c r="K1010" t="s">
        <v>6784</v>
      </c>
      <c r="L1010" s="5">
        <f>VLOOKUP(D:D,[1]Munka2!$A:$B,2,FALSE)</f>
        <v>1</v>
      </c>
      <c r="M1010" s="5">
        <f>_xlfn.IFNA(Táblázat1[[#This Row],[Kész2020]],0)</f>
        <v>1</v>
      </c>
      <c r="N1010" s="5">
        <f>IF(Táblázat1[[#This Row],[Karb./akt.év]]-Táblázat1[[#This Row],[Kész2020_2]]&lt;0,0,Táblázat1[[#This Row],[Karb./akt.év]]-Táblázat1[[#This Row],[Kész2020_2]])</f>
        <v>1</v>
      </c>
    </row>
    <row r="1011" spans="1:14" hidden="1" x14ac:dyDescent="0.25">
      <c r="A1011" s="17" t="s">
        <v>10</v>
      </c>
      <c r="B1011" s="17" t="s">
        <v>6962</v>
      </c>
      <c r="C1011" s="17" t="s">
        <v>1739</v>
      </c>
      <c r="D1011" s="17" t="s">
        <v>2090</v>
      </c>
      <c r="E1011" s="17" t="s">
        <v>3730</v>
      </c>
      <c r="F1011" s="17" t="s">
        <v>3731</v>
      </c>
      <c r="G1011" s="17" t="s">
        <v>5303</v>
      </c>
      <c r="H1011" t="s">
        <v>7476</v>
      </c>
      <c r="I1011" s="1">
        <v>2</v>
      </c>
      <c r="J1011" s="1">
        <v>2</v>
      </c>
      <c r="K1011" t="s">
        <v>6641</v>
      </c>
      <c r="L1011" s="5">
        <f>VLOOKUP(D:D,[1]Munka2!$A:$B,2,FALSE)</f>
        <v>1</v>
      </c>
      <c r="M1011" s="5">
        <f>_xlfn.IFNA(Táblázat1[[#This Row],[Kész2020]],0)</f>
        <v>1</v>
      </c>
      <c r="N1011" s="5">
        <f>IF(Táblázat1[[#This Row],[Karb./akt.év]]-Táblázat1[[#This Row],[Kész2020_2]]&lt;0,0,Táblázat1[[#This Row],[Karb./akt.év]]-Táblázat1[[#This Row],[Kész2020_2]])</f>
        <v>1</v>
      </c>
    </row>
    <row r="1012" spans="1:14" hidden="1" x14ac:dyDescent="0.25">
      <c r="A1012" s="17" t="s">
        <v>10</v>
      </c>
      <c r="B1012" s="17" t="s">
        <v>1211</v>
      </c>
      <c r="C1012" s="17" t="s">
        <v>1739</v>
      </c>
      <c r="D1012" s="17" t="s">
        <v>3017</v>
      </c>
      <c r="E1012" s="17" t="s">
        <v>4205</v>
      </c>
      <c r="F1012" s="17" t="s">
        <v>3598</v>
      </c>
      <c r="G1012" s="17" t="s">
        <v>6139</v>
      </c>
      <c r="H1012" t="s">
        <v>7476</v>
      </c>
      <c r="I1012" s="1">
        <v>2</v>
      </c>
      <c r="J1012" s="1">
        <v>2</v>
      </c>
      <c r="K1012" t="s">
        <v>7017</v>
      </c>
      <c r="L1012" s="5">
        <f>VLOOKUP(D:D,[1]Munka2!$A:$B,2,FALSE)</f>
        <v>1</v>
      </c>
      <c r="M1012" s="5">
        <f>_xlfn.IFNA(Táblázat1[[#This Row],[Kész2020]],0)</f>
        <v>1</v>
      </c>
      <c r="N1012" s="5">
        <f>IF(Táblázat1[[#This Row],[Karb./akt.év]]-Táblázat1[[#This Row],[Kész2020_2]]&lt;0,0,Táblázat1[[#This Row],[Karb./akt.év]]-Táblázat1[[#This Row],[Kész2020_2]])</f>
        <v>1</v>
      </c>
    </row>
    <row r="1013" spans="1:14" hidden="1" x14ac:dyDescent="0.25">
      <c r="A1013" s="17" t="s">
        <v>10</v>
      </c>
      <c r="B1013" s="17" t="s">
        <v>1350</v>
      </c>
      <c r="C1013" s="17" t="s">
        <v>1739</v>
      </c>
      <c r="D1013" s="17" t="s">
        <v>3168</v>
      </c>
      <c r="E1013" s="17" t="s">
        <v>3607</v>
      </c>
      <c r="F1013" s="17" t="s">
        <v>3608</v>
      </c>
      <c r="G1013" s="17" t="s">
        <v>6264</v>
      </c>
      <c r="H1013" t="s">
        <v>7476</v>
      </c>
      <c r="I1013" s="1">
        <v>2</v>
      </c>
      <c r="J1013" s="1">
        <v>2</v>
      </c>
      <c r="K1013" t="s">
        <v>6640</v>
      </c>
      <c r="L1013" s="5">
        <f>VLOOKUP(D:D,[1]Munka2!$A:$B,2,FALSE)</f>
        <v>1</v>
      </c>
      <c r="M1013" s="5">
        <f>_xlfn.IFNA(Táblázat1[[#This Row],[Kész2020]],0)</f>
        <v>1</v>
      </c>
      <c r="N1013" s="5">
        <f>IF(Táblázat1[[#This Row],[Karb./akt.év]]-Táblázat1[[#This Row],[Kész2020_2]]&lt;0,0,Táblázat1[[#This Row],[Karb./akt.év]]-Táblázat1[[#This Row],[Kész2020_2]])</f>
        <v>1</v>
      </c>
    </row>
    <row r="1014" spans="1:14" hidden="1" x14ac:dyDescent="0.25">
      <c r="A1014" s="17" t="s">
        <v>10</v>
      </c>
      <c r="B1014" s="17" t="s">
        <v>7505</v>
      </c>
      <c r="C1014" s="17" t="s">
        <v>1739</v>
      </c>
      <c r="D1014" s="17" t="s">
        <v>2639</v>
      </c>
      <c r="E1014" s="17" t="s">
        <v>3661</v>
      </c>
      <c r="F1014" s="17" t="s">
        <v>3662</v>
      </c>
      <c r="G1014" s="17" t="s">
        <v>5796</v>
      </c>
      <c r="H1014" t="s">
        <v>7476</v>
      </c>
      <c r="I1014" s="1">
        <v>2</v>
      </c>
      <c r="J1014" s="1">
        <v>2</v>
      </c>
      <c r="K1014" t="s">
        <v>6637</v>
      </c>
      <c r="L1014" s="5">
        <f>VLOOKUP(D:D,[1]Munka2!$A:$B,2,FALSE)</f>
        <v>1</v>
      </c>
      <c r="M1014" s="5">
        <f>_xlfn.IFNA(Táblázat1[[#This Row],[Kész2020]],0)</f>
        <v>1</v>
      </c>
      <c r="N1014" s="5">
        <f>IF(Táblázat1[[#This Row],[Karb./akt.év]]-Táblázat1[[#This Row],[Kész2020_2]]&lt;0,0,Táblázat1[[#This Row],[Karb./akt.év]]-Táblázat1[[#This Row],[Kész2020_2]])</f>
        <v>1</v>
      </c>
    </row>
    <row r="1015" spans="1:14" hidden="1" x14ac:dyDescent="0.25">
      <c r="A1015" s="17" t="s">
        <v>10</v>
      </c>
      <c r="B1015" s="17" t="s">
        <v>658</v>
      </c>
      <c r="C1015" s="17" t="s">
        <v>1741</v>
      </c>
      <c r="D1015" s="17" t="s">
        <v>7602</v>
      </c>
      <c r="E1015" s="17" t="s">
        <v>4049</v>
      </c>
      <c r="F1015" s="17" t="s">
        <v>3718</v>
      </c>
      <c r="G1015" s="17" t="s">
        <v>5616</v>
      </c>
      <c r="H1015" t="s">
        <v>7476</v>
      </c>
      <c r="I1015" s="1">
        <v>2</v>
      </c>
      <c r="J1015" s="1">
        <v>2</v>
      </c>
      <c r="K1015" t="s">
        <v>8102</v>
      </c>
      <c r="L1015" s="5">
        <f>VLOOKUP(D:D,[1]Munka2!$A:$B,2,FALSE)</f>
        <v>1</v>
      </c>
      <c r="M1015" s="5">
        <f>_xlfn.IFNA(Táblázat1[[#This Row],[Kész2020]],0)</f>
        <v>1</v>
      </c>
      <c r="N1015" s="5">
        <f>IF(Táblázat1[[#This Row],[Karb./akt.év]]-Táblázat1[[#This Row],[Kész2020_2]]&lt;0,0,Táblázat1[[#This Row],[Karb./akt.év]]-Táblázat1[[#This Row],[Kész2020_2]])</f>
        <v>1</v>
      </c>
    </row>
    <row r="1016" spans="1:14" hidden="1" x14ac:dyDescent="0.25">
      <c r="A1016" s="17" t="s">
        <v>10</v>
      </c>
      <c r="B1016" s="17" t="s">
        <v>508</v>
      </c>
      <c r="C1016" s="17" t="s">
        <v>1741</v>
      </c>
      <c r="D1016" s="17" t="s">
        <v>7603</v>
      </c>
      <c r="E1016" s="17" t="s">
        <v>4121</v>
      </c>
      <c r="F1016" s="17" t="s">
        <v>4122</v>
      </c>
      <c r="G1016" s="17" t="s">
        <v>5471</v>
      </c>
      <c r="H1016" t="s">
        <v>7476</v>
      </c>
      <c r="I1016" s="1">
        <v>2</v>
      </c>
      <c r="J1016" s="1">
        <v>2</v>
      </c>
      <c r="K1016" t="s">
        <v>7014</v>
      </c>
      <c r="L1016" s="5">
        <f>VLOOKUP(D:D,[1]Munka2!$A:$B,2,FALSE)</f>
        <v>1</v>
      </c>
      <c r="M1016" s="5">
        <f>_xlfn.IFNA(Táblázat1[[#This Row],[Kész2020]],0)</f>
        <v>1</v>
      </c>
      <c r="N1016" s="5">
        <f>IF(Táblázat1[[#This Row],[Karb./akt.év]]-Táblázat1[[#This Row],[Kész2020_2]]&lt;0,0,Táblázat1[[#This Row],[Karb./akt.év]]-Táblázat1[[#This Row],[Kész2020_2]])</f>
        <v>1</v>
      </c>
    </row>
    <row r="1017" spans="1:14" hidden="1" x14ac:dyDescent="0.25">
      <c r="A1017" s="17" t="s">
        <v>10</v>
      </c>
      <c r="B1017" s="17" t="s">
        <v>6956</v>
      </c>
      <c r="C1017" s="17" t="s">
        <v>1739</v>
      </c>
      <c r="D1017" s="17" t="s">
        <v>2788</v>
      </c>
      <c r="E1017" s="17" t="s">
        <v>4563</v>
      </c>
      <c r="F1017" s="17" t="s">
        <v>3598</v>
      </c>
      <c r="G1017" s="17" t="s">
        <v>5928</v>
      </c>
      <c r="H1017" t="s">
        <v>7476</v>
      </c>
      <c r="I1017" s="1">
        <v>2</v>
      </c>
      <c r="J1017" s="1">
        <v>2</v>
      </c>
      <c r="K1017" t="s">
        <v>6785</v>
      </c>
      <c r="L1017" s="5">
        <f>VLOOKUP(D:D,[1]Munka2!$A:$B,2,FALSE)</f>
        <v>1</v>
      </c>
      <c r="M1017" s="5">
        <f>_xlfn.IFNA(Táblázat1[[#This Row],[Kész2020]],0)</f>
        <v>1</v>
      </c>
      <c r="N1017" s="5">
        <f>IF(Táblázat1[[#This Row],[Karb./akt.év]]-Táblázat1[[#This Row],[Kész2020_2]]&lt;0,0,Táblázat1[[#This Row],[Karb./akt.év]]-Táblázat1[[#This Row],[Kész2020_2]])</f>
        <v>1</v>
      </c>
    </row>
    <row r="1018" spans="1:14" hidden="1" x14ac:dyDescent="0.25">
      <c r="A1018" s="17" t="s">
        <v>10</v>
      </c>
      <c r="B1018" s="17" t="s">
        <v>161</v>
      </c>
      <c r="C1018" s="17" t="s">
        <v>1739</v>
      </c>
      <c r="D1018" s="17" t="s">
        <v>1901</v>
      </c>
      <c r="E1018" s="17" t="s">
        <v>3763</v>
      </c>
      <c r="F1018" s="17" t="s">
        <v>3764</v>
      </c>
      <c r="G1018" s="17" t="s">
        <v>5131</v>
      </c>
      <c r="H1018" t="s">
        <v>7476</v>
      </c>
      <c r="I1018" s="1">
        <v>2</v>
      </c>
      <c r="J1018" s="1">
        <v>2</v>
      </c>
      <c r="K1018" t="s">
        <v>8103</v>
      </c>
      <c r="L1018" s="5">
        <f>VLOOKUP(D:D,[1]Munka2!$A:$B,2,FALSE)</f>
        <v>1</v>
      </c>
      <c r="M1018" s="5">
        <f>_xlfn.IFNA(Táblázat1[[#This Row],[Kész2020]],0)</f>
        <v>1</v>
      </c>
      <c r="N1018" s="5">
        <f>IF(Táblázat1[[#This Row],[Karb./akt.év]]-Táblázat1[[#This Row],[Kész2020_2]]&lt;0,0,Táblázat1[[#This Row],[Karb./akt.év]]-Táblázat1[[#This Row],[Kész2020_2]])</f>
        <v>1</v>
      </c>
    </row>
    <row r="1019" spans="1:14" hidden="1" x14ac:dyDescent="0.25">
      <c r="A1019" s="17" t="s">
        <v>10</v>
      </c>
      <c r="B1019" s="17" t="s">
        <v>6972</v>
      </c>
      <c r="C1019" s="17" t="s">
        <v>1739</v>
      </c>
      <c r="D1019" s="17" t="s">
        <v>2858</v>
      </c>
      <c r="E1019" s="17" t="s">
        <v>4386</v>
      </c>
      <c r="F1019" s="17" t="s">
        <v>4387</v>
      </c>
      <c r="G1019" s="17" t="s">
        <v>5999</v>
      </c>
      <c r="H1019" t="s">
        <v>7476</v>
      </c>
      <c r="I1019" s="1">
        <v>2</v>
      </c>
      <c r="J1019" s="1">
        <v>2</v>
      </c>
      <c r="K1019" t="s">
        <v>6639</v>
      </c>
      <c r="L1019" s="5">
        <f>VLOOKUP(D:D,[1]Munka2!$A:$B,2,FALSE)</f>
        <v>1</v>
      </c>
      <c r="M1019" s="5">
        <f>_xlfn.IFNA(Táblázat1[[#This Row],[Kész2020]],0)</f>
        <v>1</v>
      </c>
      <c r="N1019" s="5">
        <f>IF(Táblázat1[[#This Row],[Karb./akt.év]]-Táblázat1[[#This Row],[Kész2020_2]]&lt;0,0,Táblázat1[[#This Row],[Karb./akt.év]]-Táblázat1[[#This Row],[Kész2020_2]])</f>
        <v>1</v>
      </c>
    </row>
    <row r="1020" spans="1:14" hidden="1" x14ac:dyDescent="0.25">
      <c r="A1020" s="17" t="s">
        <v>10</v>
      </c>
      <c r="B1020" s="17" t="s">
        <v>374</v>
      </c>
      <c r="C1020" s="17" t="s">
        <v>1739</v>
      </c>
      <c r="D1020" s="17" t="s">
        <v>2128</v>
      </c>
      <c r="E1020" s="17" t="s">
        <v>3695</v>
      </c>
      <c r="F1020" s="17" t="s">
        <v>3696</v>
      </c>
      <c r="G1020" s="17" t="s">
        <v>8165</v>
      </c>
      <c r="H1020" t="s">
        <v>7476</v>
      </c>
      <c r="I1020" s="1">
        <v>2</v>
      </c>
      <c r="J1020" s="1">
        <v>2</v>
      </c>
      <c r="K1020" t="s">
        <v>6638</v>
      </c>
      <c r="L1020" s="5">
        <f>VLOOKUP(D:D,[1]Munka2!$A:$B,2,FALSE)</f>
        <v>1</v>
      </c>
      <c r="M1020" s="5">
        <f>_xlfn.IFNA(Táblázat1[[#This Row],[Kész2020]],0)</f>
        <v>1</v>
      </c>
      <c r="N1020" s="5">
        <f>IF(Táblázat1[[#This Row],[Karb./akt.év]]-Táblázat1[[#This Row],[Kész2020_2]]&lt;0,0,Táblázat1[[#This Row],[Karb./akt.év]]-Táblázat1[[#This Row],[Kész2020_2]])</f>
        <v>1</v>
      </c>
    </row>
    <row r="1021" spans="1:14" hidden="1" x14ac:dyDescent="0.25">
      <c r="A1021" s="17" t="s">
        <v>10</v>
      </c>
      <c r="B1021" s="17" t="s">
        <v>907</v>
      </c>
      <c r="C1021" s="17" t="s">
        <v>1741</v>
      </c>
      <c r="D1021" s="17" t="s">
        <v>7604</v>
      </c>
      <c r="E1021" s="17" t="s">
        <v>4479</v>
      </c>
      <c r="F1021" s="17" t="s">
        <v>4480</v>
      </c>
      <c r="G1021" s="17" t="s">
        <v>5834</v>
      </c>
      <c r="H1021" t="s">
        <v>7476</v>
      </c>
      <c r="I1021" s="1">
        <v>2</v>
      </c>
      <c r="J1021" s="1">
        <v>2</v>
      </c>
      <c r="K1021" t="s">
        <v>6634</v>
      </c>
      <c r="L1021" s="5">
        <f>VLOOKUP(D:D,[1]Munka2!$A:$B,2,FALSE)</f>
        <v>1</v>
      </c>
      <c r="M1021" s="5">
        <f>_xlfn.IFNA(Táblázat1[[#This Row],[Kész2020]],0)</f>
        <v>1</v>
      </c>
      <c r="N1021" s="5">
        <f>IF(Táblázat1[[#This Row],[Karb./akt.év]]-Táblázat1[[#This Row],[Kész2020_2]]&lt;0,0,Táblázat1[[#This Row],[Karb./akt.év]]-Táblázat1[[#This Row],[Kész2020_2]])</f>
        <v>1</v>
      </c>
    </row>
    <row r="1022" spans="1:14" hidden="1" x14ac:dyDescent="0.25">
      <c r="A1022" s="17" t="s">
        <v>10</v>
      </c>
      <c r="B1022" s="17" t="s">
        <v>430</v>
      </c>
      <c r="C1022" s="17" t="s">
        <v>1739</v>
      </c>
      <c r="D1022" s="17" t="s">
        <v>2187</v>
      </c>
      <c r="E1022" s="17" t="s">
        <v>4048</v>
      </c>
      <c r="F1022" s="17" t="s">
        <v>3598</v>
      </c>
      <c r="G1022" s="17" t="s">
        <v>5396</v>
      </c>
      <c r="H1022" t="s">
        <v>7476</v>
      </c>
      <c r="I1022" s="1">
        <v>2</v>
      </c>
      <c r="J1022" s="1">
        <v>2</v>
      </c>
      <c r="K1022" t="s">
        <v>6785</v>
      </c>
      <c r="L1022" s="5">
        <f>VLOOKUP(D:D,[1]Munka2!$A:$B,2,FALSE)</f>
        <v>1</v>
      </c>
      <c r="M1022" s="5">
        <f>_xlfn.IFNA(Táblázat1[[#This Row],[Kész2020]],0)</f>
        <v>1</v>
      </c>
      <c r="N1022" s="5">
        <f>IF(Táblázat1[[#This Row],[Karb./akt.év]]-Táblázat1[[#This Row],[Kész2020_2]]&lt;0,0,Táblázat1[[#This Row],[Karb./akt.év]]-Táblázat1[[#This Row],[Kész2020_2]])</f>
        <v>1</v>
      </c>
    </row>
    <row r="1023" spans="1:14" x14ac:dyDescent="0.25">
      <c r="A1023" s="17" t="s">
        <v>10</v>
      </c>
      <c r="B1023" s="17" t="s">
        <v>6975</v>
      </c>
      <c r="C1023" s="17" t="s">
        <v>1739</v>
      </c>
      <c r="D1023" s="17" t="s">
        <v>1797</v>
      </c>
      <c r="E1023" s="17" t="s">
        <v>3640</v>
      </c>
      <c r="F1023" s="17" t="s">
        <v>3598</v>
      </c>
      <c r="G1023" s="17" t="s">
        <v>5035</v>
      </c>
      <c r="H1023" t="s">
        <v>7476</v>
      </c>
      <c r="I1023" s="1">
        <v>2</v>
      </c>
      <c r="J1023" s="1">
        <v>2</v>
      </c>
      <c r="K1023" t="s">
        <v>6633</v>
      </c>
      <c r="L1023" s="5" t="e">
        <f>VLOOKUP(D:D,[1]Munka2!$A:$B,2,FALSE)</f>
        <v>#N/A</v>
      </c>
      <c r="M1023" s="5">
        <f>_xlfn.IFNA(Táblázat1[[#This Row],[Kész2020]],0)</f>
        <v>0</v>
      </c>
      <c r="N1023" s="5">
        <f>IF(Táblázat1[[#This Row],[Karb./akt.év]]-Táblázat1[[#This Row],[Kész2020_2]]&lt;0,0,Táblázat1[[#This Row],[Karb./akt.év]]-Táblázat1[[#This Row],[Kész2020_2]])</f>
        <v>2</v>
      </c>
    </row>
    <row r="1024" spans="1:14" hidden="1" x14ac:dyDescent="0.25">
      <c r="A1024" s="17" t="s">
        <v>10</v>
      </c>
      <c r="B1024" s="17" t="s">
        <v>1625</v>
      </c>
      <c r="C1024" s="17" t="s">
        <v>1739</v>
      </c>
      <c r="D1024" s="17" t="s">
        <v>3476</v>
      </c>
      <c r="E1024" s="17" t="s">
        <v>3597</v>
      </c>
      <c r="F1024" s="17" t="s">
        <v>3598</v>
      </c>
      <c r="G1024" s="17" t="s">
        <v>6523</v>
      </c>
      <c r="H1024" t="s">
        <v>7476</v>
      </c>
      <c r="I1024" s="1">
        <v>2</v>
      </c>
      <c r="J1024" s="1">
        <v>2</v>
      </c>
      <c r="K1024" t="s">
        <v>6633</v>
      </c>
      <c r="L1024" s="5">
        <f>VLOOKUP(D:D,[1]Munka2!$A:$B,2,FALSE)</f>
        <v>1</v>
      </c>
      <c r="M1024" s="5">
        <f>_xlfn.IFNA(Táblázat1[[#This Row],[Kész2020]],0)</f>
        <v>1</v>
      </c>
      <c r="N1024" s="5">
        <f>IF(Táblázat1[[#This Row],[Karb./akt.év]]-Táblázat1[[#This Row],[Kész2020_2]]&lt;0,0,Táblázat1[[#This Row],[Karb./akt.év]]-Táblázat1[[#This Row],[Kész2020_2]])</f>
        <v>1</v>
      </c>
    </row>
    <row r="1025" spans="1:14" hidden="1" x14ac:dyDescent="0.25">
      <c r="A1025" s="17" t="s">
        <v>10</v>
      </c>
      <c r="B1025" s="17" t="s">
        <v>7506</v>
      </c>
      <c r="C1025" s="17" t="s">
        <v>1739</v>
      </c>
      <c r="D1025" s="17" t="s">
        <v>2794</v>
      </c>
      <c r="E1025" s="17" t="s">
        <v>3625</v>
      </c>
      <c r="F1025" s="17" t="s">
        <v>3626</v>
      </c>
      <c r="G1025" s="17" t="s">
        <v>5934</v>
      </c>
      <c r="H1025" t="s">
        <v>7476</v>
      </c>
      <c r="I1025" s="1">
        <v>2</v>
      </c>
      <c r="J1025" s="1">
        <v>2</v>
      </c>
      <c r="K1025" t="s">
        <v>6642</v>
      </c>
      <c r="L1025" s="5">
        <f>VLOOKUP(D:D,[1]Munka2!$A:$B,2,FALSE)</f>
        <v>1</v>
      </c>
      <c r="M1025" s="5">
        <f>_xlfn.IFNA(Táblázat1[[#This Row],[Kész2020]],0)</f>
        <v>1</v>
      </c>
      <c r="N1025" s="5">
        <f>IF(Táblázat1[[#This Row],[Karb./akt.év]]-Táblázat1[[#This Row],[Kész2020_2]]&lt;0,0,Táblázat1[[#This Row],[Karb./akt.év]]-Táblázat1[[#This Row],[Kész2020_2]])</f>
        <v>1</v>
      </c>
    </row>
    <row r="1026" spans="1:14" hidden="1" x14ac:dyDescent="0.25">
      <c r="A1026" s="17" t="s">
        <v>10</v>
      </c>
      <c r="B1026" s="17" t="s">
        <v>905</v>
      </c>
      <c r="C1026" s="17" t="s">
        <v>1741</v>
      </c>
      <c r="D1026" s="17" t="s">
        <v>7419</v>
      </c>
      <c r="E1026" s="17" t="s">
        <v>3691</v>
      </c>
      <c r="F1026" s="17" t="s">
        <v>3692</v>
      </c>
      <c r="G1026" s="17" t="s">
        <v>5770</v>
      </c>
      <c r="H1026" t="s">
        <v>7476</v>
      </c>
      <c r="I1026" s="1">
        <v>2</v>
      </c>
      <c r="J1026" s="1">
        <v>2</v>
      </c>
      <c r="K1026" t="s">
        <v>6642</v>
      </c>
      <c r="L1026" s="5">
        <f>VLOOKUP(D:D,[1]Munka2!$A:$B,2,FALSE)</f>
        <v>1</v>
      </c>
      <c r="M1026" s="5">
        <f>_xlfn.IFNA(Táblázat1[[#This Row],[Kész2020]],0)</f>
        <v>1</v>
      </c>
      <c r="N1026" s="5">
        <f>IF(Táblázat1[[#This Row],[Karb./akt.év]]-Táblázat1[[#This Row],[Kész2020_2]]&lt;0,0,Táblázat1[[#This Row],[Karb./akt.év]]-Táblázat1[[#This Row],[Kész2020_2]])</f>
        <v>1</v>
      </c>
    </row>
    <row r="1027" spans="1:14" hidden="1" x14ac:dyDescent="0.25">
      <c r="A1027" s="17" t="s">
        <v>10</v>
      </c>
      <c r="B1027" s="17" t="s">
        <v>336</v>
      </c>
      <c r="C1027" s="17" t="s">
        <v>1739</v>
      </c>
      <c r="D1027" s="17" t="s">
        <v>2085</v>
      </c>
      <c r="E1027" s="17" t="s">
        <v>3957</v>
      </c>
      <c r="F1027" s="17" t="s">
        <v>3958</v>
      </c>
      <c r="G1027" s="17" t="s">
        <v>5300</v>
      </c>
      <c r="H1027" t="s">
        <v>7476</v>
      </c>
      <c r="I1027" s="1">
        <v>2</v>
      </c>
      <c r="J1027" s="1">
        <v>2</v>
      </c>
      <c r="K1027" t="s">
        <v>7014</v>
      </c>
      <c r="L1027" s="5">
        <f>VLOOKUP(D:D,[1]Munka2!$A:$B,2,FALSE)</f>
        <v>1</v>
      </c>
      <c r="M1027" s="5">
        <f>_xlfn.IFNA(Táblázat1[[#This Row],[Kész2020]],0)</f>
        <v>1</v>
      </c>
      <c r="N1027" s="5">
        <f>IF(Táblázat1[[#This Row],[Karb./akt.év]]-Táblázat1[[#This Row],[Kész2020_2]]&lt;0,0,Táblázat1[[#This Row],[Karb./akt.év]]-Táblázat1[[#This Row],[Kész2020_2]])</f>
        <v>1</v>
      </c>
    </row>
    <row r="1028" spans="1:14" hidden="1" x14ac:dyDescent="0.25">
      <c r="A1028" s="17" t="s">
        <v>10</v>
      </c>
      <c r="B1028" s="17" t="s">
        <v>7507</v>
      </c>
      <c r="C1028" s="17" t="s">
        <v>1739</v>
      </c>
      <c r="D1028" s="17" t="s">
        <v>3181</v>
      </c>
      <c r="E1028" s="17" t="s">
        <v>3988</v>
      </c>
      <c r="F1028" s="17" t="s">
        <v>3989</v>
      </c>
      <c r="G1028" s="17" t="s">
        <v>6273</v>
      </c>
      <c r="H1028" t="s">
        <v>7476</v>
      </c>
      <c r="I1028" s="1">
        <v>2</v>
      </c>
      <c r="J1028" s="1">
        <v>2</v>
      </c>
      <c r="K1028" t="s">
        <v>6636</v>
      </c>
      <c r="L1028" s="5">
        <f>VLOOKUP(D:D,[1]Munka2!$A:$B,2,FALSE)</f>
        <v>1</v>
      </c>
      <c r="M1028" s="5">
        <f>_xlfn.IFNA(Táblázat1[[#This Row],[Kész2020]],0)</f>
        <v>1</v>
      </c>
      <c r="N1028" s="5">
        <f>IF(Táblázat1[[#This Row],[Karb./akt.év]]-Táblázat1[[#This Row],[Kész2020_2]]&lt;0,0,Táblázat1[[#This Row],[Karb./akt.év]]-Táblázat1[[#This Row],[Kész2020_2]])</f>
        <v>1</v>
      </c>
    </row>
    <row r="1029" spans="1:14" hidden="1" x14ac:dyDescent="0.25">
      <c r="A1029" s="17" t="s">
        <v>10</v>
      </c>
      <c r="B1029" s="17" t="s">
        <v>7508</v>
      </c>
      <c r="C1029" s="17" t="s">
        <v>1739</v>
      </c>
      <c r="D1029" s="17" t="s">
        <v>3056</v>
      </c>
      <c r="E1029" s="17" t="s">
        <v>4564</v>
      </c>
      <c r="F1029" s="17" t="s">
        <v>4621</v>
      </c>
      <c r="G1029" s="17" t="s">
        <v>6172</v>
      </c>
      <c r="H1029" t="s">
        <v>7476</v>
      </c>
      <c r="I1029" s="1">
        <v>2</v>
      </c>
      <c r="J1029" s="1">
        <v>2</v>
      </c>
      <c r="K1029" t="s">
        <v>6634</v>
      </c>
      <c r="L1029" s="5">
        <f>VLOOKUP(D:D,[1]Munka2!$A:$B,2,FALSE)</f>
        <v>1</v>
      </c>
      <c r="M1029" s="5">
        <f>_xlfn.IFNA(Táblázat1[[#This Row],[Kész2020]],0)</f>
        <v>1</v>
      </c>
      <c r="N1029" s="5">
        <f>IF(Táblázat1[[#This Row],[Karb./akt.év]]-Táblázat1[[#This Row],[Kész2020_2]]&lt;0,0,Táblázat1[[#This Row],[Karb./akt.év]]-Táblázat1[[#This Row],[Kész2020_2]])</f>
        <v>1</v>
      </c>
    </row>
    <row r="1030" spans="1:14" hidden="1" x14ac:dyDescent="0.25">
      <c r="A1030" s="17" t="s">
        <v>10</v>
      </c>
      <c r="B1030" s="17" t="s">
        <v>941</v>
      </c>
      <c r="C1030" s="17" t="s">
        <v>1739</v>
      </c>
      <c r="D1030" s="17" t="s">
        <v>2729</v>
      </c>
      <c r="E1030" s="17" t="s">
        <v>4537</v>
      </c>
      <c r="F1030" s="17" t="s">
        <v>3598</v>
      </c>
      <c r="G1030" s="17" t="s">
        <v>5871</v>
      </c>
      <c r="H1030" t="s">
        <v>7476</v>
      </c>
      <c r="I1030" s="1">
        <v>2</v>
      </c>
      <c r="J1030" s="1">
        <v>2</v>
      </c>
      <c r="K1030" t="s">
        <v>8101</v>
      </c>
      <c r="L1030" s="5">
        <f>VLOOKUP(D:D,[1]Munka2!$A:$B,2,FALSE)</f>
        <v>1</v>
      </c>
      <c r="M1030" s="5">
        <f>_xlfn.IFNA(Táblázat1[[#This Row],[Kész2020]],0)</f>
        <v>1</v>
      </c>
      <c r="N1030" s="5">
        <f>IF(Táblázat1[[#This Row],[Karb./akt.év]]-Táblázat1[[#This Row],[Kész2020_2]]&lt;0,0,Táblázat1[[#This Row],[Karb./akt.év]]-Táblázat1[[#This Row],[Kész2020_2]])</f>
        <v>1</v>
      </c>
    </row>
    <row r="1031" spans="1:14" hidden="1" x14ac:dyDescent="0.25">
      <c r="A1031" s="17" t="s">
        <v>10</v>
      </c>
      <c r="B1031" s="17" t="s">
        <v>40</v>
      </c>
      <c r="C1031" s="17" t="s">
        <v>1739</v>
      </c>
      <c r="D1031" s="17" t="s">
        <v>1778</v>
      </c>
      <c r="E1031" s="17" t="s">
        <v>3605</v>
      </c>
      <c r="F1031" s="17" t="s">
        <v>3606</v>
      </c>
      <c r="G1031" s="17" t="s">
        <v>5017</v>
      </c>
      <c r="H1031" t="s">
        <v>7476</v>
      </c>
      <c r="I1031" s="1">
        <v>2</v>
      </c>
      <c r="J1031" s="1">
        <v>2</v>
      </c>
      <c r="K1031" t="s">
        <v>6635</v>
      </c>
      <c r="L1031" s="5">
        <f>VLOOKUP(D:D,[1]Munka2!$A:$B,2,FALSE)</f>
        <v>1</v>
      </c>
      <c r="M1031" s="5">
        <f>_xlfn.IFNA(Táblázat1[[#This Row],[Kész2020]],0)</f>
        <v>1</v>
      </c>
      <c r="N1031" s="5">
        <f>IF(Táblázat1[[#This Row],[Karb./akt.év]]-Táblázat1[[#This Row],[Kész2020_2]]&lt;0,0,Táblázat1[[#This Row],[Karb./akt.év]]-Táblázat1[[#This Row],[Kész2020_2]])</f>
        <v>1</v>
      </c>
    </row>
    <row r="1032" spans="1:14" hidden="1" x14ac:dyDescent="0.25">
      <c r="A1032" s="17" t="s">
        <v>10</v>
      </c>
      <c r="B1032" s="17" t="s">
        <v>1716</v>
      </c>
      <c r="C1032" s="17" t="s">
        <v>1741</v>
      </c>
      <c r="D1032" s="17" t="s">
        <v>7605</v>
      </c>
      <c r="E1032" s="17" t="s">
        <v>4413</v>
      </c>
      <c r="F1032" s="17" t="s">
        <v>4414</v>
      </c>
      <c r="G1032" s="17" t="s">
        <v>6609</v>
      </c>
      <c r="H1032" t="s">
        <v>7476</v>
      </c>
      <c r="I1032" s="1">
        <v>2</v>
      </c>
      <c r="J1032" s="1">
        <v>2</v>
      </c>
      <c r="K1032" t="s">
        <v>6640</v>
      </c>
      <c r="L1032" s="5">
        <f>VLOOKUP(D:D,[1]Munka2!$A:$B,2,FALSE)</f>
        <v>1</v>
      </c>
      <c r="M1032" s="5">
        <f>_xlfn.IFNA(Táblázat1[[#This Row],[Kész2020]],0)</f>
        <v>1</v>
      </c>
      <c r="N1032" s="5">
        <f>IF(Táblázat1[[#This Row],[Karb./akt.év]]-Táblázat1[[#This Row],[Kész2020_2]]&lt;0,0,Táblázat1[[#This Row],[Karb./akt.év]]-Táblázat1[[#This Row],[Kész2020_2]])</f>
        <v>1</v>
      </c>
    </row>
    <row r="1033" spans="1:14" hidden="1" x14ac:dyDescent="0.25">
      <c r="A1033" s="17" t="s">
        <v>10</v>
      </c>
      <c r="B1033" s="17" t="s">
        <v>1071</v>
      </c>
      <c r="C1033" s="17" t="s">
        <v>1739</v>
      </c>
      <c r="D1033" s="17" t="s">
        <v>2860</v>
      </c>
      <c r="E1033" s="17" t="s">
        <v>4395</v>
      </c>
      <c r="F1033" s="17" t="s">
        <v>4396</v>
      </c>
      <c r="G1033" s="17" t="s">
        <v>6001</v>
      </c>
      <c r="H1033" t="s">
        <v>7476</v>
      </c>
      <c r="I1033" s="1">
        <v>2</v>
      </c>
      <c r="J1033" s="1">
        <v>2</v>
      </c>
      <c r="K1033" t="s">
        <v>6641</v>
      </c>
      <c r="L1033" s="5">
        <f>VLOOKUP(D:D,[1]Munka2!$A:$B,2,FALSE)</f>
        <v>1</v>
      </c>
      <c r="M1033" s="5">
        <f>_xlfn.IFNA(Táblázat1[[#This Row],[Kész2020]],0)</f>
        <v>1</v>
      </c>
      <c r="N1033" s="5">
        <f>IF(Táblázat1[[#This Row],[Karb./akt.év]]-Táblázat1[[#This Row],[Kész2020_2]]&lt;0,0,Táblázat1[[#This Row],[Karb./akt.év]]-Táblázat1[[#This Row],[Kész2020_2]])</f>
        <v>1</v>
      </c>
    </row>
    <row r="1034" spans="1:14" hidden="1" x14ac:dyDescent="0.25">
      <c r="A1034" s="17" t="s">
        <v>10</v>
      </c>
      <c r="B1034" s="17" t="s">
        <v>1063</v>
      </c>
      <c r="C1034" s="17" t="s">
        <v>1739</v>
      </c>
      <c r="D1034" s="17" t="s">
        <v>2851</v>
      </c>
      <c r="E1034" s="17" t="s">
        <v>4009</v>
      </c>
      <c r="F1034" s="17" t="s">
        <v>4010</v>
      </c>
      <c r="G1034" s="17" t="s">
        <v>5992</v>
      </c>
      <c r="H1034" t="s">
        <v>7476</v>
      </c>
      <c r="I1034" s="1">
        <v>2</v>
      </c>
      <c r="J1034" s="1">
        <v>2</v>
      </c>
      <c r="K1034" t="s">
        <v>6638</v>
      </c>
      <c r="L1034" s="5">
        <f>VLOOKUP(D:D,[1]Munka2!$A:$B,2,FALSE)</f>
        <v>1</v>
      </c>
      <c r="M1034" s="5">
        <f>_xlfn.IFNA(Táblázat1[[#This Row],[Kész2020]],0)</f>
        <v>1</v>
      </c>
      <c r="N1034" s="5">
        <f>IF(Táblázat1[[#This Row],[Karb./akt.év]]-Táblázat1[[#This Row],[Kész2020_2]]&lt;0,0,Táblázat1[[#This Row],[Karb./akt.év]]-Táblázat1[[#This Row],[Kész2020_2]])</f>
        <v>1</v>
      </c>
    </row>
    <row r="1035" spans="1:14" hidden="1" x14ac:dyDescent="0.25">
      <c r="A1035" s="17" t="s">
        <v>10</v>
      </c>
      <c r="B1035" s="17" t="s">
        <v>278</v>
      </c>
      <c r="C1035" s="17" t="s">
        <v>1739</v>
      </c>
      <c r="D1035" s="17" t="s">
        <v>2027</v>
      </c>
      <c r="E1035" s="17" t="s">
        <v>3619</v>
      </c>
      <c r="F1035" s="17" t="s">
        <v>3620</v>
      </c>
      <c r="G1035" s="17" t="s">
        <v>5246</v>
      </c>
      <c r="H1035" t="s">
        <v>7476</v>
      </c>
      <c r="I1035" s="1">
        <v>2</v>
      </c>
      <c r="J1035" s="1">
        <v>2</v>
      </c>
      <c r="K1035" t="s">
        <v>6642</v>
      </c>
      <c r="L1035" s="5">
        <f>VLOOKUP(D:D,[1]Munka2!$A:$B,2,FALSE)</f>
        <v>1</v>
      </c>
      <c r="M1035" s="5">
        <f>_xlfn.IFNA(Táblázat1[[#This Row],[Kész2020]],0)</f>
        <v>1</v>
      </c>
      <c r="N1035" s="5">
        <f>IF(Táblázat1[[#This Row],[Karb./akt.év]]-Táblázat1[[#This Row],[Kész2020_2]]&lt;0,0,Táblázat1[[#This Row],[Karb./akt.év]]-Táblázat1[[#This Row],[Kész2020_2]])</f>
        <v>1</v>
      </c>
    </row>
    <row r="1036" spans="1:14" hidden="1" x14ac:dyDescent="0.25">
      <c r="A1036" s="17" t="s">
        <v>10</v>
      </c>
      <c r="B1036" s="17" t="s">
        <v>7509</v>
      </c>
      <c r="C1036" s="17" t="s">
        <v>1739</v>
      </c>
      <c r="D1036" s="17" t="s">
        <v>3276</v>
      </c>
      <c r="E1036" s="17" t="s">
        <v>3838</v>
      </c>
      <c r="F1036" s="17" t="s">
        <v>3839</v>
      </c>
      <c r="G1036" s="17" t="s">
        <v>6350</v>
      </c>
      <c r="H1036" t="s">
        <v>7476</v>
      </c>
      <c r="I1036" s="1">
        <v>2</v>
      </c>
      <c r="J1036" s="1">
        <v>2</v>
      </c>
      <c r="K1036" t="s">
        <v>6784</v>
      </c>
      <c r="L1036" s="5">
        <f>VLOOKUP(D:D,[1]Munka2!$A:$B,2,FALSE)</f>
        <v>1</v>
      </c>
      <c r="M1036" s="5">
        <f>_xlfn.IFNA(Táblázat1[[#This Row],[Kész2020]],0)</f>
        <v>1</v>
      </c>
      <c r="N1036" s="5">
        <f>IF(Táblázat1[[#This Row],[Karb./akt.év]]-Táblázat1[[#This Row],[Kész2020_2]]&lt;0,0,Táblázat1[[#This Row],[Karb./akt.év]]-Táblázat1[[#This Row],[Kész2020_2]])</f>
        <v>1</v>
      </c>
    </row>
    <row r="1037" spans="1:14" hidden="1" x14ac:dyDescent="0.25">
      <c r="A1037" s="17" t="s">
        <v>10</v>
      </c>
      <c r="B1037" s="17" t="s">
        <v>7510</v>
      </c>
      <c r="C1037" s="17" t="s">
        <v>1739</v>
      </c>
      <c r="D1037" s="17" t="s">
        <v>1784</v>
      </c>
      <c r="E1037" s="17" t="s">
        <v>3609</v>
      </c>
      <c r="F1037" s="17" t="s">
        <v>3610</v>
      </c>
      <c r="G1037" s="17" t="s">
        <v>5022</v>
      </c>
      <c r="H1037" t="s">
        <v>7476</v>
      </c>
      <c r="I1037" s="1">
        <v>2</v>
      </c>
      <c r="J1037" s="1">
        <v>2</v>
      </c>
      <c r="K1037" t="s">
        <v>6784</v>
      </c>
      <c r="L1037" s="5">
        <f>VLOOKUP(D:D,[1]Munka2!$A:$B,2,FALSE)</f>
        <v>1</v>
      </c>
      <c r="M1037" s="5">
        <f>_xlfn.IFNA(Táblázat1[[#This Row],[Kész2020]],0)</f>
        <v>1</v>
      </c>
      <c r="N1037" s="5">
        <f>IF(Táblázat1[[#This Row],[Karb./akt.év]]-Táblázat1[[#This Row],[Kész2020_2]]&lt;0,0,Táblázat1[[#This Row],[Karb./akt.év]]-Táblázat1[[#This Row],[Kész2020_2]])</f>
        <v>1</v>
      </c>
    </row>
    <row r="1038" spans="1:14" hidden="1" x14ac:dyDescent="0.25">
      <c r="A1038" s="17" t="s">
        <v>10</v>
      </c>
      <c r="B1038" s="17" t="s">
        <v>7511</v>
      </c>
      <c r="C1038" s="17" t="s">
        <v>1739</v>
      </c>
      <c r="D1038" s="17" t="s">
        <v>2234</v>
      </c>
      <c r="E1038" s="17" t="s">
        <v>3932</v>
      </c>
      <c r="F1038" s="17" t="s">
        <v>3933</v>
      </c>
      <c r="G1038" s="17" t="s">
        <v>5437</v>
      </c>
      <c r="H1038" t="s">
        <v>7476</v>
      </c>
      <c r="I1038" s="1">
        <v>2</v>
      </c>
      <c r="J1038" s="1">
        <v>2</v>
      </c>
      <c r="K1038" t="s">
        <v>6634</v>
      </c>
      <c r="L1038" s="5">
        <f>VLOOKUP(D:D,[1]Munka2!$A:$B,2,FALSE)</f>
        <v>1</v>
      </c>
      <c r="M1038" s="5">
        <f>_xlfn.IFNA(Táblázat1[[#This Row],[Kész2020]],0)</f>
        <v>1</v>
      </c>
      <c r="N1038" s="5">
        <f>IF(Táblázat1[[#This Row],[Karb./akt.év]]-Táblázat1[[#This Row],[Kész2020_2]]&lt;0,0,Táblázat1[[#This Row],[Karb./akt.év]]-Táblázat1[[#This Row],[Kész2020_2]])</f>
        <v>1</v>
      </c>
    </row>
    <row r="1039" spans="1:14" hidden="1" x14ac:dyDescent="0.25">
      <c r="A1039" s="17" t="s">
        <v>10</v>
      </c>
      <c r="B1039" s="17" t="s">
        <v>1576</v>
      </c>
      <c r="C1039" s="17" t="s">
        <v>1739</v>
      </c>
      <c r="D1039" s="17" t="s">
        <v>3424</v>
      </c>
      <c r="E1039" s="17" t="s">
        <v>4024</v>
      </c>
      <c r="F1039" s="17" t="s">
        <v>3598</v>
      </c>
      <c r="G1039" s="17" t="s">
        <v>6478</v>
      </c>
      <c r="H1039" t="s">
        <v>7476</v>
      </c>
      <c r="I1039" s="1">
        <v>2</v>
      </c>
      <c r="J1039" s="1">
        <v>2</v>
      </c>
      <c r="K1039" t="s">
        <v>6785</v>
      </c>
      <c r="L1039" s="5">
        <f>VLOOKUP(D:D,[1]Munka2!$A:$B,2,FALSE)</f>
        <v>1</v>
      </c>
      <c r="M1039" s="5">
        <f>_xlfn.IFNA(Táblázat1[[#This Row],[Kész2020]],0)</f>
        <v>1</v>
      </c>
      <c r="N1039" s="5">
        <f>IF(Táblázat1[[#This Row],[Karb./akt.év]]-Táblázat1[[#This Row],[Kész2020_2]]&lt;0,0,Táblázat1[[#This Row],[Karb./akt.év]]-Táblázat1[[#This Row],[Kész2020_2]])</f>
        <v>1</v>
      </c>
    </row>
    <row r="1040" spans="1:14" hidden="1" x14ac:dyDescent="0.25">
      <c r="A1040" s="17" t="s">
        <v>10</v>
      </c>
      <c r="B1040" s="17" t="s">
        <v>1384</v>
      </c>
      <c r="C1040" s="17" t="s">
        <v>1741</v>
      </c>
      <c r="D1040" s="17" t="s">
        <v>7677</v>
      </c>
      <c r="E1040" s="17" t="s">
        <v>4849</v>
      </c>
      <c r="F1040" s="17" t="s">
        <v>4850</v>
      </c>
      <c r="G1040" s="17" t="s">
        <v>8151</v>
      </c>
      <c r="H1040" t="s">
        <v>7476</v>
      </c>
      <c r="I1040" s="1">
        <v>2</v>
      </c>
      <c r="J1040" s="1">
        <v>2</v>
      </c>
      <c r="K1040" t="s">
        <v>6784</v>
      </c>
      <c r="L1040" s="5">
        <f>VLOOKUP(D:D,[1]Munka2!$A:$B,2,FALSE)</f>
        <v>1</v>
      </c>
      <c r="M1040" s="5">
        <f>_xlfn.IFNA(Táblázat1[[#This Row],[Kész2020]],0)</f>
        <v>1</v>
      </c>
      <c r="N1040" s="5">
        <f>IF(Táblázat1[[#This Row],[Karb./akt.év]]-Táblázat1[[#This Row],[Kész2020_2]]&lt;0,0,Táblázat1[[#This Row],[Karb./akt.év]]-Táblázat1[[#This Row],[Kész2020_2]])</f>
        <v>1</v>
      </c>
    </row>
    <row r="1041" spans="1:14" hidden="1" x14ac:dyDescent="0.25">
      <c r="A1041" s="17" t="s">
        <v>10</v>
      </c>
      <c r="B1041" s="17" t="s">
        <v>1677</v>
      </c>
      <c r="C1041" s="17" t="s">
        <v>1741</v>
      </c>
      <c r="D1041" s="17" t="s">
        <v>7423</v>
      </c>
      <c r="E1041" s="17" t="s">
        <v>3916</v>
      </c>
      <c r="F1041" s="17" t="s">
        <v>3917</v>
      </c>
      <c r="G1041" s="17" t="s">
        <v>6573</v>
      </c>
      <c r="H1041" t="s">
        <v>7476</v>
      </c>
      <c r="I1041" s="1">
        <v>2</v>
      </c>
      <c r="J1041" s="1">
        <v>2</v>
      </c>
      <c r="K1041" t="s">
        <v>6639</v>
      </c>
      <c r="L1041" s="5">
        <f>VLOOKUP(D:D,[1]Munka2!$A:$B,2,FALSE)</f>
        <v>1</v>
      </c>
      <c r="M1041" s="5">
        <f>_xlfn.IFNA(Táblázat1[[#This Row],[Kész2020]],0)</f>
        <v>1</v>
      </c>
      <c r="N1041" s="5">
        <f>IF(Táblázat1[[#This Row],[Karb./akt.év]]-Táblázat1[[#This Row],[Kész2020_2]]&lt;0,0,Táblázat1[[#This Row],[Karb./akt.év]]-Táblázat1[[#This Row],[Kész2020_2]])</f>
        <v>1</v>
      </c>
    </row>
    <row r="1042" spans="1:14" hidden="1" x14ac:dyDescent="0.25">
      <c r="A1042" s="17" t="s">
        <v>10</v>
      </c>
      <c r="B1042" s="17" t="s">
        <v>418</v>
      </c>
      <c r="C1042" s="17" t="s">
        <v>1741</v>
      </c>
      <c r="D1042" s="17" t="s">
        <v>7606</v>
      </c>
      <c r="E1042" s="17" t="s">
        <v>4036</v>
      </c>
      <c r="F1042" s="17" t="s">
        <v>3823</v>
      </c>
      <c r="G1042" s="17" t="s">
        <v>5383</v>
      </c>
      <c r="H1042" t="s">
        <v>7476</v>
      </c>
      <c r="I1042" s="1">
        <v>2</v>
      </c>
      <c r="J1042" s="1">
        <v>2</v>
      </c>
      <c r="K1042" t="s">
        <v>6784</v>
      </c>
      <c r="L1042" s="5">
        <f>VLOOKUP(D:D,[1]Munka2!$A:$B,2,FALSE)</f>
        <v>1</v>
      </c>
      <c r="M1042" s="5">
        <f>_xlfn.IFNA(Táblázat1[[#This Row],[Kész2020]],0)</f>
        <v>1</v>
      </c>
      <c r="N1042" s="5">
        <f>IF(Táblázat1[[#This Row],[Karb./akt.év]]-Táblázat1[[#This Row],[Kész2020_2]]&lt;0,0,Táblázat1[[#This Row],[Karb./akt.év]]-Táblázat1[[#This Row],[Kész2020_2]])</f>
        <v>1</v>
      </c>
    </row>
    <row r="1043" spans="1:14" hidden="1" x14ac:dyDescent="0.25">
      <c r="A1043" s="17" t="s">
        <v>10</v>
      </c>
      <c r="B1043" s="17" t="s">
        <v>594</v>
      </c>
      <c r="C1043" s="17" t="s">
        <v>1741</v>
      </c>
      <c r="D1043" s="17" t="s">
        <v>7607</v>
      </c>
      <c r="E1043" s="17" t="s">
        <v>4214</v>
      </c>
      <c r="F1043" s="17" t="s">
        <v>3598</v>
      </c>
      <c r="G1043" s="17" t="s">
        <v>5557</v>
      </c>
      <c r="H1043" t="s">
        <v>7476</v>
      </c>
      <c r="I1043" s="1">
        <v>2</v>
      </c>
      <c r="J1043" s="1">
        <v>2</v>
      </c>
      <c r="K1043" t="s">
        <v>7017</v>
      </c>
      <c r="L1043" s="5">
        <f>VLOOKUP(D:D,[1]Munka2!$A:$B,2,FALSE)</f>
        <v>1</v>
      </c>
      <c r="M1043" s="5">
        <f>_xlfn.IFNA(Táblázat1[[#This Row],[Kész2020]],0)</f>
        <v>1</v>
      </c>
      <c r="N1043" s="5">
        <f>IF(Táblázat1[[#This Row],[Karb./akt.év]]-Táblázat1[[#This Row],[Kész2020_2]]&lt;0,0,Táblázat1[[#This Row],[Karb./akt.év]]-Táblázat1[[#This Row],[Kész2020_2]])</f>
        <v>1</v>
      </c>
    </row>
    <row r="1044" spans="1:14" hidden="1" x14ac:dyDescent="0.25">
      <c r="A1044" s="17" t="s">
        <v>10</v>
      </c>
      <c r="B1044" s="17" t="s">
        <v>474</v>
      </c>
      <c r="C1044" s="17" t="s">
        <v>1741</v>
      </c>
      <c r="D1044" s="17" t="s">
        <v>7608</v>
      </c>
      <c r="E1044" s="17" t="s">
        <v>4077</v>
      </c>
      <c r="F1044" s="17" t="s">
        <v>4078</v>
      </c>
      <c r="G1044" s="17" t="s">
        <v>5436</v>
      </c>
      <c r="H1044" t="s">
        <v>7476</v>
      </c>
      <c r="I1044" s="1">
        <v>2</v>
      </c>
      <c r="J1044" s="1">
        <v>2</v>
      </c>
      <c r="K1044" t="s">
        <v>8103</v>
      </c>
      <c r="L1044" s="5">
        <f>VLOOKUP(D:D,[1]Munka2!$A:$B,2,FALSE)</f>
        <v>1</v>
      </c>
      <c r="M1044" s="5">
        <f>_xlfn.IFNA(Táblázat1[[#This Row],[Kész2020]],0)</f>
        <v>1</v>
      </c>
      <c r="N1044" s="5">
        <f>IF(Táblázat1[[#This Row],[Karb./akt.év]]-Táblázat1[[#This Row],[Kész2020_2]]&lt;0,0,Táblázat1[[#This Row],[Karb./akt.év]]-Táblázat1[[#This Row],[Kész2020_2]])</f>
        <v>1</v>
      </c>
    </row>
    <row r="1045" spans="1:14" hidden="1" x14ac:dyDescent="0.25">
      <c r="A1045" s="17" t="s">
        <v>10</v>
      </c>
      <c r="B1045" s="17" t="s">
        <v>7134</v>
      </c>
      <c r="C1045" s="17" t="s">
        <v>1741</v>
      </c>
      <c r="D1045" s="17" t="s">
        <v>7152</v>
      </c>
      <c r="E1045" s="17" t="s">
        <v>3777</v>
      </c>
      <c r="F1045" s="17" t="s">
        <v>3778</v>
      </c>
      <c r="G1045" s="17" t="s">
        <v>7166</v>
      </c>
      <c r="H1045" t="s">
        <v>7476</v>
      </c>
      <c r="I1045" s="1">
        <v>2</v>
      </c>
      <c r="J1045" s="1">
        <v>2</v>
      </c>
      <c r="K1045" t="s">
        <v>6637</v>
      </c>
      <c r="L1045" s="5">
        <f>VLOOKUP(D:D,[1]Munka2!$A:$B,2,FALSE)</f>
        <v>1</v>
      </c>
      <c r="M1045" s="5">
        <f>_xlfn.IFNA(Táblázat1[[#This Row],[Kész2020]],0)</f>
        <v>1</v>
      </c>
      <c r="N1045" s="5">
        <f>IF(Táblázat1[[#This Row],[Karb./akt.év]]-Táblázat1[[#This Row],[Kész2020_2]]&lt;0,0,Táblázat1[[#This Row],[Karb./akt.év]]-Táblázat1[[#This Row],[Kész2020_2]])</f>
        <v>1</v>
      </c>
    </row>
    <row r="1046" spans="1:14" hidden="1" x14ac:dyDescent="0.25">
      <c r="A1046" s="17" t="s">
        <v>10</v>
      </c>
      <c r="B1046" s="17" t="s">
        <v>7512</v>
      </c>
      <c r="C1046" s="17" t="s">
        <v>1739</v>
      </c>
      <c r="D1046" s="17" t="s">
        <v>2625</v>
      </c>
      <c r="E1046" s="17" t="s">
        <v>4194</v>
      </c>
      <c r="F1046" s="17" t="s">
        <v>4195</v>
      </c>
      <c r="G1046" s="17" t="s">
        <v>5784</v>
      </c>
      <c r="H1046" t="s">
        <v>7476</v>
      </c>
      <c r="I1046" s="1">
        <v>2</v>
      </c>
      <c r="J1046" s="1">
        <v>2</v>
      </c>
      <c r="K1046" t="s">
        <v>6639</v>
      </c>
      <c r="L1046" s="5">
        <f>VLOOKUP(D:D,[1]Munka2!$A:$B,2,FALSE)</f>
        <v>1</v>
      </c>
      <c r="M1046" s="5">
        <f>_xlfn.IFNA(Táblázat1[[#This Row],[Kész2020]],0)</f>
        <v>1</v>
      </c>
      <c r="N1046" s="5">
        <f>IF(Táblázat1[[#This Row],[Karb./akt.év]]-Táblázat1[[#This Row],[Kész2020_2]]&lt;0,0,Táblázat1[[#This Row],[Karb./akt.év]]-Táblázat1[[#This Row],[Kész2020_2]])</f>
        <v>1</v>
      </c>
    </row>
    <row r="1047" spans="1:14" hidden="1" x14ac:dyDescent="0.25">
      <c r="A1047" s="17" t="s">
        <v>10</v>
      </c>
      <c r="B1047" s="17" t="s">
        <v>7513</v>
      </c>
      <c r="C1047" s="17" t="s">
        <v>1741</v>
      </c>
      <c r="D1047" s="17" t="s">
        <v>7417</v>
      </c>
      <c r="E1047" s="17" t="s">
        <v>3939</v>
      </c>
      <c r="F1047" s="17" t="s">
        <v>3940</v>
      </c>
      <c r="G1047" s="17" t="s">
        <v>5425</v>
      </c>
      <c r="H1047" t="s">
        <v>7476</v>
      </c>
      <c r="I1047" s="1">
        <v>2</v>
      </c>
      <c r="J1047" s="1">
        <v>2</v>
      </c>
      <c r="K1047" t="s">
        <v>6633</v>
      </c>
      <c r="L1047" s="5">
        <f>VLOOKUP(D:D,[1]Munka2!$A:$B,2,FALSE)</f>
        <v>1</v>
      </c>
      <c r="M1047" s="5">
        <f>_xlfn.IFNA(Táblázat1[[#This Row],[Kész2020]],0)</f>
        <v>1</v>
      </c>
      <c r="N1047" s="5">
        <f>IF(Táblázat1[[#This Row],[Karb./akt.év]]-Táblázat1[[#This Row],[Kész2020_2]]&lt;0,0,Táblázat1[[#This Row],[Karb./akt.év]]-Táblázat1[[#This Row],[Kész2020_2]])</f>
        <v>1</v>
      </c>
    </row>
    <row r="1048" spans="1:14" hidden="1" x14ac:dyDescent="0.25">
      <c r="A1048" s="17" t="s">
        <v>10</v>
      </c>
      <c r="B1048" s="17" t="s">
        <v>191</v>
      </c>
      <c r="C1048" s="17" t="s">
        <v>1741</v>
      </c>
      <c r="D1048" s="17" t="s">
        <v>7416</v>
      </c>
      <c r="E1048" s="17" t="s">
        <v>3808</v>
      </c>
      <c r="F1048" s="17" t="s">
        <v>3809</v>
      </c>
      <c r="G1048" s="17" t="s">
        <v>5160</v>
      </c>
      <c r="H1048" t="s">
        <v>7476</v>
      </c>
      <c r="I1048" s="1">
        <v>2</v>
      </c>
      <c r="J1048" s="1">
        <v>2</v>
      </c>
      <c r="K1048" t="s">
        <v>6640</v>
      </c>
      <c r="L1048" s="5">
        <f>VLOOKUP(D:D,[1]Munka2!$A:$B,2,FALSE)</f>
        <v>1</v>
      </c>
      <c r="M1048" s="5">
        <f>_xlfn.IFNA(Táblázat1[[#This Row],[Kész2020]],0)</f>
        <v>1</v>
      </c>
      <c r="N1048" s="5">
        <f>IF(Táblázat1[[#This Row],[Karb./akt.év]]-Táblázat1[[#This Row],[Kész2020_2]]&lt;0,0,Táblázat1[[#This Row],[Karb./akt.év]]-Táblázat1[[#This Row],[Kész2020_2]])</f>
        <v>1</v>
      </c>
    </row>
    <row r="1049" spans="1:14" hidden="1" x14ac:dyDescent="0.25">
      <c r="A1049" s="17" t="s">
        <v>10</v>
      </c>
      <c r="B1049" s="17" t="s">
        <v>845</v>
      </c>
      <c r="C1049" s="17" t="s">
        <v>1741</v>
      </c>
      <c r="D1049" s="17" t="s">
        <v>2623</v>
      </c>
      <c r="E1049" s="17" t="s">
        <v>3976</v>
      </c>
      <c r="F1049" s="17" t="s">
        <v>3977</v>
      </c>
      <c r="G1049" s="17" t="s">
        <v>5784</v>
      </c>
      <c r="H1049" t="s">
        <v>7476</v>
      </c>
      <c r="I1049" s="1">
        <v>2</v>
      </c>
      <c r="J1049" s="1">
        <v>2</v>
      </c>
      <c r="K1049" t="s">
        <v>6640</v>
      </c>
      <c r="L1049" s="5">
        <f>VLOOKUP(D:D,[1]Munka2!$A:$B,2,FALSE)</f>
        <v>1</v>
      </c>
      <c r="M1049" s="5">
        <f>_xlfn.IFNA(Táblázat1[[#This Row],[Kész2020]],0)</f>
        <v>1</v>
      </c>
      <c r="N1049" s="5">
        <f>IF(Táblázat1[[#This Row],[Karb./akt.év]]-Táblázat1[[#This Row],[Kész2020_2]]&lt;0,0,Táblázat1[[#This Row],[Karb./akt.év]]-Táblázat1[[#This Row],[Kész2020_2]])</f>
        <v>1</v>
      </c>
    </row>
    <row r="1050" spans="1:14" hidden="1" x14ac:dyDescent="0.25">
      <c r="A1050" s="17" t="s">
        <v>10</v>
      </c>
      <c r="B1050" s="17" t="s">
        <v>1068</v>
      </c>
      <c r="C1050" s="17" t="s">
        <v>1741</v>
      </c>
      <c r="D1050" s="17" t="s">
        <v>2856</v>
      </c>
      <c r="E1050" s="17" t="s">
        <v>4609</v>
      </c>
      <c r="F1050" s="17" t="s">
        <v>4610</v>
      </c>
      <c r="G1050" s="17" t="s">
        <v>5997</v>
      </c>
      <c r="H1050" t="s">
        <v>7476</v>
      </c>
      <c r="I1050" s="1">
        <v>2</v>
      </c>
      <c r="J1050" s="1">
        <v>2</v>
      </c>
      <c r="K1050" t="s">
        <v>6636</v>
      </c>
      <c r="L1050" s="5">
        <f>VLOOKUP(D:D,[1]Munka2!$A:$B,2,FALSE)</f>
        <v>1</v>
      </c>
      <c r="M1050" s="5">
        <f>_xlfn.IFNA(Táblázat1[[#This Row],[Kész2020]],0)</f>
        <v>1</v>
      </c>
      <c r="N1050" s="5">
        <f>IF(Táblázat1[[#This Row],[Karb./akt.év]]-Táblázat1[[#This Row],[Kész2020_2]]&lt;0,0,Táblázat1[[#This Row],[Karb./akt.év]]-Táblázat1[[#This Row],[Kész2020_2]])</f>
        <v>1</v>
      </c>
    </row>
    <row r="1051" spans="1:14" hidden="1" x14ac:dyDescent="0.25">
      <c r="A1051" s="17" t="s">
        <v>10</v>
      </c>
      <c r="B1051" s="17" t="s">
        <v>1227</v>
      </c>
      <c r="C1051" s="17" t="s">
        <v>1739</v>
      </c>
      <c r="D1051" s="17" t="s">
        <v>3034</v>
      </c>
      <c r="E1051" s="17" t="s">
        <v>4269</v>
      </c>
      <c r="F1051" s="17" t="s">
        <v>4729</v>
      </c>
      <c r="G1051" s="17" t="s">
        <v>6156</v>
      </c>
      <c r="H1051" t="s">
        <v>7476</v>
      </c>
      <c r="I1051" s="1">
        <v>2</v>
      </c>
      <c r="J1051" s="1">
        <v>2</v>
      </c>
      <c r="K1051" t="s">
        <v>7014</v>
      </c>
      <c r="L1051" s="5">
        <f>VLOOKUP(D:D,[1]Munka2!$A:$B,2,FALSE)</f>
        <v>1</v>
      </c>
      <c r="M1051" s="5">
        <f>_xlfn.IFNA(Táblázat1[[#This Row],[Kész2020]],0)</f>
        <v>1</v>
      </c>
      <c r="N1051" s="5">
        <f>IF(Táblázat1[[#This Row],[Karb./akt.év]]-Táblázat1[[#This Row],[Kész2020_2]]&lt;0,0,Táblázat1[[#This Row],[Karb./akt.év]]-Táblázat1[[#This Row],[Kész2020_2]])</f>
        <v>1</v>
      </c>
    </row>
    <row r="1052" spans="1:14" hidden="1" x14ac:dyDescent="0.25">
      <c r="A1052" s="17" t="s">
        <v>10</v>
      </c>
      <c r="B1052" s="17" t="s">
        <v>1486</v>
      </c>
      <c r="C1052" s="17" t="s">
        <v>1741</v>
      </c>
      <c r="D1052" s="17" t="s">
        <v>3323</v>
      </c>
      <c r="E1052" s="17" t="s">
        <v>4869</v>
      </c>
      <c r="F1052" s="17" t="s">
        <v>4870</v>
      </c>
      <c r="G1052" s="17" t="s">
        <v>6395</v>
      </c>
      <c r="H1052" t="s">
        <v>7476</v>
      </c>
      <c r="I1052" s="1">
        <v>2</v>
      </c>
      <c r="J1052" s="1">
        <v>2</v>
      </c>
      <c r="K1052" t="s">
        <v>6637</v>
      </c>
      <c r="L1052" s="5">
        <f>VLOOKUP(D:D,[1]Munka2!$A:$B,2,FALSE)</f>
        <v>1</v>
      </c>
      <c r="M1052" s="5">
        <f>_xlfn.IFNA(Táblázat1[[#This Row],[Kész2020]],0)</f>
        <v>1</v>
      </c>
      <c r="N1052" s="5">
        <f>IF(Táblázat1[[#This Row],[Karb./akt.év]]-Táblázat1[[#This Row],[Kész2020_2]]&lt;0,0,Táblázat1[[#This Row],[Karb./akt.év]]-Táblázat1[[#This Row],[Kész2020_2]])</f>
        <v>1</v>
      </c>
    </row>
    <row r="1053" spans="1:14" hidden="1" x14ac:dyDescent="0.25">
      <c r="A1053" s="17" t="s">
        <v>10</v>
      </c>
      <c r="B1053" s="17" t="s">
        <v>920</v>
      </c>
      <c r="C1053" s="17" t="s">
        <v>1741</v>
      </c>
      <c r="D1053" s="17" t="s">
        <v>2702</v>
      </c>
      <c r="E1053" s="17" t="s">
        <v>4430</v>
      </c>
      <c r="F1053" s="17" t="s">
        <v>4431</v>
      </c>
      <c r="G1053" s="17" t="s">
        <v>5845</v>
      </c>
      <c r="H1053" t="s">
        <v>7476</v>
      </c>
      <c r="I1053" s="1">
        <v>2</v>
      </c>
      <c r="J1053" s="1">
        <v>2</v>
      </c>
      <c r="K1053" t="s">
        <v>6639</v>
      </c>
      <c r="L1053" s="5">
        <f>VLOOKUP(D:D,[1]Munka2!$A:$B,2,FALSE)</f>
        <v>1</v>
      </c>
      <c r="M1053" s="5">
        <f>_xlfn.IFNA(Táblázat1[[#This Row],[Kész2020]],0)</f>
        <v>1</v>
      </c>
      <c r="N1053" s="5">
        <f>IF(Táblázat1[[#This Row],[Karb./akt.év]]-Táblázat1[[#This Row],[Kész2020_2]]&lt;0,0,Táblázat1[[#This Row],[Karb./akt.év]]-Táblázat1[[#This Row],[Kész2020_2]])</f>
        <v>1</v>
      </c>
    </row>
    <row r="1054" spans="1:14" hidden="1" x14ac:dyDescent="0.25">
      <c r="A1054" s="17" t="s">
        <v>10</v>
      </c>
      <c r="B1054" s="17" t="s">
        <v>530</v>
      </c>
      <c r="C1054" s="17" t="s">
        <v>1739</v>
      </c>
      <c r="D1054" s="17" t="s">
        <v>2295</v>
      </c>
      <c r="E1054" s="17" t="s">
        <v>4146</v>
      </c>
      <c r="F1054" s="17" t="s">
        <v>3801</v>
      </c>
      <c r="G1054" s="17" t="s">
        <v>5490</v>
      </c>
      <c r="H1054" t="s">
        <v>7476</v>
      </c>
      <c r="I1054" s="1">
        <v>2</v>
      </c>
      <c r="J1054" s="1">
        <v>2</v>
      </c>
      <c r="K1054" t="s">
        <v>7354</v>
      </c>
      <c r="L1054" s="5">
        <f>VLOOKUP(D:D,[1]Munka2!$A:$B,2,FALSE)</f>
        <v>3</v>
      </c>
      <c r="M1054" s="5">
        <f>_xlfn.IFNA(Táblázat1[[#This Row],[Kész2020]],0)</f>
        <v>3</v>
      </c>
      <c r="N1054" s="5">
        <f>IF(Táblázat1[[#This Row],[Karb./akt.év]]-Táblázat1[[#This Row],[Kész2020_2]]&lt;0,0,Táblázat1[[#This Row],[Karb./akt.év]]-Táblázat1[[#This Row],[Kész2020_2]])</f>
        <v>0</v>
      </c>
    </row>
    <row r="1055" spans="1:14" hidden="1" x14ac:dyDescent="0.25">
      <c r="A1055" s="17" t="s">
        <v>10</v>
      </c>
      <c r="B1055" s="17" t="s">
        <v>634</v>
      </c>
      <c r="C1055" s="17" t="s">
        <v>1739</v>
      </c>
      <c r="D1055" s="17" t="s">
        <v>2408</v>
      </c>
      <c r="E1055" s="17" t="s">
        <v>3797</v>
      </c>
      <c r="F1055" s="17" t="s">
        <v>3598</v>
      </c>
      <c r="G1055" s="17" t="s">
        <v>5594</v>
      </c>
      <c r="H1055" t="s">
        <v>7476</v>
      </c>
      <c r="I1055" s="1">
        <v>2</v>
      </c>
      <c r="J1055" s="1">
        <v>2</v>
      </c>
      <c r="K1055" t="s">
        <v>6641</v>
      </c>
      <c r="L1055" s="5">
        <f>VLOOKUP(D:D,[1]Munka2!$A:$B,2,FALSE)</f>
        <v>1</v>
      </c>
      <c r="M1055" s="5">
        <f>_xlfn.IFNA(Táblázat1[[#This Row],[Kész2020]],0)</f>
        <v>1</v>
      </c>
      <c r="N1055" s="5">
        <f>IF(Táblázat1[[#This Row],[Karb./akt.év]]-Táblázat1[[#This Row],[Kész2020_2]]&lt;0,0,Táblázat1[[#This Row],[Karb./akt.év]]-Táblázat1[[#This Row],[Kész2020_2]])</f>
        <v>1</v>
      </c>
    </row>
    <row r="1056" spans="1:14" hidden="1" x14ac:dyDescent="0.25">
      <c r="A1056" s="17" t="s">
        <v>10</v>
      </c>
      <c r="B1056" s="17" t="s">
        <v>851</v>
      </c>
      <c r="C1056" s="17" t="s">
        <v>1741</v>
      </c>
      <c r="D1056" s="17" t="s">
        <v>2630</v>
      </c>
      <c r="E1056" s="17" t="s">
        <v>3729</v>
      </c>
      <c r="F1056" s="17" t="s">
        <v>3598</v>
      </c>
      <c r="G1056" s="17" t="s">
        <v>5789</v>
      </c>
      <c r="H1056" t="s">
        <v>7476</v>
      </c>
      <c r="I1056" s="1">
        <v>2</v>
      </c>
      <c r="J1056" s="1">
        <v>2</v>
      </c>
      <c r="K1056" t="s">
        <v>8101</v>
      </c>
      <c r="L1056" s="5">
        <f>VLOOKUP(D:D,[1]Munka2!$A:$B,2,FALSE)</f>
        <v>1</v>
      </c>
      <c r="M1056" s="5">
        <f>_xlfn.IFNA(Táblázat1[[#This Row],[Kész2020]],0)</f>
        <v>1</v>
      </c>
      <c r="N1056" s="5">
        <f>IF(Táblázat1[[#This Row],[Karb./akt.év]]-Táblázat1[[#This Row],[Kész2020_2]]&lt;0,0,Táblázat1[[#This Row],[Karb./akt.év]]-Táblázat1[[#This Row],[Kész2020_2]])</f>
        <v>1</v>
      </c>
    </row>
    <row r="1057" spans="1:14" hidden="1" x14ac:dyDescent="0.25">
      <c r="A1057" s="17" t="s">
        <v>10</v>
      </c>
      <c r="B1057" s="17" t="s">
        <v>748</v>
      </c>
      <c r="C1057" s="17" t="s">
        <v>1741</v>
      </c>
      <c r="D1057" s="17" t="s">
        <v>7609</v>
      </c>
      <c r="E1057" s="17" t="s">
        <v>4192</v>
      </c>
      <c r="F1057" s="17" t="s">
        <v>4193</v>
      </c>
      <c r="G1057" s="17" t="s">
        <v>5693</v>
      </c>
      <c r="H1057" t="s">
        <v>7476</v>
      </c>
      <c r="I1057" s="1">
        <v>2</v>
      </c>
      <c r="J1057" s="1">
        <v>2</v>
      </c>
      <c r="K1057" t="s">
        <v>6635</v>
      </c>
      <c r="L1057" s="5">
        <f>VLOOKUP(D:D,[1]Munka2!$A:$B,2,FALSE)</f>
        <v>1</v>
      </c>
      <c r="M1057" s="5">
        <f>_xlfn.IFNA(Táblázat1[[#This Row],[Kész2020]],0)</f>
        <v>1</v>
      </c>
      <c r="N1057" s="5">
        <f>IF(Táblázat1[[#This Row],[Karb./akt.év]]-Táblázat1[[#This Row],[Kész2020_2]]&lt;0,0,Táblázat1[[#This Row],[Karb./akt.év]]-Táblázat1[[#This Row],[Kész2020_2]])</f>
        <v>1</v>
      </c>
    </row>
    <row r="1058" spans="1:14" hidden="1" x14ac:dyDescent="0.25">
      <c r="A1058" s="17" t="s">
        <v>10</v>
      </c>
      <c r="B1058" s="17" t="s">
        <v>830</v>
      </c>
      <c r="C1058" s="17" t="s">
        <v>1741</v>
      </c>
      <c r="D1058" s="17" t="s">
        <v>2608</v>
      </c>
      <c r="E1058" s="17" t="s">
        <v>4397</v>
      </c>
      <c r="F1058" s="17" t="s">
        <v>4398</v>
      </c>
      <c r="G1058" s="17" t="s">
        <v>5770</v>
      </c>
      <c r="H1058" t="s">
        <v>7476</v>
      </c>
      <c r="I1058" s="1">
        <v>2</v>
      </c>
      <c r="J1058" s="1">
        <v>2</v>
      </c>
      <c r="K1058" t="s">
        <v>6642</v>
      </c>
      <c r="L1058" s="5">
        <f>VLOOKUP(D:D,[1]Munka2!$A:$B,2,FALSE)</f>
        <v>1</v>
      </c>
      <c r="M1058" s="5">
        <f>_xlfn.IFNA(Táblázat1[[#This Row],[Kész2020]],0)</f>
        <v>1</v>
      </c>
      <c r="N1058" s="5">
        <f>IF(Táblázat1[[#This Row],[Karb./akt.év]]-Táblázat1[[#This Row],[Kész2020_2]]&lt;0,0,Táblázat1[[#This Row],[Karb./akt.év]]-Táblázat1[[#This Row],[Kész2020_2]])</f>
        <v>1</v>
      </c>
    </row>
    <row r="1059" spans="1:14" hidden="1" x14ac:dyDescent="0.25">
      <c r="A1059" s="17" t="s">
        <v>10</v>
      </c>
      <c r="B1059" s="17" t="s">
        <v>7000</v>
      </c>
      <c r="C1059" s="17" t="s">
        <v>1739</v>
      </c>
      <c r="D1059" s="17" t="s">
        <v>2451</v>
      </c>
      <c r="E1059" s="17" t="s">
        <v>3676</v>
      </c>
      <c r="F1059" s="17" t="s">
        <v>3598</v>
      </c>
      <c r="G1059" s="17" t="s">
        <v>5633</v>
      </c>
      <c r="H1059" t="s">
        <v>7476</v>
      </c>
      <c r="I1059" s="1">
        <v>2</v>
      </c>
      <c r="J1059" s="1">
        <v>2</v>
      </c>
      <c r="K1059" t="s">
        <v>8101</v>
      </c>
      <c r="L1059" s="5">
        <f>VLOOKUP(D:D,[1]Munka2!$A:$B,2,FALSE)</f>
        <v>1</v>
      </c>
      <c r="M1059" s="5">
        <f>_xlfn.IFNA(Táblázat1[[#This Row],[Kész2020]],0)</f>
        <v>1</v>
      </c>
      <c r="N1059" s="5">
        <f>IF(Táblázat1[[#This Row],[Karb./akt.év]]-Táblázat1[[#This Row],[Kész2020_2]]&lt;0,0,Táblázat1[[#This Row],[Karb./akt.év]]-Táblázat1[[#This Row],[Kész2020_2]])</f>
        <v>1</v>
      </c>
    </row>
    <row r="1060" spans="1:14" hidden="1" x14ac:dyDescent="0.25">
      <c r="A1060" s="17" t="s">
        <v>10</v>
      </c>
      <c r="B1060" s="17" t="s">
        <v>1312</v>
      </c>
      <c r="C1060" s="17" t="s">
        <v>1741</v>
      </c>
      <c r="D1060" s="17" t="s">
        <v>3127</v>
      </c>
      <c r="E1060" s="17" t="s">
        <v>3817</v>
      </c>
      <c r="F1060" s="17" t="s">
        <v>3598</v>
      </c>
      <c r="G1060" s="17" t="s">
        <v>6231</v>
      </c>
      <c r="H1060" t="s">
        <v>7476</v>
      </c>
      <c r="I1060" s="1">
        <v>2</v>
      </c>
      <c r="J1060" s="1">
        <v>2</v>
      </c>
      <c r="K1060" t="s">
        <v>6633</v>
      </c>
      <c r="L1060" s="5">
        <f>VLOOKUP(D:D,[1]Munka2!$A:$B,2,FALSE)</f>
        <v>1</v>
      </c>
      <c r="M1060" s="5">
        <f>_xlfn.IFNA(Táblázat1[[#This Row],[Kész2020]],0)</f>
        <v>1</v>
      </c>
      <c r="N1060" s="5">
        <f>IF(Táblázat1[[#This Row],[Karb./akt.év]]-Táblázat1[[#This Row],[Kész2020_2]]&lt;0,0,Táblázat1[[#This Row],[Karb./akt.év]]-Táblázat1[[#This Row],[Kész2020_2]])</f>
        <v>1</v>
      </c>
    </row>
    <row r="1061" spans="1:14" hidden="1" x14ac:dyDescent="0.25">
      <c r="A1061" s="17" t="s">
        <v>10</v>
      </c>
      <c r="B1061" s="17" t="s">
        <v>7514</v>
      </c>
      <c r="C1061" s="17" t="s">
        <v>1739</v>
      </c>
      <c r="D1061" s="17" t="s">
        <v>2973</v>
      </c>
      <c r="E1061" s="17" t="s">
        <v>4362</v>
      </c>
      <c r="F1061" s="17" t="s">
        <v>4363</v>
      </c>
      <c r="G1061" s="17" t="s">
        <v>6098</v>
      </c>
      <c r="H1061" t="s">
        <v>7476</v>
      </c>
      <c r="I1061" s="1">
        <v>2</v>
      </c>
      <c r="J1061" s="1">
        <v>2</v>
      </c>
      <c r="K1061" t="s">
        <v>6784</v>
      </c>
      <c r="L1061" s="5">
        <f>VLOOKUP(D:D,[1]Munka2!$A:$B,2,FALSE)</f>
        <v>1</v>
      </c>
      <c r="M1061" s="5">
        <f>_xlfn.IFNA(Táblázat1[[#This Row],[Kész2020]],0)</f>
        <v>1</v>
      </c>
      <c r="N1061" s="5">
        <f>IF(Táblázat1[[#This Row],[Karb./akt.év]]-Táblázat1[[#This Row],[Kész2020_2]]&lt;0,0,Táblázat1[[#This Row],[Karb./akt.év]]-Táblázat1[[#This Row],[Kész2020_2]])</f>
        <v>1</v>
      </c>
    </row>
    <row r="1062" spans="1:14" hidden="1" x14ac:dyDescent="0.25">
      <c r="A1062" s="17" t="s">
        <v>10</v>
      </c>
      <c r="B1062" s="17" t="s">
        <v>919</v>
      </c>
      <c r="C1062" s="17" t="s">
        <v>1741</v>
      </c>
      <c r="D1062" s="17" t="s">
        <v>2701</v>
      </c>
      <c r="E1062" s="17" t="s">
        <v>4426</v>
      </c>
      <c r="F1062" s="17" t="s">
        <v>4427</v>
      </c>
      <c r="G1062" s="17" t="s">
        <v>5844</v>
      </c>
      <c r="H1062" t="s">
        <v>7476</v>
      </c>
      <c r="I1062" s="1">
        <v>2</v>
      </c>
      <c r="J1062" s="1">
        <v>2</v>
      </c>
      <c r="K1062" t="s">
        <v>6636</v>
      </c>
      <c r="L1062" s="5">
        <f>VLOOKUP(D:D,[1]Munka2!$A:$B,2,FALSE)</f>
        <v>1</v>
      </c>
      <c r="M1062" s="5">
        <f>_xlfn.IFNA(Táblázat1[[#This Row],[Kész2020]],0)</f>
        <v>1</v>
      </c>
      <c r="N1062" s="5">
        <f>IF(Táblázat1[[#This Row],[Karb./akt.év]]-Táblázat1[[#This Row],[Kész2020_2]]&lt;0,0,Táblázat1[[#This Row],[Karb./akt.év]]-Táblázat1[[#This Row],[Kész2020_2]])</f>
        <v>1</v>
      </c>
    </row>
    <row r="1063" spans="1:14" hidden="1" x14ac:dyDescent="0.25">
      <c r="A1063" s="17" t="s">
        <v>10</v>
      </c>
      <c r="B1063" s="17" t="s">
        <v>7515</v>
      </c>
      <c r="C1063" s="17" t="s">
        <v>1739</v>
      </c>
      <c r="D1063" s="17" t="s">
        <v>3553</v>
      </c>
      <c r="E1063" s="17" t="s">
        <v>4992</v>
      </c>
      <c r="F1063" s="17" t="s">
        <v>4993</v>
      </c>
      <c r="G1063" s="17" t="s">
        <v>6593</v>
      </c>
      <c r="H1063" t="s">
        <v>7476</v>
      </c>
      <c r="I1063" s="1">
        <v>2</v>
      </c>
      <c r="J1063" s="1">
        <v>2</v>
      </c>
      <c r="K1063" t="s">
        <v>6637</v>
      </c>
      <c r="L1063" s="5">
        <f>VLOOKUP(D:D,[1]Munka2!$A:$B,2,FALSE)</f>
        <v>1</v>
      </c>
      <c r="M1063" s="5">
        <f>_xlfn.IFNA(Táblázat1[[#This Row],[Kész2020]],0)</f>
        <v>1</v>
      </c>
      <c r="N1063" s="5">
        <f>IF(Táblázat1[[#This Row],[Karb./akt.év]]-Táblázat1[[#This Row],[Kész2020_2]]&lt;0,0,Táblázat1[[#This Row],[Karb./akt.év]]-Táblázat1[[#This Row],[Kész2020_2]])</f>
        <v>1</v>
      </c>
    </row>
    <row r="1064" spans="1:14" hidden="1" x14ac:dyDescent="0.25">
      <c r="A1064" s="17" t="s">
        <v>10</v>
      </c>
      <c r="B1064" s="17" t="s">
        <v>1332</v>
      </c>
      <c r="C1064" s="17" t="s">
        <v>1741</v>
      </c>
      <c r="D1064" s="17" t="s">
        <v>3147</v>
      </c>
      <c r="E1064" s="17" t="s">
        <v>3794</v>
      </c>
      <c r="F1064" s="17" t="s">
        <v>3795</v>
      </c>
      <c r="G1064" s="17" t="s">
        <v>6252</v>
      </c>
      <c r="H1064" t="s">
        <v>7476</v>
      </c>
      <c r="I1064" s="1">
        <v>2</v>
      </c>
      <c r="J1064" s="1">
        <v>2</v>
      </c>
      <c r="K1064" t="s">
        <v>6638</v>
      </c>
      <c r="L1064" s="5">
        <f>VLOOKUP(D:D,[1]Munka2!$A:$B,2,FALSE)</f>
        <v>1</v>
      </c>
      <c r="M1064" s="5">
        <f>_xlfn.IFNA(Táblázat1[[#This Row],[Kész2020]],0)</f>
        <v>1</v>
      </c>
      <c r="N1064" s="5">
        <f>IF(Táblázat1[[#This Row],[Karb./akt.év]]-Táblázat1[[#This Row],[Kész2020_2]]&lt;0,0,Táblázat1[[#This Row],[Karb./akt.év]]-Táblázat1[[#This Row],[Kész2020_2]])</f>
        <v>1</v>
      </c>
    </row>
    <row r="1065" spans="1:14" hidden="1" x14ac:dyDescent="0.25">
      <c r="A1065" s="17" t="s">
        <v>10</v>
      </c>
      <c r="B1065" s="17" t="s">
        <v>1386</v>
      </c>
      <c r="C1065" s="17" t="s">
        <v>1741</v>
      </c>
      <c r="D1065" s="17" t="s">
        <v>3208</v>
      </c>
      <c r="E1065" s="17" t="s">
        <v>3930</v>
      </c>
      <c r="F1065" s="17" t="s">
        <v>3931</v>
      </c>
      <c r="G1065" s="17" t="s">
        <v>6289</v>
      </c>
      <c r="H1065" t="s">
        <v>7476</v>
      </c>
      <c r="I1065" s="1">
        <v>2</v>
      </c>
      <c r="J1065" s="1">
        <v>2</v>
      </c>
      <c r="K1065" t="s">
        <v>7354</v>
      </c>
      <c r="L1065" s="5">
        <f>VLOOKUP(D:D,[1]Munka2!$A:$B,2,FALSE)</f>
        <v>1</v>
      </c>
      <c r="M1065" s="5">
        <f>_xlfn.IFNA(Táblázat1[[#This Row],[Kész2020]],0)</f>
        <v>1</v>
      </c>
      <c r="N1065" s="5">
        <f>IF(Táblázat1[[#This Row],[Karb./akt.év]]-Táblázat1[[#This Row],[Kész2020_2]]&lt;0,0,Táblázat1[[#This Row],[Karb./akt.év]]-Táblázat1[[#This Row],[Kész2020_2]])</f>
        <v>1</v>
      </c>
    </row>
    <row r="1066" spans="1:14" hidden="1" x14ac:dyDescent="0.25">
      <c r="A1066" s="17" t="s">
        <v>10</v>
      </c>
      <c r="B1066" s="17" t="s">
        <v>527</v>
      </c>
      <c r="C1066" s="17" t="s">
        <v>1739</v>
      </c>
      <c r="D1066" s="17" t="s">
        <v>2292</v>
      </c>
      <c r="E1066" s="17" t="s">
        <v>4087</v>
      </c>
      <c r="F1066" s="17" t="s">
        <v>4088</v>
      </c>
      <c r="G1066" s="17" t="s">
        <v>5488</v>
      </c>
      <c r="H1066" t="s">
        <v>7476</v>
      </c>
      <c r="I1066" s="1">
        <v>2</v>
      </c>
      <c r="J1066" s="1">
        <v>2</v>
      </c>
      <c r="K1066" t="s">
        <v>6785</v>
      </c>
      <c r="L1066" s="5">
        <f>VLOOKUP(D:D,[1]Munka2!$A:$B,2,FALSE)</f>
        <v>1</v>
      </c>
      <c r="M1066" s="5">
        <f>_xlfn.IFNA(Táblázat1[[#This Row],[Kész2020]],0)</f>
        <v>1</v>
      </c>
      <c r="N1066" s="5">
        <f>IF(Táblázat1[[#This Row],[Karb./akt.év]]-Táblázat1[[#This Row],[Kész2020_2]]&lt;0,0,Táblázat1[[#This Row],[Karb./akt.év]]-Táblázat1[[#This Row],[Kész2020_2]])</f>
        <v>1</v>
      </c>
    </row>
    <row r="1067" spans="1:14" hidden="1" x14ac:dyDescent="0.25">
      <c r="A1067" s="17" t="s">
        <v>10</v>
      </c>
      <c r="B1067" s="17" t="s">
        <v>1143</v>
      </c>
      <c r="C1067" s="17" t="s">
        <v>1741</v>
      </c>
      <c r="D1067" s="17" t="s">
        <v>2941</v>
      </c>
      <c r="E1067" s="17" t="s">
        <v>4646</v>
      </c>
      <c r="F1067" s="17" t="s">
        <v>4649</v>
      </c>
      <c r="G1067" s="17" t="s">
        <v>6074</v>
      </c>
      <c r="H1067" t="s">
        <v>7476</v>
      </c>
      <c r="I1067" s="1">
        <v>2</v>
      </c>
      <c r="J1067" s="1">
        <v>2</v>
      </c>
      <c r="K1067" t="s">
        <v>7014</v>
      </c>
      <c r="L1067" s="5">
        <f>VLOOKUP(D:D,[1]Munka2!$A:$B,2,FALSE)</f>
        <v>1</v>
      </c>
      <c r="M1067" s="5">
        <f>_xlfn.IFNA(Táblázat1[[#This Row],[Kész2020]],0)</f>
        <v>1</v>
      </c>
      <c r="N1067" s="5">
        <f>IF(Táblázat1[[#This Row],[Karb./akt.év]]-Táblázat1[[#This Row],[Kész2020_2]]&lt;0,0,Táblázat1[[#This Row],[Karb./akt.év]]-Táblázat1[[#This Row],[Kész2020_2]])</f>
        <v>1</v>
      </c>
    </row>
    <row r="1068" spans="1:14" hidden="1" x14ac:dyDescent="0.25">
      <c r="A1068" s="17" t="s">
        <v>10</v>
      </c>
      <c r="B1068" s="17" t="s">
        <v>855</v>
      </c>
      <c r="C1068" s="17" t="s">
        <v>1741</v>
      </c>
      <c r="D1068" s="17" t="s">
        <v>2636</v>
      </c>
      <c r="E1068" s="17" t="s">
        <v>3968</v>
      </c>
      <c r="F1068" s="17" t="s">
        <v>3969</v>
      </c>
      <c r="G1068" s="17" t="s">
        <v>5794</v>
      </c>
      <c r="H1068" t="s">
        <v>7476</v>
      </c>
      <c r="I1068" s="1">
        <v>2</v>
      </c>
      <c r="J1068" s="1">
        <v>2</v>
      </c>
      <c r="K1068" t="s">
        <v>7354</v>
      </c>
      <c r="L1068" s="5">
        <f>VLOOKUP(D:D,[1]Munka2!$A:$B,2,FALSE)</f>
        <v>1</v>
      </c>
      <c r="M1068" s="5">
        <f>_xlfn.IFNA(Táblázat1[[#This Row],[Kész2020]],0)</f>
        <v>1</v>
      </c>
      <c r="N1068" s="5">
        <f>IF(Táblázat1[[#This Row],[Karb./akt.év]]-Táblázat1[[#This Row],[Kész2020_2]]&lt;0,0,Táblázat1[[#This Row],[Karb./akt.év]]-Táblázat1[[#This Row],[Kész2020_2]])</f>
        <v>1</v>
      </c>
    </row>
    <row r="1069" spans="1:14" hidden="1" x14ac:dyDescent="0.25">
      <c r="A1069" s="17" t="s">
        <v>10</v>
      </c>
      <c r="B1069" s="17" t="s">
        <v>1161</v>
      </c>
      <c r="C1069" s="17" t="s">
        <v>1741</v>
      </c>
      <c r="D1069" s="17" t="s">
        <v>2958</v>
      </c>
      <c r="E1069" s="17" t="s">
        <v>4292</v>
      </c>
      <c r="F1069" s="17" t="s">
        <v>4293</v>
      </c>
      <c r="G1069" s="17" t="s">
        <v>6087</v>
      </c>
      <c r="H1069" t="s">
        <v>7476</v>
      </c>
      <c r="I1069" s="1">
        <v>2</v>
      </c>
      <c r="J1069" s="1">
        <v>0</v>
      </c>
      <c r="K1069" t="s">
        <v>6642</v>
      </c>
      <c r="L1069" s="5">
        <f>VLOOKUP(D:D,[1]Munka2!$A:$B,2,FALSE)</f>
        <v>1</v>
      </c>
      <c r="M1069" s="5">
        <f>_xlfn.IFNA(Táblázat1[[#This Row],[Kész2020]],0)</f>
        <v>1</v>
      </c>
      <c r="N1069" s="5">
        <f>IF(Táblázat1[[#This Row],[Karb./akt.év]]-Táblázat1[[#This Row],[Kész2020_2]]&lt;0,0,Táblázat1[[#This Row],[Karb./akt.év]]-Táblázat1[[#This Row],[Kész2020_2]])</f>
        <v>0</v>
      </c>
    </row>
    <row r="1070" spans="1:14" hidden="1" x14ac:dyDescent="0.25">
      <c r="A1070" s="17" t="s">
        <v>10</v>
      </c>
      <c r="B1070" s="17" t="s">
        <v>801</v>
      </c>
      <c r="C1070" s="17" t="s">
        <v>1741</v>
      </c>
      <c r="D1070" s="17" t="s">
        <v>2578</v>
      </c>
      <c r="E1070" s="17" t="s">
        <v>3924</v>
      </c>
      <c r="F1070" s="17" t="s">
        <v>3925</v>
      </c>
      <c r="G1070" s="17" t="s">
        <v>5742</v>
      </c>
      <c r="H1070" t="s">
        <v>7476</v>
      </c>
      <c r="I1070" s="1">
        <v>2</v>
      </c>
      <c r="J1070" s="1">
        <v>2</v>
      </c>
      <c r="K1070" t="s">
        <v>6784</v>
      </c>
      <c r="L1070" s="5">
        <f>VLOOKUP(D:D,[1]Munka2!$A:$B,2,FALSE)</f>
        <v>1</v>
      </c>
      <c r="M1070" s="5">
        <f>_xlfn.IFNA(Táblázat1[[#This Row],[Kész2020]],0)</f>
        <v>1</v>
      </c>
      <c r="N1070" s="5">
        <f>IF(Táblázat1[[#This Row],[Karb./akt.év]]-Táblázat1[[#This Row],[Kész2020_2]]&lt;0,0,Táblázat1[[#This Row],[Karb./akt.év]]-Táblázat1[[#This Row],[Kész2020_2]])</f>
        <v>1</v>
      </c>
    </row>
    <row r="1071" spans="1:14" hidden="1" x14ac:dyDescent="0.25">
      <c r="A1071" s="17" t="s">
        <v>10</v>
      </c>
      <c r="B1071" s="17" t="s">
        <v>1622</v>
      </c>
      <c r="C1071" s="17" t="s">
        <v>1741</v>
      </c>
      <c r="D1071" s="17" t="s">
        <v>3473</v>
      </c>
      <c r="E1071" s="17" t="s">
        <v>3670</v>
      </c>
      <c r="F1071" s="17" t="s">
        <v>3598</v>
      </c>
      <c r="G1071" s="17" t="s">
        <v>6521</v>
      </c>
      <c r="H1071" t="s">
        <v>7476</v>
      </c>
      <c r="I1071" s="1">
        <v>2</v>
      </c>
      <c r="J1071" s="1">
        <v>2</v>
      </c>
      <c r="K1071" t="s">
        <v>8101</v>
      </c>
      <c r="L1071" s="5">
        <f>VLOOKUP(D:D,[1]Munka2!$A:$B,2,FALSE)</f>
        <v>1</v>
      </c>
      <c r="M1071" s="5">
        <f>_xlfn.IFNA(Táblázat1[[#This Row],[Kész2020]],0)</f>
        <v>1</v>
      </c>
      <c r="N1071" s="5">
        <f>IF(Táblázat1[[#This Row],[Karb./akt.év]]-Táblázat1[[#This Row],[Kész2020_2]]&lt;0,0,Táblázat1[[#This Row],[Karb./akt.év]]-Táblázat1[[#This Row],[Kész2020_2]])</f>
        <v>1</v>
      </c>
    </row>
    <row r="1072" spans="1:14" hidden="1" x14ac:dyDescent="0.25">
      <c r="A1072" s="17" t="s">
        <v>10</v>
      </c>
      <c r="B1072" s="17" t="s">
        <v>350</v>
      </c>
      <c r="C1072" s="17" t="s">
        <v>1741</v>
      </c>
      <c r="D1072" s="17" t="s">
        <v>2104</v>
      </c>
      <c r="E1072" s="17" t="s">
        <v>3599</v>
      </c>
      <c r="F1072" s="17" t="s">
        <v>3600</v>
      </c>
      <c r="G1072" s="17" t="s">
        <v>5316</v>
      </c>
      <c r="H1072" t="s">
        <v>7476</v>
      </c>
      <c r="I1072" s="1">
        <v>2</v>
      </c>
      <c r="J1072" s="1">
        <v>2</v>
      </c>
      <c r="K1072" t="s">
        <v>6784</v>
      </c>
      <c r="L1072" s="5">
        <f>VLOOKUP(D:D,[1]Munka2!$A:$B,2,FALSE)</f>
        <v>1</v>
      </c>
      <c r="M1072" s="5">
        <f>_xlfn.IFNA(Táblázat1[[#This Row],[Kész2020]],0)</f>
        <v>1</v>
      </c>
      <c r="N1072" s="5">
        <f>IF(Táblázat1[[#This Row],[Karb./akt.év]]-Táblázat1[[#This Row],[Kész2020_2]]&lt;0,0,Táblázat1[[#This Row],[Karb./akt.év]]-Táblázat1[[#This Row],[Kész2020_2]])</f>
        <v>1</v>
      </c>
    </row>
    <row r="1073" spans="1:14" hidden="1" x14ac:dyDescent="0.25">
      <c r="A1073" s="17" t="s">
        <v>10</v>
      </c>
      <c r="B1073" s="17" t="s">
        <v>952</v>
      </c>
      <c r="C1073" s="17" t="s">
        <v>1741</v>
      </c>
      <c r="D1073" s="17" t="s">
        <v>2738</v>
      </c>
      <c r="E1073" s="17" t="s">
        <v>4117</v>
      </c>
      <c r="F1073" s="17" t="s">
        <v>4118</v>
      </c>
      <c r="G1073" s="17" t="s">
        <v>5882</v>
      </c>
      <c r="H1073" t="s">
        <v>7476</v>
      </c>
      <c r="I1073" s="1">
        <v>2</v>
      </c>
      <c r="J1073" s="1">
        <v>2</v>
      </c>
      <c r="K1073" t="s">
        <v>6636</v>
      </c>
      <c r="L1073" s="5">
        <f>VLOOKUP(D:D,[1]Munka2!$A:$B,2,FALSE)</f>
        <v>1</v>
      </c>
      <c r="M1073" s="5">
        <f>_xlfn.IFNA(Táblázat1[[#This Row],[Kész2020]],0)</f>
        <v>1</v>
      </c>
      <c r="N1073" s="5">
        <f>IF(Táblázat1[[#This Row],[Karb./akt.év]]-Táblázat1[[#This Row],[Kész2020_2]]&lt;0,0,Táblázat1[[#This Row],[Karb./akt.év]]-Táblázat1[[#This Row],[Kész2020_2]])</f>
        <v>1</v>
      </c>
    </row>
    <row r="1074" spans="1:14" hidden="1" x14ac:dyDescent="0.25">
      <c r="A1074" s="17" t="s">
        <v>10</v>
      </c>
      <c r="B1074" s="17" t="s">
        <v>528</v>
      </c>
      <c r="C1074" s="17" t="s">
        <v>1741</v>
      </c>
      <c r="D1074" s="17" t="s">
        <v>2293</v>
      </c>
      <c r="E1074" s="17" t="s">
        <v>4097</v>
      </c>
      <c r="F1074" s="17" t="s">
        <v>4098</v>
      </c>
      <c r="G1074" s="17" t="s">
        <v>7678</v>
      </c>
      <c r="H1074" t="s">
        <v>7476</v>
      </c>
      <c r="I1074" s="1">
        <v>2</v>
      </c>
      <c r="J1074" s="1">
        <v>2</v>
      </c>
      <c r="K1074" t="s">
        <v>6641</v>
      </c>
      <c r="L1074" s="5">
        <f>VLOOKUP(D:D,[1]Munka2!$A:$B,2,FALSE)</f>
        <v>1</v>
      </c>
      <c r="M1074" s="5">
        <f>_xlfn.IFNA(Táblázat1[[#This Row],[Kész2020]],0)</f>
        <v>1</v>
      </c>
      <c r="N1074" s="5">
        <f>IF(Táblázat1[[#This Row],[Karb./akt.év]]-Táblázat1[[#This Row],[Kész2020_2]]&lt;0,0,Táblázat1[[#This Row],[Karb./akt.év]]-Táblázat1[[#This Row],[Kész2020_2]])</f>
        <v>1</v>
      </c>
    </row>
    <row r="1075" spans="1:14" hidden="1" x14ac:dyDescent="0.25">
      <c r="A1075" s="17" t="s">
        <v>10</v>
      </c>
      <c r="B1075" s="17" t="s">
        <v>7516</v>
      </c>
      <c r="C1075" s="17" t="s">
        <v>1739</v>
      </c>
      <c r="D1075" s="17" t="s">
        <v>1852</v>
      </c>
      <c r="E1075" s="17" t="s">
        <v>3703</v>
      </c>
      <c r="F1075" s="17" t="s">
        <v>3704</v>
      </c>
      <c r="G1075" s="17" t="s">
        <v>5084</v>
      </c>
      <c r="H1075" t="s">
        <v>7476</v>
      </c>
      <c r="I1075" s="1">
        <v>2</v>
      </c>
      <c r="J1075" s="1">
        <v>2</v>
      </c>
      <c r="K1075" t="s">
        <v>8102</v>
      </c>
      <c r="L1075" s="5">
        <f>VLOOKUP(D:D,[1]Munka2!$A:$B,2,FALSE)</f>
        <v>1</v>
      </c>
      <c r="M1075" s="5">
        <f>_xlfn.IFNA(Táblázat1[[#This Row],[Kész2020]],0)</f>
        <v>1</v>
      </c>
      <c r="N1075" s="5">
        <f>IF(Táblázat1[[#This Row],[Karb./akt.év]]-Táblázat1[[#This Row],[Kész2020_2]]&lt;0,0,Táblázat1[[#This Row],[Karb./akt.év]]-Táblázat1[[#This Row],[Kész2020_2]])</f>
        <v>1</v>
      </c>
    </row>
    <row r="1076" spans="1:14" hidden="1" x14ac:dyDescent="0.25">
      <c r="A1076" s="17" t="s">
        <v>10</v>
      </c>
      <c r="B1076" s="17" t="s">
        <v>1442</v>
      </c>
      <c r="C1076" s="17" t="s">
        <v>1741</v>
      </c>
      <c r="D1076" s="17" t="s">
        <v>3273</v>
      </c>
      <c r="E1076" s="17" t="s">
        <v>4585</v>
      </c>
      <c r="F1076" s="17" t="s">
        <v>4586</v>
      </c>
      <c r="G1076" s="17" t="s">
        <v>6348</v>
      </c>
      <c r="H1076" t="s">
        <v>7476</v>
      </c>
      <c r="I1076" s="1">
        <v>2</v>
      </c>
      <c r="J1076" s="1">
        <v>2</v>
      </c>
      <c r="K1076" t="s">
        <v>6636</v>
      </c>
      <c r="L1076" s="5">
        <f>VLOOKUP(D:D,[1]Munka2!$A:$B,2,FALSE)</f>
        <v>1</v>
      </c>
      <c r="M1076" s="5">
        <f>_xlfn.IFNA(Táblázat1[[#This Row],[Kész2020]],0)</f>
        <v>1</v>
      </c>
      <c r="N1076" s="5">
        <f>IF(Táblázat1[[#This Row],[Karb./akt.év]]-Táblázat1[[#This Row],[Kész2020_2]]&lt;0,0,Táblázat1[[#This Row],[Karb./akt.év]]-Táblázat1[[#This Row],[Kész2020_2]])</f>
        <v>1</v>
      </c>
    </row>
    <row r="1077" spans="1:14" hidden="1" x14ac:dyDescent="0.25">
      <c r="A1077" s="17" t="s">
        <v>10</v>
      </c>
      <c r="B1077" s="17" t="s">
        <v>921</v>
      </c>
      <c r="C1077" s="17" t="s">
        <v>1741</v>
      </c>
      <c r="D1077" s="17" t="s">
        <v>2703</v>
      </c>
      <c r="E1077" s="17" t="s">
        <v>3633</v>
      </c>
      <c r="F1077" s="17" t="s">
        <v>3634</v>
      </c>
      <c r="G1077" s="17" t="s">
        <v>5846</v>
      </c>
      <c r="H1077" t="s">
        <v>7476</v>
      </c>
      <c r="I1077" s="1">
        <v>2</v>
      </c>
      <c r="J1077" s="1">
        <v>2</v>
      </c>
      <c r="K1077" t="s">
        <v>6641</v>
      </c>
      <c r="L1077" s="5">
        <f>VLOOKUP(D:D,[1]Munka2!$A:$B,2,FALSE)</f>
        <v>1</v>
      </c>
      <c r="M1077" s="5">
        <f>_xlfn.IFNA(Táblázat1[[#This Row],[Kész2020]],0)</f>
        <v>1</v>
      </c>
      <c r="N1077" s="5">
        <f>IF(Táblázat1[[#This Row],[Karb./akt.év]]-Táblázat1[[#This Row],[Kész2020_2]]&lt;0,0,Táblázat1[[#This Row],[Karb./akt.év]]-Táblázat1[[#This Row],[Kész2020_2]])</f>
        <v>1</v>
      </c>
    </row>
    <row r="1078" spans="1:14" hidden="1" x14ac:dyDescent="0.25">
      <c r="A1078" s="17" t="s">
        <v>10</v>
      </c>
      <c r="B1078" s="17" t="s">
        <v>1368</v>
      </c>
      <c r="C1078" s="17" t="s">
        <v>1741</v>
      </c>
      <c r="D1078" s="17" t="s">
        <v>3187</v>
      </c>
      <c r="E1078" s="17" t="s">
        <v>4446</v>
      </c>
      <c r="F1078" s="17" t="s">
        <v>4447</v>
      </c>
      <c r="G1078" s="17" t="s">
        <v>6274</v>
      </c>
      <c r="H1078" t="s">
        <v>7476</v>
      </c>
      <c r="I1078" s="1">
        <v>2</v>
      </c>
      <c r="J1078" s="1">
        <v>2</v>
      </c>
      <c r="K1078" t="s">
        <v>6634</v>
      </c>
      <c r="L1078" s="5">
        <f>VLOOKUP(D:D,[1]Munka2!$A:$B,2,FALSE)</f>
        <v>1</v>
      </c>
      <c r="M1078" s="5">
        <f>_xlfn.IFNA(Táblázat1[[#This Row],[Kész2020]],0)</f>
        <v>1</v>
      </c>
      <c r="N1078" s="5">
        <f>IF(Táblázat1[[#This Row],[Karb./akt.év]]-Táblázat1[[#This Row],[Kész2020_2]]&lt;0,0,Táblázat1[[#This Row],[Karb./akt.év]]-Táblázat1[[#This Row],[Kész2020_2]])</f>
        <v>1</v>
      </c>
    </row>
    <row r="1079" spans="1:14" hidden="1" x14ac:dyDescent="0.25">
      <c r="A1079" s="17" t="s">
        <v>10</v>
      </c>
      <c r="B1079" s="17" t="s">
        <v>7004</v>
      </c>
      <c r="C1079" s="17" t="s">
        <v>1739</v>
      </c>
      <c r="D1079" s="17" t="s">
        <v>3152</v>
      </c>
      <c r="E1079" s="17" t="s">
        <v>4061</v>
      </c>
      <c r="F1079" s="17" t="s">
        <v>4062</v>
      </c>
      <c r="G1079" s="17" t="s">
        <v>6255</v>
      </c>
      <c r="H1079" t="s">
        <v>7476</v>
      </c>
      <c r="I1079" s="1">
        <v>2</v>
      </c>
      <c r="J1079" s="1">
        <v>2</v>
      </c>
      <c r="K1079" t="s">
        <v>6636</v>
      </c>
      <c r="L1079" s="5">
        <f>VLOOKUP(D:D,[1]Munka2!$A:$B,2,FALSE)</f>
        <v>1</v>
      </c>
      <c r="M1079" s="5">
        <f>_xlfn.IFNA(Táblázat1[[#This Row],[Kész2020]],0)</f>
        <v>1</v>
      </c>
      <c r="N1079" s="5">
        <f>IF(Táblázat1[[#This Row],[Karb./akt.év]]-Táblázat1[[#This Row],[Kész2020_2]]&lt;0,0,Táblázat1[[#This Row],[Karb./akt.év]]-Táblázat1[[#This Row],[Kész2020_2]])</f>
        <v>1</v>
      </c>
    </row>
    <row r="1080" spans="1:14" hidden="1" x14ac:dyDescent="0.25">
      <c r="A1080" s="17" t="s">
        <v>10</v>
      </c>
      <c r="B1080" s="17" t="s">
        <v>1317</v>
      </c>
      <c r="C1080" s="17" t="s">
        <v>1741</v>
      </c>
      <c r="D1080" s="17" t="s">
        <v>3132</v>
      </c>
      <c r="E1080" s="17" t="s">
        <v>3836</v>
      </c>
      <c r="F1080" s="17" t="s">
        <v>3837</v>
      </c>
      <c r="G1080" s="17" t="s">
        <v>6236</v>
      </c>
      <c r="H1080" t="s">
        <v>7476</v>
      </c>
      <c r="I1080" s="1">
        <v>2</v>
      </c>
      <c r="J1080" s="1">
        <v>2</v>
      </c>
      <c r="K1080" t="s">
        <v>8103</v>
      </c>
      <c r="L1080" s="5">
        <f>VLOOKUP(D:D,[1]Munka2!$A:$B,2,FALSE)</f>
        <v>1</v>
      </c>
      <c r="M1080" s="5">
        <f>_xlfn.IFNA(Táblázat1[[#This Row],[Kész2020]],0)</f>
        <v>1</v>
      </c>
      <c r="N1080" s="5">
        <f>IF(Táblázat1[[#This Row],[Karb./akt.év]]-Táblázat1[[#This Row],[Kész2020_2]]&lt;0,0,Táblázat1[[#This Row],[Karb./akt.év]]-Táblázat1[[#This Row],[Kész2020_2]])</f>
        <v>1</v>
      </c>
    </row>
    <row r="1081" spans="1:14" hidden="1" x14ac:dyDescent="0.25">
      <c r="A1081" s="17" t="s">
        <v>10</v>
      </c>
      <c r="B1081" s="17" t="s">
        <v>288</v>
      </c>
      <c r="C1081" s="17" t="s">
        <v>1741</v>
      </c>
      <c r="D1081" s="17" t="s">
        <v>2037</v>
      </c>
      <c r="E1081" s="17" t="s">
        <v>3882</v>
      </c>
      <c r="F1081" s="17" t="s">
        <v>3598</v>
      </c>
      <c r="G1081" s="17" t="s">
        <v>5256</v>
      </c>
      <c r="H1081" t="s">
        <v>7476</v>
      </c>
      <c r="I1081" s="1">
        <v>2</v>
      </c>
      <c r="J1081" s="1">
        <v>2</v>
      </c>
      <c r="K1081" t="s">
        <v>7017</v>
      </c>
      <c r="L1081" s="5">
        <f>VLOOKUP(D:D,[1]Munka2!$A:$B,2,FALSE)</f>
        <v>1</v>
      </c>
      <c r="M1081" s="5">
        <f>_xlfn.IFNA(Táblázat1[[#This Row],[Kész2020]],0)</f>
        <v>1</v>
      </c>
      <c r="N1081" s="5">
        <f>IF(Táblázat1[[#This Row],[Karb./akt.év]]-Táblázat1[[#This Row],[Kész2020_2]]&lt;0,0,Táblázat1[[#This Row],[Karb./akt.év]]-Táblázat1[[#This Row],[Kész2020_2]])</f>
        <v>1</v>
      </c>
    </row>
    <row r="1082" spans="1:14" hidden="1" x14ac:dyDescent="0.25">
      <c r="A1082" s="17" t="s">
        <v>10</v>
      </c>
      <c r="B1082" s="17" t="s">
        <v>7517</v>
      </c>
      <c r="C1082" s="17" t="s">
        <v>1739</v>
      </c>
      <c r="D1082" s="17" t="s">
        <v>2984</v>
      </c>
      <c r="E1082" s="17" t="s">
        <v>3770</v>
      </c>
      <c r="F1082" s="17" t="s">
        <v>3771</v>
      </c>
      <c r="G1082" s="17" t="s">
        <v>6107</v>
      </c>
      <c r="H1082" t="s">
        <v>7476</v>
      </c>
      <c r="I1082" s="1">
        <v>2</v>
      </c>
      <c r="J1082" s="1">
        <v>2</v>
      </c>
      <c r="K1082" t="s">
        <v>6638</v>
      </c>
      <c r="L1082" s="5">
        <f>VLOOKUP(D:D,[1]Munka2!$A:$B,2,FALSE)</f>
        <v>1</v>
      </c>
      <c r="M1082" s="5">
        <f>_xlfn.IFNA(Táblázat1[[#This Row],[Kész2020]],0)</f>
        <v>1</v>
      </c>
      <c r="N1082" s="5">
        <f>IF(Táblázat1[[#This Row],[Karb./akt.év]]-Táblázat1[[#This Row],[Kész2020_2]]&lt;0,0,Táblázat1[[#This Row],[Karb./akt.év]]-Táblázat1[[#This Row],[Kész2020_2]])</f>
        <v>1</v>
      </c>
    </row>
    <row r="1083" spans="1:14" hidden="1" x14ac:dyDescent="0.25">
      <c r="A1083" s="17" t="s">
        <v>10</v>
      </c>
      <c r="B1083" s="17" t="s">
        <v>545</v>
      </c>
      <c r="C1083" s="17" t="s">
        <v>1741</v>
      </c>
      <c r="D1083" s="17" t="s">
        <v>2310</v>
      </c>
      <c r="E1083" s="17" t="s">
        <v>3899</v>
      </c>
      <c r="F1083" s="17" t="s">
        <v>3900</v>
      </c>
      <c r="G1083" s="17" t="s">
        <v>5503</v>
      </c>
      <c r="H1083" t="s">
        <v>7476</v>
      </c>
      <c r="I1083" s="1">
        <v>2</v>
      </c>
      <c r="J1083" s="1">
        <v>2</v>
      </c>
      <c r="K1083" t="s">
        <v>6784</v>
      </c>
      <c r="L1083" s="5">
        <f>VLOOKUP(D:D,[1]Munka2!$A:$B,2,FALSE)</f>
        <v>1</v>
      </c>
      <c r="M1083" s="5">
        <f>_xlfn.IFNA(Táblázat1[[#This Row],[Kész2020]],0)</f>
        <v>1</v>
      </c>
      <c r="N1083" s="5">
        <f>IF(Táblázat1[[#This Row],[Karb./akt.év]]-Táblázat1[[#This Row],[Kész2020_2]]&lt;0,0,Táblázat1[[#This Row],[Karb./akt.év]]-Táblázat1[[#This Row],[Kész2020_2]])</f>
        <v>1</v>
      </c>
    </row>
    <row r="1084" spans="1:14" hidden="1" x14ac:dyDescent="0.25">
      <c r="A1084" s="17" t="s">
        <v>10</v>
      </c>
      <c r="B1084" s="17" t="s">
        <v>549</v>
      </c>
      <c r="C1084" s="17" t="s">
        <v>1741</v>
      </c>
      <c r="D1084" s="17" t="s">
        <v>2317</v>
      </c>
      <c r="E1084" s="17" t="s">
        <v>4173</v>
      </c>
      <c r="F1084" s="17" t="s">
        <v>4174</v>
      </c>
      <c r="G1084" s="17" t="s">
        <v>5509</v>
      </c>
      <c r="H1084" t="s">
        <v>7476</v>
      </c>
      <c r="I1084" s="1">
        <v>2</v>
      </c>
      <c r="J1084" s="1">
        <v>2</v>
      </c>
      <c r="K1084" t="s">
        <v>6635</v>
      </c>
      <c r="L1084" s="5">
        <f>VLOOKUP(D:D,[1]Munka2!$A:$B,2,FALSE)</f>
        <v>1</v>
      </c>
      <c r="M1084" s="5">
        <f>_xlfn.IFNA(Táblázat1[[#This Row],[Kész2020]],0)</f>
        <v>1</v>
      </c>
      <c r="N1084" s="5">
        <f>IF(Táblázat1[[#This Row],[Karb./akt.év]]-Táblázat1[[#This Row],[Kész2020_2]]&lt;0,0,Táblázat1[[#This Row],[Karb./akt.év]]-Táblázat1[[#This Row],[Kész2020_2]])</f>
        <v>1</v>
      </c>
    </row>
    <row r="1085" spans="1:14" hidden="1" x14ac:dyDescent="0.25">
      <c r="A1085" s="17" t="s">
        <v>10</v>
      </c>
      <c r="B1085" s="17" t="s">
        <v>245</v>
      </c>
      <c r="C1085" s="17" t="s">
        <v>1741</v>
      </c>
      <c r="D1085" s="17" t="s">
        <v>1990</v>
      </c>
      <c r="E1085" s="17" t="s">
        <v>3860</v>
      </c>
      <c r="F1085" s="17" t="s">
        <v>3861</v>
      </c>
      <c r="G1085" s="17" t="s">
        <v>5212</v>
      </c>
      <c r="H1085" t="s">
        <v>7476</v>
      </c>
      <c r="I1085" s="1">
        <v>2</v>
      </c>
      <c r="J1085" s="1">
        <v>2</v>
      </c>
      <c r="K1085" t="s">
        <v>7354</v>
      </c>
      <c r="L1085" s="5">
        <f>VLOOKUP(D:D,[1]Munka2!$A:$B,2,FALSE)</f>
        <v>1</v>
      </c>
      <c r="M1085" s="5">
        <f>_xlfn.IFNA(Táblázat1[[#This Row],[Kész2020]],0)</f>
        <v>1</v>
      </c>
      <c r="N1085" s="5">
        <f>IF(Táblázat1[[#This Row],[Karb./akt.év]]-Táblázat1[[#This Row],[Kész2020_2]]&lt;0,0,Táblázat1[[#This Row],[Karb./akt.év]]-Táblázat1[[#This Row],[Kész2020_2]])</f>
        <v>1</v>
      </c>
    </row>
    <row r="1086" spans="1:14" hidden="1" x14ac:dyDescent="0.25">
      <c r="A1086" s="17" t="s">
        <v>10</v>
      </c>
      <c r="B1086" s="17" t="s">
        <v>1698</v>
      </c>
      <c r="C1086" s="17" t="s">
        <v>1739</v>
      </c>
      <c r="D1086" s="17" t="s">
        <v>3555</v>
      </c>
      <c r="E1086" s="17" t="s">
        <v>4279</v>
      </c>
      <c r="F1086" s="17" t="s">
        <v>3598</v>
      </c>
      <c r="G1086" s="17" t="s">
        <v>6594</v>
      </c>
      <c r="H1086" t="s">
        <v>7476</v>
      </c>
      <c r="I1086" s="1">
        <v>2</v>
      </c>
      <c r="J1086" s="1">
        <v>2</v>
      </c>
      <c r="K1086" t="s">
        <v>7017</v>
      </c>
      <c r="L1086" s="5">
        <f>VLOOKUP(D:D,[1]Munka2!$A:$B,2,FALSE)</f>
        <v>1</v>
      </c>
      <c r="M1086" s="5">
        <f>_xlfn.IFNA(Táblázat1[[#This Row],[Kész2020]],0)</f>
        <v>1</v>
      </c>
      <c r="N1086" s="5">
        <f>IF(Táblázat1[[#This Row],[Karb./akt.év]]-Táblázat1[[#This Row],[Kész2020_2]]&lt;0,0,Táblázat1[[#This Row],[Karb./akt.év]]-Táblázat1[[#This Row],[Kész2020_2]])</f>
        <v>1</v>
      </c>
    </row>
    <row r="1087" spans="1:14" hidden="1" x14ac:dyDescent="0.25">
      <c r="A1087" s="17" t="s">
        <v>10</v>
      </c>
      <c r="B1087" s="17" t="s">
        <v>602</v>
      </c>
      <c r="C1087" s="17" t="s">
        <v>1741</v>
      </c>
      <c r="D1087" s="17" t="s">
        <v>2375</v>
      </c>
      <c r="E1087" s="17" t="s">
        <v>4218</v>
      </c>
      <c r="F1087" s="17" t="s">
        <v>3598</v>
      </c>
      <c r="G1087" s="17" t="s">
        <v>5564</v>
      </c>
      <c r="H1087" t="s">
        <v>7476</v>
      </c>
      <c r="I1087" s="1">
        <v>2</v>
      </c>
      <c r="J1087" s="1">
        <v>2</v>
      </c>
      <c r="K1087" t="s">
        <v>7017</v>
      </c>
      <c r="L1087" s="5">
        <f>VLOOKUP(D:D,[1]Munka2!$A:$B,2,FALSE)</f>
        <v>1</v>
      </c>
      <c r="M1087" s="5">
        <f>_xlfn.IFNA(Táblázat1[[#This Row],[Kész2020]],0)</f>
        <v>1</v>
      </c>
      <c r="N1087" s="5">
        <f>IF(Táblázat1[[#This Row],[Karb./akt.év]]-Táblázat1[[#This Row],[Kész2020_2]]&lt;0,0,Táblázat1[[#This Row],[Karb./akt.év]]-Táblázat1[[#This Row],[Kész2020_2]])</f>
        <v>1</v>
      </c>
    </row>
    <row r="1088" spans="1:14" hidden="1" x14ac:dyDescent="0.25">
      <c r="A1088" s="17" t="s">
        <v>10</v>
      </c>
      <c r="B1088" s="17" t="s">
        <v>7220</v>
      </c>
      <c r="C1088" s="17" t="s">
        <v>1739</v>
      </c>
      <c r="D1088" s="17" t="s">
        <v>7239</v>
      </c>
      <c r="E1088" s="17" t="s">
        <v>4051</v>
      </c>
      <c r="F1088" s="17" t="s">
        <v>3598</v>
      </c>
      <c r="G1088" s="17" t="s">
        <v>7263</v>
      </c>
      <c r="H1088" t="s">
        <v>7476</v>
      </c>
      <c r="I1088" s="1">
        <v>2</v>
      </c>
      <c r="J1088" s="1">
        <v>2</v>
      </c>
      <c r="K1088" t="s">
        <v>6636</v>
      </c>
      <c r="L1088" s="5">
        <f>VLOOKUP(D:D,[1]Munka2!$A:$B,2,FALSE)</f>
        <v>1</v>
      </c>
      <c r="M1088" s="5">
        <f>_xlfn.IFNA(Táblázat1[[#This Row],[Kész2020]],0)</f>
        <v>1</v>
      </c>
      <c r="N1088" s="5">
        <f>IF(Táblázat1[[#This Row],[Karb./akt.év]]-Táblázat1[[#This Row],[Kész2020_2]]&lt;0,0,Táblázat1[[#This Row],[Karb./akt.év]]-Táblázat1[[#This Row],[Kész2020_2]])</f>
        <v>1</v>
      </c>
    </row>
    <row r="1089" spans="1:14" hidden="1" x14ac:dyDescent="0.25">
      <c r="A1089" s="17" t="s">
        <v>10</v>
      </c>
      <c r="B1089" s="17" t="s">
        <v>515</v>
      </c>
      <c r="C1089" s="17" t="s">
        <v>1741</v>
      </c>
      <c r="D1089" s="17" t="s">
        <v>2278</v>
      </c>
      <c r="E1089" s="17" t="s">
        <v>4085</v>
      </c>
      <c r="F1089" s="17" t="s">
        <v>4086</v>
      </c>
      <c r="G1089" s="17" t="s">
        <v>5475</v>
      </c>
      <c r="H1089" t="s">
        <v>7476</v>
      </c>
      <c r="I1089" s="1">
        <v>2</v>
      </c>
      <c r="J1089" s="1">
        <v>2</v>
      </c>
      <c r="K1089" t="s">
        <v>7017</v>
      </c>
      <c r="L1089" s="5">
        <f>VLOOKUP(D:D,[1]Munka2!$A:$B,2,FALSE)</f>
        <v>1</v>
      </c>
      <c r="M1089" s="5">
        <f>_xlfn.IFNA(Táblázat1[[#This Row],[Kész2020]],0)</f>
        <v>1</v>
      </c>
      <c r="N1089" s="5">
        <f>IF(Táblázat1[[#This Row],[Karb./akt.év]]-Táblázat1[[#This Row],[Kész2020_2]]&lt;0,0,Táblázat1[[#This Row],[Karb./akt.év]]-Táblázat1[[#This Row],[Kész2020_2]])</f>
        <v>1</v>
      </c>
    </row>
    <row r="1090" spans="1:14" hidden="1" x14ac:dyDescent="0.25">
      <c r="A1090" s="17" t="s">
        <v>10</v>
      </c>
      <c r="B1090" s="17" t="s">
        <v>1305</v>
      </c>
      <c r="C1090" s="17" t="s">
        <v>1741</v>
      </c>
      <c r="D1090" s="17" t="s">
        <v>3120</v>
      </c>
      <c r="E1090" s="17" t="s">
        <v>4186</v>
      </c>
      <c r="F1090" s="17" t="s">
        <v>3598</v>
      </c>
      <c r="G1090" s="17" t="s">
        <v>6225</v>
      </c>
      <c r="H1090" t="s">
        <v>7476</v>
      </c>
      <c r="I1090" s="1">
        <v>2</v>
      </c>
      <c r="J1090" s="1">
        <v>2</v>
      </c>
      <c r="K1090" t="s">
        <v>6785</v>
      </c>
      <c r="L1090" s="5">
        <f>VLOOKUP(D:D,[1]Munka2!$A:$B,2,FALSE)</f>
        <v>1</v>
      </c>
      <c r="M1090" s="5">
        <f>_xlfn.IFNA(Táblázat1[[#This Row],[Kész2020]],0)</f>
        <v>1</v>
      </c>
      <c r="N1090" s="5">
        <f>IF(Táblázat1[[#This Row],[Karb./akt.év]]-Táblázat1[[#This Row],[Kész2020_2]]&lt;0,0,Táblázat1[[#This Row],[Karb./akt.év]]-Táblázat1[[#This Row],[Kész2020_2]])</f>
        <v>1</v>
      </c>
    </row>
    <row r="1091" spans="1:14" hidden="1" x14ac:dyDescent="0.25">
      <c r="A1091" s="17" t="s">
        <v>10</v>
      </c>
      <c r="B1091" s="17" t="s">
        <v>165</v>
      </c>
      <c r="C1091" s="17" t="s">
        <v>1741</v>
      </c>
      <c r="D1091" s="17" t="s">
        <v>1905</v>
      </c>
      <c r="E1091" s="17" t="s">
        <v>3765</v>
      </c>
      <c r="F1091" s="17" t="s">
        <v>3766</v>
      </c>
      <c r="G1091" s="17" t="s">
        <v>5135</v>
      </c>
      <c r="H1091" t="s">
        <v>7476</v>
      </c>
      <c r="I1091" s="1">
        <v>2</v>
      </c>
      <c r="J1091" s="1">
        <v>2</v>
      </c>
      <c r="K1091" t="s">
        <v>6642</v>
      </c>
      <c r="L1091" s="5">
        <f>VLOOKUP(D:D,[1]Munka2!$A:$B,2,FALSE)</f>
        <v>1</v>
      </c>
      <c r="M1091" s="5">
        <f>_xlfn.IFNA(Táblázat1[[#This Row],[Kész2020]],0)</f>
        <v>1</v>
      </c>
      <c r="N1091" s="5">
        <f>IF(Táblázat1[[#This Row],[Karb./akt.év]]-Táblázat1[[#This Row],[Kész2020_2]]&lt;0,0,Táblázat1[[#This Row],[Karb./akt.év]]-Táblázat1[[#This Row],[Kész2020_2]])</f>
        <v>1</v>
      </c>
    </row>
    <row r="1092" spans="1:14" hidden="1" x14ac:dyDescent="0.25">
      <c r="A1092" s="17" t="s">
        <v>10</v>
      </c>
      <c r="B1092" s="17" t="s">
        <v>616</v>
      </c>
      <c r="C1092" s="17" t="s">
        <v>1741</v>
      </c>
      <c r="D1092" s="17" t="s">
        <v>2390</v>
      </c>
      <c r="E1092" s="17" t="s">
        <v>4226</v>
      </c>
      <c r="F1092" s="17" t="s">
        <v>4227</v>
      </c>
      <c r="G1092" s="17" t="s">
        <v>5576</v>
      </c>
      <c r="H1092" t="s">
        <v>7476</v>
      </c>
      <c r="I1092" s="1">
        <v>2</v>
      </c>
      <c r="J1092" s="1">
        <v>2</v>
      </c>
      <c r="K1092" t="s">
        <v>7354</v>
      </c>
      <c r="L1092" s="5">
        <f>VLOOKUP(D:D,[1]Munka2!$A:$B,2,FALSE)</f>
        <v>1</v>
      </c>
      <c r="M1092" s="5">
        <f>_xlfn.IFNA(Táblázat1[[#This Row],[Kész2020]],0)</f>
        <v>1</v>
      </c>
      <c r="N1092" s="5">
        <f>IF(Táblázat1[[#This Row],[Karb./akt.év]]-Táblázat1[[#This Row],[Kész2020_2]]&lt;0,0,Táblázat1[[#This Row],[Karb./akt.év]]-Táblázat1[[#This Row],[Kész2020_2]])</f>
        <v>1</v>
      </c>
    </row>
    <row r="1093" spans="1:14" hidden="1" x14ac:dyDescent="0.25">
      <c r="A1093" s="17" t="s">
        <v>10</v>
      </c>
      <c r="B1093" s="17" t="s">
        <v>6682</v>
      </c>
      <c r="C1093" s="17" t="s">
        <v>1741</v>
      </c>
      <c r="D1093" s="17" t="s">
        <v>6683</v>
      </c>
      <c r="E1093" s="17" t="s">
        <v>4343</v>
      </c>
      <c r="F1093" s="17" t="s">
        <v>4344</v>
      </c>
      <c r="G1093" s="17" t="s">
        <v>5721</v>
      </c>
      <c r="H1093" t="s">
        <v>7476</v>
      </c>
      <c r="I1093" s="1">
        <v>2</v>
      </c>
      <c r="J1093" s="1">
        <v>2</v>
      </c>
      <c r="K1093" t="s">
        <v>6642</v>
      </c>
      <c r="L1093" s="5">
        <f>VLOOKUP(D:D,[1]Munka2!$A:$B,2,FALSE)</f>
        <v>1</v>
      </c>
      <c r="M1093" s="5">
        <f>_xlfn.IFNA(Táblázat1[[#This Row],[Kész2020]],0)</f>
        <v>1</v>
      </c>
      <c r="N1093" s="5">
        <f>IF(Táblázat1[[#This Row],[Karb./akt.év]]-Táblázat1[[#This Row],[Kész2020_2]]&lt;0,0,Táblázat1[[#This Row],[Karb./akt.év]]-Táblázat1[[#This Row],[Kész2020_2]])</f>
        <v>1</v>
      </c>
    </row>
    <row r="1094" spans="1:14" hidden="1" x14ac:dyDescent="0.25">
      <c r="A1094" s="17" t="s">
        <v>10</v>
      </c>
      <c r="B1094" s="17" t="s">
        <v>1505</v>
      </c>
      <c r="C1094" s="17" t="s">
        <v>1741</v>
      </c>
      <c r="D1094" s="17" t="s">
        <v>3345</v>
      </c>
      <c r="E1094" s="17" t="s">
        <v>3657</v>
      </c>
      <c r="F1094" s="17" t="s">
        <v>3658</v>
      </c>
      <c r="G1094" s="17" t="s">
        <v>6412</v>
      </c>
      <c r="H1094" t="s">
        <v>7476</v>
      </c>
      <c r="I1094" s="1">
        <v>2</v>
      </c>
      <c r="J1094" s="1">
        <v>2</v>
      </c>
      <c r="K1094" t="s">
        <v>8102</v>
      </c>
      <c r="L1094" s="5">
        <f>VLOOKUP(D:D,[1]Munka2!$A:$B,2,FALSE)</f>
        <v>1</v>
      </c>
      <c r="M1094" s="5">
        <f>_xlfn.IFNA(Táblázat1[[#This Row],[Kész2020]],0)</f>
        <v>1</v>
      </c>
      <c r="N1094" s="5">
        <f>IF(Táblázat1[[#This Row],[Karb./akt.év]]-Táblázat1[[#This Row],[Kész2020_2]]&lt;0,0,Táblázat1[[#This Row],[Karb./akt.év]]-Táblázat1[[#This Row],[Kész2020_2]])</f>
        <v>1</v>
      </c>
    </row>
    <row r="1095" spans="1:14" hidden="1" x14ac:dyDescent="0.25">
      <c r="A1095" s="17" t="s">
        <v>10</v>
      </c>
      <c r="B1095" s="17" t="s">
        <v>806</v>
      </c>
      <c r="C1095" s="17" t="s">
        <v>1741</v>
      </c>
      <c r="D1095" s="17" t="s">
        <v>2583</v>
      </c>
      <c r="E1095" s="17" t="s">
        <v>3920</v>
      </c>
      <c r="F1095" s="17" t="s">
        <v>3921</v>
      </c>
      <c r="G1095" s="17" t="s">
        <v>5747</v>
      </c>
      <c r="H1095" t="s">
        <v>7476</v>
      </c>
      <c r="I1095" s="1">
        <v>2</v>
      </c>
      <c r="J1095" s="1">
        <v>2</v>
      </c>
      <c r="K1095" t="s">
        <v>6642</v>
      </c>
      <c r="L1095" s="5">
        <f>VLOOKUP(D:D,[1]Munka2!$A:$B,2,FALSE)</f>
        <v>1</v>
      </c>
      <c r="M1095" s="5">
        <f>_xlfn.IFNA(Táblázat1[[#This Row],[Kész2020]],0)</f>
        <v>1</v>
      </c>
      <c r="N1095" s="5">
        <f>IF(Táblázat1[[#This Row],[Karb./akt.év]]-Táblázat1[[#This Row],[Kész2020_2]]&lt;0,0,Táblázat1[[#This Row],[Karb./akt.év]]-Táblázat1[[#This Row],[Kész2020_2]])</f>
        <v>1</v>
      </c>
    </row>
    <row r="1096" spans="1:14" hidden="1" x14ac:dyDescent="0.25">
      <c r="A1096" s="17" t="s">
        <v>10</v>
      </c>
      <c r="B1096" s="17" t="s">
        <v>6686</v>
      </c>
      <c r="C1096" s="17" t="s">
        <v>1741</v>
      </c>
      <c r="D1096" s="17" t="s">
        <v>6689</v>
      </c>
      <c r="E1096" s="17" t="s">
        <v>4232</v>
      </c>
      <c r="F1096" s="17" t="s">
        <v>4233</v>
      </c>
      <c r="G1096" s="17" t="s">
        <v>6426</v>
      </c>
      <c r="H1096" t="s">
        <v>7476</v>
      </c>
      <c r="I1096" s="1">
        <v>2</v>
      </c>
      <c r="J1096" s="1">
        <v>2</v>
      </c>
      <c r="K1096" t="s">
        <v>8103</v>
      </c>
      <c r="L1096" s="5">
        <f>VLOOKUP(D:D,[1]Munka2!$A:$B,2,FALSE)</f>
        <v>1</v>
      </c>
      <c r="M1096" s="5">
        <f>_xlfn.IFNA(Táblázat1[[#This Row],[Kész2020]],0)</f>
        <v>1</v>
      </c>
      <c r="N1096" s="5">
        <f>IF(Táblázat1[[#This Row],[Karb./akt.év]]-Táblázat1[[#This Row],[Kész2020_2]]&lt;0,0,Táblázat1[[#This Row],[Karb./akt.év]]-Táblázat1[[#This Row],[Kész2020_2]])</f>
        <v>1</v>
      </c>
    </row>
    <row r="1097" spans="1:14" hidden="1" x14ac:dyDescent="0.25">
      <c r="A1097" s="17" t="s">
        <v>10</v>
      </c>
      <c r="B1097" s="17" t="s">
        <v>6684</v>
      </c>
      <c r="C1097" s="17" t="s">
        <v>1739</v>
      </c>
      <c r="D1097" s="17" t="s">
        <v>6687</v>
      </c>
      <c r="E1097" s="17" t="s">
        <v>3749</v>
      </c>
      <c r="F1097" s="17" t="s">
        <v>3750</v>
      </c>
      <c r="G1097" s="17" t="s">
        <v>6243</v>
      </c>
      <c r="H1097" t="s">
        <v>7476</v>
      </c>
      <c r="I1097" s="1">
        <v>2</v>
      </c>
      <c r="J1097" s="1">
        <v>2</v>
      </c>
      <c r="K1097" t="s">
        <v>8103</v>
      </c>
      <c r="L1097" s="5">
        <f>VLOOKUP(D:D,[1]Munka2!$A:$B,2,FALSE)</f>
        <v>1</v>
      </c>
      <c r="M1097" s="5">
        <f>_xlfn.IFNA(Táblázat1[[#This Row],[Kész2020]],0)</f>
        <v>1</v>
      </c>
      <c r="N1097" s="5">
        <f>IF(Táblázat1[[#This Row],[Karb./akt.év]]-Táblázat1[[#This Row],[Kész2020_2]]&lt;0,0,Táblázat1[[#This Row],[Karb./akt.év]]-Táblázat1[[#This Row],[Kész2020_2]])</f>
        <v>1</v>
      </c>
    </row>
    <row r="1098" spans="1:14" hidden="1" x14ac:dyDescent="0.25">
      <c r="A1098" s="17" t="s">
        <v>10</v>
      </c>
      <c r="B1098" s="17" t="s">
        <v>1266</v>
      </c>
      <c r="C1098" s="17" t="s">
        <v>1741</v>
      </c>
      <c r="D1098" s="17" t="s">
        <v>3078</v>
      </c>
      <c r="E1098" s="17" t="s">
        <v>4764</v>
      </c>
      <c r="F1098" s="17" t="s">
        <v>4765</v>
      </c>
      <c r="G1098" s="17" t="s">
        <v>6192</v>
      </c>
      <c r="H1098" t="s">
        <v>7476</v>
      </c>
      <c r="I1098" s="1">
        <v>2</v>
      </c>
      <c r="J1098" s="1">
        <v>2</v>
      </c>
      <c r="K1098" t="s">
        <v>6784</v>
      </c>
      <c r="L1098" s="5">
        <f>VLOOKUP(D:D,[1]Munka2!$A:$B,2,FALSE)</f>
        <v>1</v>
      </c>
      <c r="M1098" s="5">
        <f>_xlfn.IFNA(Táblázat1[[#This Row],[Kész2020]],0)</f>
        <v>1</v>
      </c>
      <c r="N1098" s="5">
        <f>IF(Táblázat1[[#This Row],[Karb./akt.év]]-Táblázat1[[#This Row],[Kész2020_2]]&lt;0,0,Táblázat1[[#This Row],[Karb./akt.év]]-Táblázat1[[#This Row],[Kész2020_2]])</f>
        <v>1</v>
      </c>
    </row>
    <row r="1099" spans="1:14" hidden="1" x14ac:dyDescent="0.25">
      <c r="A1099" s="17" t="s">
        <v>10</v>
      </c>
      <c r="B1099" s="17" t="s">
        <v>7518</v>
      </c>
      <c r="C1099" s="17" t="s">
        <v>1739</v>
      </c>
      <c r="D1099" s="17" t="s">
        <v>2672</v>
      </c>
      <c r="E1099" s="17" t="s">
        <v>4181</v>
      </c>
      <c r="F1099" s="17" t="s">
        <v>4182</v>
      </c>
      <c r="G1099" s="17" t="s">
        <v>5820</v>
      </c>
      <c r="H1099" t="s">
        <v>7476</v>
      </c>
      <c r="I1099" s="1">
        <v>2</v>
      </c>
      <c r="J1099" s="1">
        <v>2</v>
      </c>
      <c r="K1099" t="s">
        <v>6640</v>
      </c>
      <c r="L1099" s="5">
        <f>VLOOKUP(D:D,[1]Munka2!$A:$B,2,FALSE)</f>
        <v>1</v>
      </c>
      <c r="M1099" s="5">
        <f>_xlfn.IFNA(Táblázat1[[#This Row],[Kész2020]],0)</f>
        <v>1</v>
      </c>
      <c r="N1099" s="5">
        <f>IF(Táblázat1[[#This Row],[Karb./akt.év]]-Táblázat1[[#This Row],[Kész2020_2]]&lt;0,0,Táblázat1[[#This Row],[Karb./akt.év]]-Táblázat1[[#This Row],[Kész2020_2]])</f>
        <v>1</v>
      </c>
    </row>
    <row r="1100" spans="1:14" hidden="1" x14ac:dyDescent="0.25">
      <c r="A1100" s="17" t="s">
        <v>10</v>
      </c>
      <c r="B1100" s="17" t="s">
        <v>356</v>
      </c>
      <c r="C1100" s="17" t="s">
        <v>1739</v>
      </c>
      <c r="D1100" s="17" t="s">
        <v>2111</v>
      </c>
      <c r="E1100" s="17" t="s">
        <v>3768</v>
      </c>
      <c r="F1100" s="17" t="s">
        <v>3769</v>
      </c>
      <c r="G1100" s="17" t="s">
        <v>5323</v>
      </c>
      <c r="H1100" t="s">
        <v>7476</v>
      </c>
      <c r="I1100" s="1">
        <v>2</v>
      </c>
      <c r="J1100" s="1">
        <v>2</v>
      </c>
      <c r="K1100" t="s">
        <v>6634</v>
      </c>
      <c r="L1100" s="5">
        <f>VLOOKUP(D:D,[1]Munka2!$A:$B,2,FALSE)</f>
        <v>1</v>
      </c>
      <c r="M1100" s="5">
        <f>_xlfn.IFNA(Táblázat1[[#This Row],[Kész2020]],0)</f>
        <v>1</v>
      </c>
      <c r="N1100" s="5">
        <f>IF(Táblázat1[[#This Row],[Karb./akt.év]]-Táblázat1[[#This Row],[Kész2020_2]]&lt;0,0,Táblázat1[[#This Row],[Karb./akt.év]]-Táblázat1[[#This Row],[Kész2020_2]])</f>
        <v>1</v>
      </c>
    </row>
    <row r="1101" spans="1:14" hidden="1" x14ac:dyDescent="0.25">
      <c r="A1101" s="17" t="s">
        <v>10</v>
      </c>
      <c r="B1101" s="17" t="s">
        <v>809</v>
      </c>
      <c r="C1101" s="17" t="s">
        <v>1741</v>
      </c>
      <c r="D1101" s="17" t="s">
        <v>2586</v>
      </c>
      <c r="E1101" s="17" t="s">
        <v>4380</v>
      </c>
      <c r="F1101" s="17" t="s">
        <v>4381</v>
      </c>
      <c r="G1101" s="17" t="s">
        <v>5750</v>
      </c>
      <c r="H1101" t="s">
        <v>7476</v>
      </c>
      <c r="I1101" s="1">
        <v>2</v>
      </c>
      <c r="J1101" s="1">
        <v>2</v>
      </c>
      <c r="K1101" t="s">
        <v>6637</v>
      </c>
      <c r="L1101" s="5">
        <f>VLOOKUP(D:D,[1]Munka2!$A:$B,2,FALSE)</f>
        <v>1</v>
      </c>
      <c r="M1101" s="5">
        <f>_xlfn.IFNA(Táblázat1[[#This Row],[Kész2020]],0)</f>
        <v>1</v>
      </c>
      <c r="N1101" s="5">
        <f>IF(Táblázat1[[#This Row],[Karb./akt.év]]-Táblázat1[[#This Row],[Kész2020_2]]&lt;0,0,Táblázat1[[#This Row],[Karb./akt.év]]-Táblázat1[[#This Row],[Kész2020_2]])</f>
        <v>1</v>
      </c>
    </row>
    <row r="1102" spans="1:14" hidden="1" x14ac:dyDescent="0.25">
      <c r="A1102" s="17" t="s">
        <v>10</v>
      </c>
      <c r="B1102" s="17" t="s">
        <v>922</v>
      </c>
      <c r="C1102" s="17" t="s">
        <v>1741</v>
      </c>
      <c r="D1102" s="17" t="s">
        <v>2704</v>
      </c>
      <c r="E1102" s="17" t="s">
        <v>4454</v>
      </c>
      <c r="F1102" s="17" t="s">
        <v>4455</v>
      </c>
      <c r="G1102" s="17" t="s">
        <v>5847</v>
      </c>
      <c r="H1102" t="s">
        <v>7476</v>
      </c>
      <c r="I1102" s="1">
        <v>2</v>
      </c>
      <c r="J1102" s="1">
        <v>2</v>
      </c>
      <c r="K1102" t="s">
        <v>6634</v>
      </c>
      <c r="L1102" s="5">
        <f>VLOOKUP(D:D,[1]Munka2!$A:$B,2,FALSE)</f>
        <v>1</v>
      </c>
      <c r="M1102" s="5">
        <f>_xlfn.IFNA(Táblázat1[[#This Row],[Kész2020]],0)</f>
        <v>1</v>
      </c>
      <c r="N1102" s="5">
        <f>IF(Táblázat1[[#This Row],[Karb./akt.év]]-Táblázat1[[#This Row],[Kész2020_2]]&lt;0,0,Táblázat1[[#This Row],[Karb./akt.év]]-Táblázat1[[#This Row],[Kész2020_2]])</f>
        <v>1</v>
      </c>
    </row>
    <row r="1103" spans="1:14" hidden="1" x14ac:dyDescent="0.25">
      <c r="A1103" s="17" t="s">
        <v>10</v>
      </c>
      <c r="B1103" s="17" t="s">
        <v>6743</v>
      </c>
      <c r="C1103" s="17" t="s">
        <v>1739</v>
      </c>
      <c r="D1103" s="17" t="s">
        <v>6747</v>
      </c>
      <c r="E1103" s="17" t="s">
        <v>3845</v>
      </c>
      <c r="F1103" s="17" t="s">
        <v>3598</v>
      </c>
      <c r="G1103" s="17" t="s">
        <v>6751</v>
      </c>
      <c r="H1103" t="s">
        <v>7476</v>
      </c>
      <c r="I1103" s="1">
        <v>2</v>
      </c>
      <c r="J1103" s="1">
        <v>2</v>
      </c>
      <c r="K1103" t="s">
        <v>7017</v>
      </c>
      <c r="L1103" s="5">
        <f>VLOOKUP(D:D,[1]Munka2!$A:$B,2,FALSE)</f>
        <v>1</v>
      </c>
      <c r="M1103" s="5">
        <f>_xlfn.IFNA(Táblázat1[[#This Row],[Kész2020]],0)</f>
        <v>1</v>
      </c>
      <c r="N1103" s="5">
        <f>IF(Táblázat1[[#This Row],[Karb./akt.év]]-Táblázat1[[#This Row],[Kész2020_2]]&lt;0,0,Táblázat1[[#This Row],[Karb./akt.év]]-Táblázat1[[#This Row],[Kész2020_2]])</f>
        <v>1</v>
      </c>
    </row>
    <row r="1104" spans="1:14" hidden="1" x14ac:dyDescent="0.25">
      <c r="A1104" s="17" t="s">
        <v>10</v>
      </c>
      <c r="B1104" s="17" t="s">
        <v>6713</v>
      </c>
      <c r="C1104" s="17" t="s">
        <v>1741</v>
      </c>
      <c r="D1104" s="17" t="s">
        <v>6718</v>
      </c>
      <c r="E1104" s="17" t="s">
        <v>3667</v>
      </c>
      <c r="F1104" s="17" t="s">
        <v>3668</v>
      </c>
      <c r="G1104" s="17" t="s">
        <v>5055</v>
      </c>
      <c r="H1104" t="s">
        <v>7476</v>
      </c>
      <c r="I1104" s="1">
        <v>2</v>
      </c>
      <c r="J1104" s="1">
        <v>2</v>
      </c>
      <c r="K1104" t="s">
        <v>6637</v>
      </c>
      <c r="L1104" s="5">
        <f>VLOOKUP(D:D,[1]Munka2!$A:$B,2,FALSE)</f>
        <v>1</v>
      </c>
      <c r="M1104" s="5">
        <f>_xlfn.IFNA(Táblázat1[[#This Row],[Kész2020]],0)</f>
        <v>1</v>
      </c>
      <c r="N1104" s="5">
        <f>IF(Táblázat1[[#This Row],[Karb./akt.év]]-Táblázat1[[#This Row],[Kész2020_2]]&lt;0,0,Táblázat1[[#This Row],[Karb./akt.év]]-Táblázat1[[#This Row],[Kész2020_2]])</f>
        <v>1</v>
      </c>
    </row>
    <row r="1105" spans="1:14" hidden="1" x14ac:dyDescent="0.25">
      <c r="A1105" s="17" t="s">
        <v>10</v>
      </c>
      <c r="B1105" s="17" t="s">
        <v>6992</v>
      </c>
      <c r="C1105" s="17" t="s">
        <v>1739</v>
      </c>
      <c r="D1105" s="17" t="s">
        <v>6880</v>
      </c>
      <c r="E1105" s="17" t="s">
        <v>3680</v>
      </c>
      <c r="F1105" s="17" t="s">
        <v>3681</v>
      </c>
      <c r="G1105" s="17" t="s">
        <v>6400</v>
      </c>
      <c r="H1105" t="s">
        <v>7476</v>
      </c>
      <c r="I1105" s="1">
        <v>2</v>
      </c>
      <c r="J1105" s="1">
        <v>2</v>
      </c>
      <c r="K1105" t="s">
        <v>6637</v>
      </c>
      <c r="L1105" s="5">
        <f>VLOOKUP(D:D,[1]Munka2!$A:$B,2,FALSE)</f>
        <v>1</v>
      </c>
      <c r="M1105" s="5">
        <f>_xlfn.IFNA(Táblázat1[[#This Row],[Kész2020]],0)</f>
        <v>1</v>
      </c>
      <c r="N1105" s="5">
        <f>IF(Táblázat1[[#This Row],[Karb./akt.év]]-Táblázat1[[#This Row],[Kész2020_2]]&lt;0,0,Táblázat1[[#This Row],[Karb./akt.év]]-Táblázat1[[#This Row],[Kész2020_2]])</f>
        <v>1</v>
      </c>
    </row>
    <row r="1106" spans="1:14" hidden="1" x14ac:dyDescent="0.25">
      <c r="A1106" s="17" t="s">
        <v>10</v>
      </c>
      <c r="B1106" s="17" t="s">
        <v>7519</v>
      </c>
      <c r="C1106" s="17" t="s">
        <v>1739</v>
      </c>
      <c r="D1106" s="17" t="s">
        <v>7448</v>
      </c>
      <c r="E1106" s="17" t="s">
        <v>3678</v>
      </c>
      <c r="F1106" s="17" t="s">
        <v>3679</v>
      </c>
      <c r="G1106" s="17" t="s">
        <v>6752</v>
      </c>
      <c r="H1106" t="s">
        <v>7476</v>
      </c>
      <c r="I1106" s="1">
        <v>2</v>
      </c>
      <c r="J1106" s="1">
        <v>2</v>
      </c>
      <c r="K1106" t="s">
        <v>6635</v>
      </c>
      <c r="L1106" s="5">
        <f>VLOOKUP(D:D,[1]Munka2!$A:$B,2,FALSE)</f>
        <v>1</v>
      </c>
      <c r="M1106" s="5">
        <f>_xlfn.IFNA(Táblázat1[[#This Row],[Kész2020]],0)</f>
        <v>1</v>
      </c>
      <c r="N1106" s="5">
        <f>IF(Táblázat1[[#This Row],[Karb./akt.év]]-Táblázat1[[#This Row],[Kész2020_2]]&lt;0,0,Táblázat1[[#This Row],[Karb./akt.év]]-Táblázat1[[#This Row],[Kész2020_2]])</f>
        <v>1</v>
      </c>
    </row>
    <row r="1107" spans="1:14" hidden="1" x14ac:dyDescent="0.25">
      <c r="A1107" s="17" t="s">
        <v>10</v>
      </c>
      <c r="B1107" s="17" t="s">
        <v>7520</v>
      </c>
      <c r="C1107" s="17" t="s">
        <v>1739</v>
      </c>
      <c r="D1107" s="17" t="s">
        <v>6768</v>
      </c>
      <c r="E1107" s="17" t="s">
        <v>3879</v>
      </c>
      <c r="F1107" s="17" t="s">
        <v>3598</v>
      </c>
      <c r="G1107" s="17" t="s">
        <v>7531</v>
      </c>
      <c r="H1107" t="s">
        <v>7476</v>
      </c>
      <c r="I1107" s="1">
        <v>2</v>
      </c>
      <c r="J1107" s="1">
        <v>2</v>
      </c>
      <c r="K1107" t="s">
        <v>6641</v>
      </c>
      <c r="L1107" s="5">
        <f>VLOOKUP(D:D,[1]Munka2!$A:$B,2,FALSE)</f>
        <v>1</v>
      </c>
      <c r="M1107" s="5">
        <f>_xlfn.IFNA(Táblázat1[[#This Row],[Kész2020]],0)</f>
        <v>1</v>
      </c>
      <c r="N1107" s="5">
        <f>IF(Táblázat1[[#This Row],[Karb./akt.év]]-Táblázat1[[#This Row],[Kész2020_2]]&lt;0,0,Táblázat1[[#This Row],[Karb./akt.év]]-Táblázat1[[#This Row],[Kész2020_2]])</f>
        <v>1</v>
      </c>
    </row>
    <row r="1108" spans="1:14" hidden="1" x14ac:dyDescent="0.25">
      <c r="A1108" s="17" t="s">
        <v>10</v>
      </c>
      <c r="B1108" s="17" t="s">
        <v>8112</v>
      </c>
      <c r="C1108" s="17" t="s">
        <v>1769</v>
      </c>
      <c r="D1108" s="17" t="s">
        <v>8128</v>
      </c>
      <c r="E1108" s="17" t="s">
        <v>3640</v>
      </c>
      <c r="F1108" s="17" t="s">
        <v>3598</v>
      </c>
      <c r="G1108" s="17" t="s">
        <v>5035</v>
      </c>
      <c r="H1108" t="s">
        <v>7476</v>
      </c>
      <c r="I1108" s="1">
        <v>2</v>
      </c>
      <c r="J1108" s="1">
        <v>1</v>
      </c>
      <c r="K1108" t="s">
        <v>6633</v>
      </c>
      <c r="L1108" s="5" t="e">
        <f>VLOOKUP(D:D,[1]Munka2!$A:$B,2,FALSE)</f>
        <v>#N/A</v>
      </c>
      <c r="M1108" s="5">
        <f>_xlfn.IFNA(Táblázat1[[#This Row],[Kész2020]],0)</f>
        <v>0</v>
      </c>
      <c r="N1108" s="5">
        <f>IF(Táblázat1[[#This Row],[Karb./akt.év]]-Táblázat1[[#This Row],[Kész2020_2]]&lt;0,0,Táblázat1[[#This Row],[Karb./akt.év]]-Táblázat1[[#This Row],[Kész2020_2]])</f>
        <v>1</v>
      </c>
    </row>
    <row r="1109" spans="1:14" hidden="1" x14ac:dyDescent="0.25">
      <c r="A1109" s="17" t="s">
        <v>10</v>
      </c>
      <c r="B1109" s="17" t="s">
        <v>7521</v>
      </c>
      <c r="C1109" s="17" t="s">
        <v>1769</v>
      </c>
      <c r="D1109" s="17" t="s">
        <v>7070</v>
      </c>
      <c r="E1109" s="17" t="s">
        <v>4797</v>
      </c>
      <c r="F1109" s="17" t="s">
        <v>4798</v>
      </c>
      <c r="G1109" s="17" t="s">
        <v>7106</v>
      </c>
      <c r="H1109" t="s">
        <v>7476</v>
      </c>
      <c r="I1109" s="1">
        <v>2</v>
      </c>
      <c r="J1109" s="1">
        <v>2</v>
      </c>
      <c r="K1109" t="s">
        <v>7014</v>
      </c>
      <c r="L1109" s="5">
        <f>VLOOKUP(D:D,[1]Munka2!$A:$B,2,FALSE)</f>
        <v>1</v>
      </c>
      <c r="M1109" s="5">
        <f>_xlfn.IFNA(Táblázat1[[#This Row],[Kész2020]],0)</f>
        <v>1</v>
      </c>
      <c r="N1109" s="5">
        <f>IF(Táblázat1[[#This Row],[Karb./akt.év]]-Táblázat1[[#This Row],[Kész2020_2]]&lt;0,0,Táblázat1[[#This Row],[Karb./akt.év]]-Táblázat1[[#This Row],[Kész2020_2]])</f>
        <v>1</v>
      </c>
    </row>
    <row r="1110" spans="1:14" hidden="1" x14ac:dyDescent="0.25">
      <c r="A1110" s="17" t="s">
        <v>10</v>
      </c>
      <c r="B1110" s="17" t="s">
        <v>7034</v>
      </c>
      <c r="C1110" s="17" t="s">
        <v>1739</v>
      </c>
      <c r="D1110" s="17" t="s">
        <v>7071</v>
      </c>
      <c r="E1110" s="17" t="s">
        <v>5005</v>
      </c>
      <c r="F1110" s="17" t="s">
        <v>3598</v>
      </c>
      <c r="G1110" s="17" t="s">
        <v>6625</v>
      </c>
      <c r="H1110" t="s">
        <v>7476</v>
      </c>
      <c r="I1110" s="1">
        <v>2</v>
      </c>
      <c r="J1110" s="1">
        <v>2</v>
      </c>
      <c r="K1110" t="s">
        <v>6641</v>
      </c>
      <c r="L1110" s="5">
        <f>VLOOKUP(D:D,[1]Munka2!$A:$B,2,FALSE)</f>
        <v>1</v>
      </c>
      <c r="M1110" s="5">
        <f>_xlfn.IFNA(Táblázat1[[#This Row],[Kész2020]],0)</f>
        <v>1</v>
      </c>
      <c r="N1110" s="5">
        <f>IF(Táblázat1[[#This Row],[Karb./akt.év]]-Táblázat1[[#This Row],[Kész2020_2]]&lt;0,0,Táblázat1[[#This Row],[Karb./akt.év]]-Táblázat1[[#This Row],[Kész2020_2]])</f>
        <v>1</v>
      </c>
    </row>
    <row r="1111" spans="1:14" hidden="1" x14ac:dyDescent="0.25">
      <c r="A1111" s="17" t="s">
        <v>10</v>
      </c>
      <c r="B1111" s="17" t="s">
        <v>7221</v>
      </c>
      <c r="C1111" s="17" t="s">
        <v>1741</v>
      </c>
      <c r="D1111" s="17" t="s">
        <v>7240</v>
      </c>
      <c r="E1111" s="17" t="s">
        <v>3736</v>
      </c>
      <c r="F1111" s="17" t="s">
        <v>3737</v>
      </c>
      <c r="G1111" s="17" t="s">
        <v>5111</v>
      </c>
      <c r="H1111" t="s">
        <v>7476</v>
      </c>
      <c r="I1111" s="1">
        <v>2</v>
      </c>
      <c r="J1111" s="1">
        <v>2</v>
      </c>
      <c r="K1111" t="s">
        <v>6638</v>
      </c>
      <c r="L1111" s="5">
        <f>VLOOKUP(D:D,[1]Munka2!$A:$B,2,FALSE)</f>
        <v>1</v>
      </c>
      <c r="M1111" s="5">
        <f>_xlfn.IFNA(Táblázat1[[#This Row],[Kész2020]],0)</f>
        <v>1</v>
      </c>
      <c r="N1111" s="5">
        <f>IF(Táblázat1[[#This Row],[Karb./akt.év]]-Táblázat1[[#This Row],[Kész2020_2]]&lt;0,0,Táblázat1[[#This Row],[Karb./akt.év]]-Táblázat1[[#This Row],[Kész2020_2]])</f>
        <v>1</v>
      </c>
    </row>
    <row r="1112" spans="1:14" hidden="1" x14ac:dyDescent="0.25">
      <c r="A1112" s="17" t="s">
        <v>10</v>
      </c>
      <c r="B1112" s="17" t="s">
        <v>7222</v>
      </c>
      <c r="C1112" s="17" t="s">
        <v>1739</v>
      </c>
      <c r="D1112" s="17" t="s">
        <v>2257</v>
      </c>
      <c r="E1112" s="17" t="s">
        <v>3761</v>
      </c>
      <c r="F1112" s="17" t="s">
        <v>3762</v>
      </c>
      <c r="G1112" s="17" t="s">
        <v>5457</v>
      </c>
      <c r="H1112" t="s">
        <v>7476</v>
      </c>
      <c r="I1112" s="1">
        <v>2</v>
      </c>
      <c r="J1112" s="1">
        <v>2</v>
      </c>
      <c r="K1112" t="s">
        <v>6633</v>
      </c>
      <c r="L1112" s="5">
        <f>VLOOKUP(D:D,[1]Munka2!$A:$B,2,FALSE)</f>
        <v>2</v>
      </c>
      <c r="M1112" s="5">
        <f>_xlfn.IFNA(Táblázat1[[#This Row],[Kész2020]],0)</f>
        <v>2</v>
      </c>
      <c r="N1112" s="5">
        <f>IF(Táblázat1[[#This Row],[Karb./akt.év]]-Táblázat1[[#This Row],[Kész2020_2]]&lt;0,0,Táblázat1[[#This Row],[Karb./akt.év]]-Táblázat1[[#This Row],[Kész2020_2]])</f>
        <v>0</v>
      </c>
    </row>
    <row r="1113" spans="1:14" hidden="1" x14ac:dyDescent="0.25">
      <c r="A1113" s="17" t="s">
        <v>10</v>
      </c>
      <c r="B1113" s="17" t="s">
        <v>7279</v>
      </c>
      <c r="C1113" s="17" t="s">
        <v>1741</v>
      </c>
      <c r="D1113" s="17" t="s">
        <v>7308</v>
      </c>
      <c r="E1113" s="17" t="s">
        <v>3792</v>
      </c>
      <c r="F1113" s="17" t="s">
        <v>3793</v>
      </c>
      <c r="G1113" s="17" t="s">
        <v>7343</v>
      </c>
      <c r="H1113" t="s">
        <v>7476</v>
      </c>
      <c r="I1113" s="1">
        <v>2</v>
      </c>
      <c r="J1113" s="1">
        <v>2</v>
      </c>
      <c r="K1113" t="s">
        <v>6639</v>
      </c>
      <c r="L1113" s="5">
        <f>VLOOKUP(D:D,[1]Munka2!$A:$B,2,FALSE)</f>
        <v>1</v>
      </c>
      <c r="M1113" s="5">
        <f>_xlfn.IFNA(Táblázat1[[#This Row],[Kész2020]],0)</f>
        <v>1</v>
      </c>
      <c r="N1113" s="5">
        <f>IF(Táblázat1[[#This Row],[Karb./akt.év]]-Táblázat1[[#This Row],[Kész2020_2]]&lt;0,0,Táblázat1[[#This Row],[Karb./akt.év]]-Táblázat1[[#This Row],[Kész2020_2]])</f>
        <v>1</v>
      </c>
    </row>
    <row r="1114" spans="1:14" hidden="1" x14ac:dyDescent="0.25">
      <c r="A1114" s="17" t="s">
        <v>10</v>
      </c>
      <c r="B1114" s="17" t="s">
        <v>7280</v>
      </c>
      <c r="C1114" s="17" t="s">
        <v>1769</v>
      </c>
      <c r="D1114" s="17" t="s">
        <v>7309</v>
      </c>
      <c r="E1114" s="17" t="s">
        <v>4035</v>
      </c>
      <c r="F1114" s="17" t="s">
        <v>3598</v>
      </c>
      <c r="G1114" s="17" t="s">
        <v>7108</v>
      </c>
      <c r="H1114" t="s">
        <v>7476</v>
      </c>
      <c r="I1114" s="1">
        <v>2</v>
      </c>
      <c r="J1114" s="1">
        <v>2</v>
      </c>
      <c r="K1114" t="s">
        <v>6785</v>
      </c>
      <c r="L1114" s="5">
        <f>VLOOKUP(D:D,[1]Munka2!$A:$B,2,FALSE)</f>
        <v>1</v>
      </c>
      <c r="M1114" s="5">
        <f>_xlfn.IFNA(Táblázat1[[#This Row],[Kész2020]],0)</f>
        <v>1</v>
      </c>
      <c r="N1114" s="5">
        <f>IF(Táblázat1[[#This Row],[Karb./akt.év]]-Táblázat1[[#This Row],[Kész2020_2]]&lt;0,0,Táblázat1[[#This Row],[Karb./akt.év]]-Táblázat1[[#This Row],[Kész2020_2]])</f>
        <v>1</v>
      </c>
    </row>
    <row r="1115" spans="1:14" hidden="1" x14ac:dyDescent="0.25">
      <c r="A1115" s="17" t="s">
        <v>10</v>
      </c>
      <c r="B1115" s="17" t="s">
        <v>8168</v>
      </c>
      <c r="C1115" s="17" t="s">
        <v>1741</v>
      </c>
      <c r="D1115" s="17" t="s">
        <v>8171</v>
      </c>
      <c r="E1115" s="17" t="s">
        <v>4355</v>
      </c>
      <c r="F1115" s="17" t="s">
        <v>4356</v>
      </c>
      <c r="G1115" s="17" t="s">
        <v>6181</v>
      </c>
      <c r="H1115" t="s">
        <v>7476</v>
      </c>
      <c r="I1115" s="1">
        <v>2</v>
      </c>
      <c r="J1115" s="1">
        <v>0</v>
      </c>
      <c r="K1115" t="s">
        <v>6637</v>
      </c>
      <c r="L1115" s="5" t="e">
        <f>VLOOKUP(D:D,[1]Munka2!$A:$B,2,FALSE)</f>
        <v>#N/A</v>
      </c>
      <c r="M1115" s="5">
        <f>_xlfn.IFNA(Táblázat1[[#This Row],[Kész2020]],0)</f>
        <v>0</v>
      </c>
      <c r="N1115" s="5">
        <f>IF(Táblázat1[[#This Row],[Karb./akt.év]]-Táblázat1[[#This Row],[Kész2020_2]]&lt;0,0,Táblázat1[[#This Row],[Karb./akt.év]]-Táblázat1[[#This Row],[Kész2020_2]])</f>
        <v>0</v>
      </c>
    </row>
    <row r="1116" spans="1:14" hidden="1" x14ac:dyDescent="0.25">
      <c r="A1116" s="17" t="s">
        <v>10</v>
      </c>
      <c r="B1116" s="17" t="s">
        <v>8113</v>
      </c>
      <c r="C1116" s="17" t="s">
        <v>1769</v>
      </c>
      <c r="D1116" s="17" t="s">
        <v>8129</v>
      </c>
      <c r="E1116" s="17" t="s">
        <v>3840</v>
      </c>
      <c r="F1116" s="17" t="s">
        <v>3841</v>
      </c>
      <c r="G1116" s="17" t="s">
        <v>5454</v>
      </c>
      <c r="H1116" t="s">
        <v>7476</v>
      </c>
      <c r="I1116" s="1">
        <v>2</v>
      </c>
      <c r="J1116" s="1">
        <v>1</v>
      </c>
      <c r="K1116" t="s">
        <v>6635</v>
      </c>
      <c r="L1116" s="5" t="e">
        <f>VLOOKUP(D:D,[1]Munka2!$A:$B,2,FALSE)</f>
        <v>#N/A</v>
      </c>
      <c r="M1116" s="5">
        <f>_xlfn.IFNA(Táblázat1[[#This Row],[Kész2020]],0)</f>
        <v>0</v>
      </c>
      <c r="N1116" s="5">
        <f>IF(Táblázat1[[#This Row],[Karb./akt.év]]-Táblázat1[[#This Row],[Kész2020_2]]&lt;0,0,Táblázat1[[#This Row],[Karb./akt.év]]-Táblázat1[[#This Row],[Kész2020_2]])</f>
        <v>1</v>
      </c>
    </row>
    <row r="1117" spans="1:14" hidden="1" x14ac:dyDescent="0.25">
      <c r="A1117" s="17" t="s">
        <v>10</v>
      </c>
      <c r="B1117" s="17" t="s">
        <v>7358</v>
      </c>
      <c r="C1117" s="17" t="s">
        <v>1741</v>
      </c>
      <c r="D1117" s="17" t="s">
        <v>7366</v>
      </c>
      <c r="E1117" s="17" t="s">
        <v>4392</v>
      </c>
      <c r="F1117" s="17" t="s">
        <v>3598</v>
      </c>
      <c r="G1117" s="17" t="s">
        <v>5764</v>
      </c>
      <c r="H1117" t="s">
        <v>7476</v>
      </c>
      <c r="I1117" s="1">
        <v>2</v>
      </c>
      <c r="J1117" s="1">
        <v>2</v>
      </c>
      <c r="K1117" t="s">
        <v>6785</v>
      </c>
      <c r="L1117" s="5">
        <f>VLOOKUP(D:D,[1]Munka2!$A:$B,2,FALSE)</f>
        <v>1</v>
      </c>
      <c r="M1117" s="5">
        <f>_xlfn.IFNA(Táblázat1[[#This Row],[Kész2020]],0)</f>
        <v>1</v>
      </c>
      <c r="N1117" s="5">
        <f>IF(Táblázat1[[#This Row],[Karb./akt.év]]-Táblázat1[[#This Row],[Kész2020_2]]&lt;0,0,Táblázat1[[#This Row],[Karb./akt.év]]-Táblázat1[[#This Row],[Kész2020_2]])</f>
        <v>1</v>
      </c>
    </row>
    <row r="1118" spans="1:14" hidden="1" x14ac:dyDescent="0.25">
      <c r="A1118" s="17" t="s">
        <v>10</v>
      </c>
      <c r="B1118" s="17" t="s">
        <v>7359</v>
      </c>
      <c r="C1118" s="17" t="s">
        <v>1769</v>
      </c>
      <c r="D1118" s="17" t="s">
        <v>7367</v>
      </c>
      <c r="E1118" s="17" t="s">
        <v>3945</v>
      </c>
      <c r="F1118" s="17" t="s">
        <v>3946</v>
      </c>
      <c r="G1118" s="17" t="s">
        <v>5287</v>
      </c>
      <c r="H1118" t="s">
        <v>7476</v>
      </c>
      <c r="I1118" s="1">
        <v>2</v>
      </c>
      <c r="J1118" s="1">
        <v>2</v>
      </c>
      <c r="K1118" t="s">
        <v>8103</v>
      </c>
      <c r="L1118" s="5">
        <f>VLOOKUP(D:D,[1]Munka2!$A:$B,2,FALSE)</f>
        <v>1</v>
      </c>
      <c r="M1118" s="5">
        <f>_xlfn.IFNA(Táblázat1[[#This Row],[Kész2020]],0)</f>
        <v>1</v>
      </c>
      <c r="N1118" s="5">
        <f>IF(Táblázat1[[#This Row],[Karb./akt.év]]-Táblázat1[[#This Row],[Kész2020_2]]&lt;0,0,Táblázat1[[#This Row],[Karb./akt.év]]-Táblázat1[[#This Row],[Kész2020_2]])</f>
        <v>1</v>
      </c>
    </row>
    <row r="1119" spans="1:14" hidden="1" x14ac:dyDescent="0.25">
      <c r="A1119" s="17" t="s">
        <v>10</v>
      </c>
      <c r="B1119" s="17" t="s">
        <v>8189</v>
      </c>
      <c r="C1119" s="17" t="s">
        <v>1741</v>
      </c>
      <c r="D1119" s="17" t="s">
        <v>8197</v>
      </c>
      <c r="E1119" s="17" t="s">
        <v>4696</v>
      </c>
      <c r="F1119" s="17" t="s">
        <v>4697</v>
      </c>
      <c r="G1119" s="17" t="s">
        <v>6108</v>
      </c>
      <c r="H1119" t="s">
        <v>7476</v>
      </c>
      <c r="I1119" s="1" t="e">
        <v>#N/A</v>
      </c>
      <c r="J1119" s="1" t="e">
        <v>#N/A</v>
      </c>
      <c r="K1119" t="e">
        <v>#N/A</v>
      </c>
      <c r="L1119" s="5" t="e">
        <f>VLOOKUP(D:D,[1]Munka2!$A:$B,2,FALSE)</f>
        <v>#N/A</v>
      </c>
      <c r="M1119" s="5">
        <f>_xlfn.IFNA(Táblázat1[[#This Row],[Kész2020]],0)</f>
        <v>0</v>
      </c>
      <c r="N1119" s="5" t="e">
        <f>IF(Táblázat1[[#This Row],[Karb./akt.év]]-Táblázat1[[#This Row],[Kész2020_2]]&lt;0,0,Táblázat1[[#This Row],[Karb./akt.év]]-Táblázat1[[#This Row],[Kész2020_2]])</f>
        <v>#N/A</v>
      </c>
    </row>
    <row r="1120" spans="1:14" hidden="1" x14ac:dyDescent="0.25">
      <c r="A1120" s="17" t="s">
        <v>10</v>
      </c>
      <c r="B1120" s="17" t="s">
        <v>47</v>
      </c>
      <c r="C1120" s="17" t="s">
        <v>1739</v>
      </c>
      <c r="D1120" s="17" t="s">
        <v>1786</v>
      </c>
      <c r="E1120" s="17" t="s">
        <v>3625</v>
      </c>
      <c r="F1120" s="17" t="s">
        <v>3626</v>
      </c>
      <c r="G1120" s="17" t="s">
        <v>5023</v>
      </c>
      <c r="H1120" t="s">
        <v>7476</v>
      </c>
      <c r="I1120" s="1">
        <v>2</v>
      </c>
      <c r="J1120" s="1">
        <v>2</v>
      </c>
      <c r="K1120" t="s">
        <v>6642</v>
      </c>
      <c r="L1120" s="5">
        <f>VLOOKUP(D:D,[1]Munka2!$A:$B,2,FALSE)</f>
        <v>1</v>
      </c>
      <c r="M1120" s="5">
        <f>_xlfn.IFNA(Táblázat1[[#This Row],[Kész2020]],0)</f>
        <v>1</v>
      </c>
      <c r="N1120" s="5">
        <f>IF(Táblázat1[[#This Row],[Karb./akt.év]]-Táblázat1[[#This Row],[Kész2020_2]]&lt;0,0,Táblázat1[[#This Row],[Karb./akt.év]]-Táblázat1[[#This Row],[Kész2020_2]])</f>
        <v>1</v>
      </c>
    </row>
    <row r="1121" spans="1:14" hidden="1" x14ac:dyDescent="0.25">
      <c r="A1121" s="17" t="s">
        <v>10</v>
      </c>
      <c r="B1121" s="17" t="s">
        <v>6849</v>
      </c>
      <c r="C1121" s="17" t="s">
        <v>1739</v>
      </c>
      <c r="D1121" s="17" t="s">
        <v>6879</v>
      </c>
      <c r="E1121" s="17" t="s">
        <v>3816</v>
      </c>
      <c r="F1121" s="17" t="s">
        <v>3598</v>
      </c>
      <c r="G1121" s="17" t="s">
        <v>5921</v>
      </c>
      <c r="H1121" t="s">
        <v>7476</v>
      </c>
      <c r="I1121" s="1">
        <v>0</v>
      </c>
      <c r="J1121" s="1">
        <v>0</v>
      </c>
      <c r="K1121" t="s">
        <v>6785</v>
      </c>
      <c r="L1121" s="5" t="e">
        <f>VLOOKUP(D:D,[1]Munka2!$A:$B,2,FALSE)</f>
        <v>#N/A</v>
      </c>
      <c r="M1121" s="5">
        <f>_xlfn.IFNA(Táblázat1[[#This Row],[Kész2020]],0)</f>
        <v>0</v>
      </c>
      <c r="N1121" s="5">
        <f>IF(Táblázat1[[#This Row],[Karb./akt.év]]-Táblázat1[[#This Row],[Kész2020_2]]&lt;0,0,Táblázat1[[#This Row],[Karb./akt.év]]-Táblázat1[[#This Row],[Kész2020_2]])</f>
        <v>0</v>
      </c>
    </row>
    <row r="1122" spans="1:14" hidden="1" x14ac:dyDescent="0.25">
      <c r="A1122" s="17" t="s">
        <v>10</v>
      </c>
      <c r="B1122" s="17" t="s">
        <v>7281</v>
      </c>
      <c r="C1122" s="17" t="s">
        <v>1769</v>
      </c>
      <c r="D1122" s="17" t="s">
        <v>7310</v>
      </c>
      <c r="E1122" s="17" t="s">
        <v>3816</v>
      </c>
      <c r="F1122" s="17" t="s">
        <v>3598</v>
      </c>
      <c r="G1122" s="17" t="s">
        <v>5921</v>
      </c>
      <c r="H1122" t="s">
        <v>7476</v>
      </c>
      <c r="I1122" s="1">
        <v>0</v>
      </c>
      <c r="J1122" s="1">
        <v>0</v>
      </c>
      <c r="K1122" t="s">
        <v>8104</v>
      </c>
      <c r="L1122" s="5" t="e">
        <f>VLOOKUP(D:D,[1]Munka2!$A:$B,2,FALSE)</f>
        <v>#N/A</v>
      </c>
      <c r="M1122" s="5">
        <f>_xlfn.IFNA(Táblázat1[[#This Row],[Kész2020]],0)</f>
        <v>0</v>
      </c>
      <c r="N1122" s="5">
        <f>IF(Táblázat1[[#This Row],[Karb./akt.év]]-Táblázat1[[#This Row],[Kész2020_2]]&lt;0,0,Táblázat1[[#This Row],[Karb./akt.év]]-Táblázat1[[#This Row],[Kész2020_2]])</f>
        <v>0</v>
      </c>
    </row>
    <row r="1123" spans="1:14" hidden="1" x14ac:dyDescent="0.25">
      <c r="A1123" s="17" t="s">
        <v>10</v>
      </c>
      <c r="B1123" s="17" t="s">
        <v>7282</v>
      </c>
      <c r="C1123" s="17" t="s">
        <v>1756</v>
      </c>
      <c r="D1123" s="17" t="s">
        <v>7311</v>
      </c>
      <c r="E1123" s="17" t="s">
        <v>3816</v>
      </c>
      <c r="F1123" s="17" t="s">
        <v>3598</v>
      </c>
      <c r="G1123" s="17" t="s">
        <v>5921</v>
      </c>
      <c r="H1123" t="s">
        <v>7476</v>
      </c>
      <c r="I1123" s="1">
        <v>0</v>
      </c>
      <c r="J1123" s="1">
        <v>0</v>
      </c>
      <c r="K1123" t="s">
        <v>8104</v>
      </c>
      <c r="L1123" s="5" t="e">
        <f>VLOOKUP(D:D,[1]Munka2!$A:$B,2,FALSE)</f>
        <v>#N/A</v>
      </c>
      <c r="M1123" s="5">
        <f>_xlfn.IFNA(Táblázat1[[#This Row],[Kész2020]],0)</f>
        <v>0</v>
      </c>
      <c r="N1123" s="5">
        <f>IF(Táblázat1[[#This Row],[Karb./akt.év]]-Táblázat1[[#This Row],[Kész2020_2]]&lt;0,0,Táblázat1[[#This Row],[Karb./akt.év]]-Táblázat1[[#This Row],[Kész2020_2]])</f>
        <v>0</v>
      </c>
    </row>
    <row r="1124" spans="1:14" x14ac:dyDescent="0.25">
      <c r="A1124" s="17" t="s">
        <v>22</v>
      </c>
      <c r="B1124" s="17" t="s">
        <v>133</v>
      </c>
      <c r="C1124" s="17" t="s">
        <v>1754</v>
      </c>
      <c r="D1124" s="17" t="s">
        <v>1873</v>
      </c>
      <c r="E1124" s="17" t="s">
        <v>3729</v>
      </c>
      <c r="F1124" s="17" t="s">
        <v>3598</v>
      </c>
      <c r="G1124" s="17" t="s">
        <v>5105</v>
      </c>
      <c r="H1124" t="s">
        <v>7476</v>
      </c>
      <c r="I1124" s="1">
        <v>2</v>
      </c>
      <c r="J1124" s="1">
        <v>2</v>
      </c>
      <c r="K1124" t="s">
        <v>8101</v>
      </c>
      <c r="L1124" s="5" t="e">
        <f>VLOOKUP(D:D,[1]Munka2!$A:$B,2,FALSE)</f>
        <v>#N/A</v>
      </c>
      <c r="M1124" s="5">
        <f>_xlfn.IFNA(Táblázat1[[#This Row],[Kész2020]],0)</f>
        <v>0</v>
      </c>
      <c r="N1124" s="5">
        <f>IF(Táblázat1[[#This Row],[Karb./akt.év]]-Táblázat1[[#This Row],[Kész2020_2]]&lt;0,0,Táblázat1[[#This Row],[Karb./akt.év]]-Táblázat1[[#This Row],[Kész2020_2]])</f>
        <v>2</v>
      </c>
    </row>
    <row r="1125" spans="1:14" x14ac:dyDescent="0.25">
      <c r="A1125" s="17" t="s">
        <v>22</v>
      </c>
      <c r="B1125" s="17" t="s">
        <v>88</v>
      </c>
      <c r="C1125" s="17" t="s">
        <v>1744</v>
      </c>
      <c r="D1125" s="17" t="s">
        <v>1828</v>
      </c>
      <c r="E1125" s="17" t="s">
        <v>3670</v>
      </c>
      <c r="F1125" s="17" t="s">
        <v>3598</v>
      </c>
      <c r="G1125" s="17" t="s">
        <v>5059</v>
      </c>
      <c r="H1125" t="s">
        <v>7476</v>
      </c>
      <c r="I1125" s="1">
        <v>2</v>
      </c>
      <c r="J1125" s="1">
        <v>2</v>
      </c>
      <c r="K1125" t="s">
        <v>8101</v>
      </c>
      <c r="L1125" s="5" t="e">
        <f>VLOOKUP(D:D,[1]Munka2!$A:$B,2,FALSE)</f>
        <v>#N/A</v>
      </c>
      <c r="M1125" s="5">
        <f>_xlfn.IFNA(Táblázat1[[#This Row],[Kész2020]],0)</f>
        <v>0</v>
      </c>
      <c r="N1125" s="5">
        <f>IF(Táblázat1[[#This Row],[Karb./akt.év]]-Táblázat1[[#This Row],[Kész2020_2]]&lt;0,0,Táblázat1[[#This Row],[Karb./akt.év]]-Táblázat1[[#This Row],[Kész2020_2]])</f>
        <v>2</v>
      </c>
    </row>
    <row r="1126" spans="1:14" hidden="1" x14ac:dyDescent="0.25">
      <c r="A1126" s="17" t="s">
        <v>22</v>
      </c>
      <c r="B1126" s="17" t="s">
        <v>1640</v>
      </c>
      <c r="C1126" s="17" t="s">
        <v>1735</v>
      </c>
      <c r="D1126" s="17" t="s">
        <v>3494</v>
      </c>
      <c r="E1126" s="17" t="s">
        <v>4602</v>
      </c>
      <c r="F1126" s="17" t="s">
        <v>4603</v>
      </c>
      <c r="G1126" s="17" t="s">
        <v>6534</v>
      </c>
      <c r="H1126" t="s">
        <v>7476</v>
      </c>
      <c r="I1126" s="1">
        <v>2</v>
      </c>
      <c r="J1126" s="1">
        <v>2</v>
      </c>
      <c r="K1126" t="s">
        <v>7017</v>
      </c>
      <c r="L1126" s="5">
        <f>VLOOKUP(D:D,[1]Munka2!$A:$B,2,FALSE)</f>
        <v>1</v>
      </c>
      <c r="M1126" s="5">
        <f>_xlfn.IFNA(Táblázat1[[#This Row],[Kész2020]],0)</f>
        <v>1</v>
      </c>
      <c r="N1126" s="5">
        <f>IF(Táblázat1[[#This Row],[Karb./akt.év]]-Táblázat1[[#This Row],[Kész2020_2]]&lt;0,0,Táblázat1[[#This Row],[Karb./akt.év]]-Táblázat1[[#This Row],[Kész2020_2]])</f>
        <v>1</v>
      </c>
    </row>
    <row r="1127" spans="1:14" hidden="1" x14ac:dyDescent="0.25">
      <c r="A1127" s="17" t="s">
        <v>22</v>
      </c>
      <c r="B1127" s="17" t="s">
        <v>858</v>
      </c>
      <c r="C1127" s="17" t="s">
        <v>1735</v>
      </c>
      <c r="D1127" s="17" t="s">
        <v>2640</v>
      </c>
      <c r="E1127" s="17" t="s">
        <v>4421</v>
      </c>
      <c r="F1127" s="17" t="s">
        <v>3598</v>
      </c>
      <c r="G1127" s="17" t="s">
        <v>5796</v>
      </c>
      <c r="H1127" t="s">
        <v>7476</v>
      </c>
      <c r="I1127" s="1">
        <v>2</v>
      </c>
      <c r="J1127" s="1">
        <v>2</v>
      </c>
      <c r="K1127" t="s">
        <v>6636</v>
      </c>
      <c r="L1127" s="5">
        <f>VLOOKUP(D:D,[1]Munka2!$A:$B,2,FALSE)</f>
        <v>1</v>
      </c>
      <c r="M1127" s="5">
        <f>_xlfn.IFNA(Táblázat1[[#This Row],[Kész2020]],0)</f>
        <v>1</v>
      </c>
      <c r="N1127" s="5">
        <f>IF(Táblázat1[[#This Row],[Karb./akt.év]]-Táblázat1[[#This Row],[Kész2020_2]]&lt;0,0,Táblázat1[[#This Row],[Karb./akt.év]]-Táblázat1[[#This Row],[Kész2020_2]])</f>
        <v>1</v>
      </c>
    </row>
    <row r="1128" spans="1:14" hidden="1" x14ac:dyDescent="0.25">
      <c r="A1128" s="17" t="s">
        <v>22</v>
      </c>
      <c r="B1128" s="17" t="s">
        <v>154</v>
      </c>
      <c r="C1128" s="17" t="s">
        <v>1735</v>
      </c>
      <c r="D1128" s="17" t="s">
        <v>1894</v>
      </c>
      <c r="E1128" s="17" t="s">
        <v>3757</v>
      </c>
      <c r="F1128" s="17" t="s">
        <v>3598</v>
      </c>
      <c r="G1128" s="17" t="s">
        <v>5126</v>
      </c>
      <c r="H1128" t="s">
        <v>7476</v>
      </c>
      <c r="I1128" s="1">
        <v>2</v>
      </c>
      <c r="J1128" s="1">
        <v>2</v>
      </c>
      <c r="K1128" t="s">
        <v>6785</v>
      </c>
      <c r="L1128" s="5">
        <f>VLOOKUP(D:D,[1]Munka2!$A:$B,2,FALSE)</f>
        <v>1</v>
      </c>
      <c r="M1128" s="5">
        <f>_xlfn.IFNA(Táblázat1[[#This Row],[Kész2020]],0)</f>
        <v>1</v>
      </c>
      <c r="N1128" s="5">
        <f>IF(Táblázat1[[#This Row],[Karb./akt.év]]-Táblázat1[[#This Row],[Kész2020_2]]&lt;0,0,Táblázat1[[#This Row],[Karb./akt.év]]-Táblázat1[[#This Row],[Kész2020_2]])</f>
        <v>1</v>
      </c>
    </row>
    <row r="1129" spans="1:14" hidden="1" x14ac:dyDescent="0.25">
      <c r="A1129" s="17" t="s">
        <v>22</v>
      </c>
      <c r="B1129" s="17" t="s">
        <v>234</v>
      </c>
      <c r="C1129" s="17" t="s">
        <v>1735</v>
      </c>
      <c r="D1129" s="17" t="s">
        <v>1978</v>
      </c>
      <c r="E1129" s="17" t="s">
        <v>3846</v>
      </c>
      <c r="F1129" s="17" t="s">
        <v>3598</v>
      </c>
      <c r="G1129" s="17" t="s">
        <v>5202</v>
      </c>
      <c r="H1129" t="s">
        <v>7476</v>
      </c>
      <c r="I1129" s="1">
        <v>2</v>
      </c>
      <c r="J1129" s="1">
        <v>2</v>
      </c>
      <c r="K1129" t="s">
        <v>7017</v>
      </c>
      <c r="L1129" s="5">
        <f>VLOOKUP(D:D,[1]Munka2!$A:$B,2,FALSE)</f>
        <v>1</v>
      </c>
      <c r="M1129" s="5">
        <f>_xlfn.IFNA(Táblázat1[[#This Row],[Kész2020]],0)</f>
        <v>1</v>
      </c>
      <c r="N1129" s="5">
        <f>IF(Táblázat1[[#This Row],[Karb./akt.év]]-Táblázat1[[#This Row],[Kész2020_2]]&lt;0,0,Táblázat1[[#This Row],[Karb./akt.év]]-Táblázat1[[#This Row],[Kész2020_2]])</f>
        <v>1</v>
      </c>
    </row>
    <row r="1130" spans="1:14" x14ac:dyDescent="0.25">
      <c r="A1130" s="17" t="s">
        <v>22</v>
      </c>
      <c r="B1130" s="17" t="s">
        <v>1271</v>
      </c>
      <c r="C1130" s="17" t="s">
        <v>1735</v>
      </c>
      <c r="D1130" s="17" t="s">
        <v>3083</v>
      </c>
      <c r="E1130" s="17" t="s">
        <v>4770</v>
      </c>
      <c r="F1130" s="17" t="s">
        <v>3598</v>
      </c>
      <c r="G1130" s="17" t="s">
        <v>6196</v>
      </c>
      <c r="H1130" t="s">
        <v>7476</v>
      </c>
      <c r="I1130" s="1">
        <v>2</v>
      </c>
      <c r="J1130" s="1">
        <v>2</v>
      </c>
      <c r="K1130" t="s">
        <v>8101</v>
      </c>
      <c r="L1130" s="5" t="e">
        <f>VLOOKUP(D:D,[1]Munka2!$A:$B,2,FALSE)</f>
        <v>#N/A</v>
      </c>
      <c r="M1130" s="5">
        <f>_xlfn.IFNA(Táblázat1[[#This Row],[Kész2020]],0)</f>
        <v>0</v>
      </c>
      <c r="N1130" s="5">
        <f>IF(Táblázat1[[#This Row],[Karb./akt.év]]-Táblázat1[[#This Row],[Kész2020_2]]&lt;0,0,Táblázat1[[#This Row],[Karb./akt.év]]-Táblázat1[[#This Row],[Kész2020_2]])</f>
        <v>2</v>
      </c>
    </row>
    <row r="1131" spans="1:14" hidden="1" x14ac:dyDescent="0.25">
      <c r="A1131" s="17" t="s">
        <v>22</v>
      </c>
      <c r="B1131" s="17" t="s">
        <v>539</v>
      </c>
      <c r="C1131" s="17" t="s">
        <v>1735</v>
      </c>
      <c r="D1131" s="17" t="s">
        <v>2305</v>
      </c>
      <c r="E1131" s="17" t="s">
        <v>3761</v>
      </c>
      <c r="F1131" s="17" t="s">
        <v>3762</v>
      </c>
      <c r="G1131" s="17" t="s">
        <v>5498</v>
      </c>
      <c r="H1131" t="s">
        <v>7476</v>
      </c>
      <c r="I1131" s="1">
        <v>2</v>
      </c>
      <c r="J1131" s="1">
        <v>2</v>
      </c>
      <c r="K1131" t="s">
        <v>6633</v>
      </c>
      <c r="L1131" s="5">
        <f>VLOOKUP(D:D,[1]Munka2!$A:$B,2,FALSE)</f>
        <v>1</v>
      </c>
      <c r="M1131" s="5">
        <f>_xlfn.IFNA(Táblázat1[[#This Row],[Kész2020]],0)</f>
        <v>1</v>
      </c>
      <c r="N1131" s="5">
        <f>IF(Táblázat1[[#This Row],[Karb./akt.év]]-Táblázat1[[#This Row],[Kész2020_2]]&lt;0,0,Táblázat1[[#This Row],[Karb./akt.év]]-Táblázat1[[#This Row],[Kész2020_2]])</f>
        <v>1</v>
      </c>
    </row>
    <row r="1132" spans="1:14" x14ac:dyDescent="0.25">
      <c r="A1132" s="17" t="s">
        <v>22</v>
      </c>
      <c r="B1132" s="17" t="s">
        <v>870</v>
      </c>
      <c r="C1132" s="17" t="s">
        <v>1735</v>
      </c>
      <c r="D1132" s="17" t="s">
        <v>2651</v>
      </c>
      <c r="E1132" s="17" t="s">
        <v>3625</v>
      </c>
      <c r="F1132" s="17" t="s">
        <v>3626</v>
      </c>
      <c r="G1132" s="17" t="s">
        <v>5807</v>
      </c>
      <c r="H1132" t="s">
        <v>7476</v>
      </c>
      <c r="I1132" s="1">
        <v>2</v>
      </c>
      <c r="J1132" s="1">
        <v>2</v>
      </c>
      <c r="K1132" t="s">
        <v>6642</v>
      </c>
      <c r="L1132" s="5" t="e">
        <f>VLOOKUP(D:D,[1]Munka2!$A:$B,2,FALSE)</f>
        <v>#N/A</v>
      </c>
      <c r="M1132" s="5">
        <f>_xlfn.IFNA(Táblázat1[[#This Row],[Kész2020]],0)</f>
        <v>0</v>
      </c>
      <c r="N1132" s="5">
        <f>IF(Táblázat1[[#This Row],[Karb./akt.év]]-Táblázat1[[#This Row],[Kész2020_2]]&lt;0,0,Táblázat1[[#This Row],[Karb./akt.év]]-Táblázat1[[#This Row],[Kész2020_2]])</f>
        <v>2</v>
      </c>
    </row>
    <row r="1133" spans="1:14" x14ac:dyDescent="0.25">
      <c r="A1133" s="17" t="s">
        <v>7299</v>
      </c>
      <c r="B1133" s="17" t="s">
        <v>7683</v>
      </c>
      <c r="C1133" s="17" t="s">
        <v>7395</v>
      </c>
      <c r="D1133" s="17" t="s">
        <v>7790</v>
      </c>
      <c r="E1133" s="17" t="s">
        <v>4206</v>
      </c>
      <c r="F1133" s="17" t="s">
        <v>3598</v>
      </c>
      <c r="G1133" s="17" t="s">
        <v>8015</v>
      </c>
      <c r="H1133" t="s">
        <v>7476</v>
      </c>
      <c r="I1133" s="1">
        <v>2</v>
      </c>
      <c r="J1133" s="1">
        <v>2</v>
      </c>
      <c r="K1133" t="s">
        <v>7017</v>
      </c>
      <c r="L1133" s="5" t="e">
        <f>VLOOKUP(D:D,[1]Munka2!$A:$B,2,FALSE)</f>
        <v>#N/A</v>
      </c>
      <c r="M1133" s="5">
        <f>_xlfn.IFNA(Táblázat1[[#This Row],[Kész2020]],0)</f>
        <v>0</v>
      </c>
      <c r="N1133" s="5">
        <f>IF(Táblázat1[[#This Row],[Karb./akt.év]]-Táblázat1[[#This Row],[Kész2020_2]]&lt;0,0,Táblázat1[[#This Row],[Karb./akt.év]]-Táblázat1[[#This Row],[Kész2020_2]])</f>
        <v>2</v>
      </c>
    </row>
    <row r="1134" spans="1:14" hidden="1" x14ac:dyDescent="0.25">
      <c r="A1134" s="17" t="s">
        <v>7299</v>
      </c>
      <c r="B1134" s="17" t="s">
        <v>643</v>
      </c>
      <c r="C1134" s="17" t="s">
        <v>1737</v>
      </c>
      <c r="D1134" s="17" t="s">
        <v>2417</v>
      </c>
      <c r="E1134" s="17" t="s">
        <v>4260</v>
      </c>
      <c r="F1134" s="17" t="s">
        <v>4261</v>
      </c>
      <c r="G1134" s="17" t="s">
        <v>5601</v>
      </c>
      <c r="H1134" t="s">
        <v>7476</v>
      </c>
      <c r="I1134" s="1">
        <v>2</v>
      </c>
      <c r="J1134" s="1">
        <v>2</v>
      </c>
      <c r="K1134" t="s">
        <v>8102</v>
      </c>
      <c r="L1134" s="5">
        <f>VLOOKUP(D:D,[1]Munka2!$A:$B,2,FALSE)</f>
        <v>1</v>
      </c>
      <c r="M1134" s="5">
        <f>_xlfn.IFNA(Táblázat1[[#This Row],[Kész2020]],0)</f>
        <v>1</v>
      </c>
      <c r="N1134" s="5">
        <f>IF(Táblázat1[[#This Row],[Karb./akt.év]]-Táblázat1[[#This Row],[Kész2020_2]]&lt;0,0,Táblázat1[[#This Row],[Karb./akt.év]]-Táblázat1[[#This Row],[Kész2020_2]])</f>
        <v>1</v>
      </c>
    </row>
    <row r="1135" spans="1:14" hidden="1" x14ac:dyDescent="0.25">
      <c r="A1135" s="17" t="s">
        <v>7299</v>
      </c>
      <c r="B1135" s="17" t="s">
        <v>1212</v>
      </c>
      <c r="C1135" s="17" t="s">
        <v>1738</v>
      </c>
      <c r="D1135" s="17" t="s">
        <v>3018</v>
      </c>
      <c r="E1135" s="17" t="s">
        <v>4719</v>
      </c>
      <c r="F1135" s="17" t="s">
        <v>4720</v>
      </c>
      <c r="G1135" s="17" t="s">
        <v>6140</v>
      </c>
      <c r="H1135" t="s">
        <v>7476</v>
      </c>
      <c r="I1135" s="1">
        <v>2</v>
      </c>
      <c r="J1135" s="1">
        <v>2</v>
      </c>
      <c r="K1135" t="s">
        <v>8102</v>
      </c>
      <c r="L1135" s="5">
        <f>VLOOKUP(D:D,[1]Munka2!$A:$B,2,FALSE)</f>
        <v>1</v>
      </c>
      <c r="M1135" s="5">
        <f>_xlfn.IFNA(Táblázat1[[#This Row],[Kész2020]],0)</f>
        <v>1</v>
      </c>
      <c r="N1135" s="5">
        <f>IF(Táblázat1[[#This Row],[Karb./akt.év]]-Táblázat1[[#This Row],[Kész2020_2]]&lt;0,0,Táblázat1[[#This Row],[Karb./akt.év]]-Táblázat1[[#This Row],[Kész2020_2]])</f>
        <v>1</v>
      </c>
    </row>
    <row r="1136" spans="1:14" hidden="1" x14ac:dyDescent="0.25">
      <c r="A1136" s="17" t="s">
        <v>7299</v>
      </c>
      <c r="B1136" s="17" t="s">
        <v>640</v>
      </c>
      <c r="C1136" s="17" t="s">
        <v>1737</v>
      </c>
      <c r="D1136" s="17" t="s">
        <v>2414</v>
      </c>
      <c r="E1136" s="17" t="s">
        <v>4256</v>
      </c>
      <c r="F1136" s="17" t="s">
        <v>4257</v>
      </c>
      <c r="G1136" s="17" t="s">
        <v>5600</v>
      </c>
      <c r="H1136" t="s">
        <v>7476</v>
      </c>
      <c r="I1136" s="1">
        <v>2</v>
      </c>
      <c r="J1136" s="1">
        <v>0</v>
      </c>
      <c r="K1136" t="s">
        <v>8102</v>
      </c>
      <c r="L1136" s="5" t="e">
        <f>VLOOKUP(D:D,[1]Munka2!$A:$B,2,FALSE)</f>
        <v>#N/A</v>
      </c>
      <c r="M1136" s="5">
        <f>_xlfn.IFNA(Táblázat1[[#This Row],[Kész2020]],0)</f>
        <v>0</v>
      </c>
      <c r="N1136" s="5">
        <f>IF(Táblázat1[[#This Row],[Karb./akt.év]]-Táblázat1[[#This Row],[Kész2020_2]]&lt;0,0,Táblázat1[[#This Row],[Karb./akt.év]]-Táblázat1[[#This Row],[Kész2020_2]])</f>
        <v>0</v>
      </c>
    </row>
    <row r="1137" spans="1:14" hidden="1" x14ac:dyDescent="0.25">
      <c r="A1137" s="17" t="s">
        <v>7299</v>
      </c>
      <c r="B1137" s="17" t="s">
        <v>617</v>
      </c>
      <c r="C1137" s="17" t="s">
        <v>1738</v>
      </c>
      <c r="D1137" s="17" t="s">
        <v>2391</v>
      </c>
      <c r="E1137" s="17" t="s">
        <v>4228</v>
      </c>
      <c r="F1137" s="17" t="s">
        <v>4229</v>
      </c>
      <c r="G1137" s="17" t="s">
        <v>5577</v>
      </c>
      <c r="H1137" t="s">
        <v>7476</v>
      </c>
      <c r="I1137" s="1">
        <v>2</v>
      </c>
      <c r="J1137" s="1">
        <v>0</v>
      </c>
      <c r="K1137" t="s">
        <v>8102</v>
      </c>
      <c r="L1137" s="5" t="e">
        <f>VLOOKUP(D:D,[1]Munka2!$A:$B,2,FALSE)</f>
        <v>#N/A</v>
      </c>
      <c r="M1137" s="5">
        <f>_xlfn.IFNA(Táblázat1[[#This Row],[Kész2020]],0)</f>
        <v>0</v>
      </c>
      <c r="N1137" s="5">
        <f>IF(Táblázat1[[#This Row],[Karb./akt.év]]-Táblázat1[[#This Row],[Kész2020_2]]&lt;0,0,Táblázat1[[#This Row],[Karb./akt.év]]-Táblázat1[[#This Row],[Kész2020_2]])</f>
        <v>0</v>
      </c>
    </row>
    <row r="1138" spans="1:14" hidden="1" x14ac:dyDescent="0.25">
      <c r="A1138" s="17" t="s">
        <v>7299</v>
      </c>
      <c r="B1138" s="17" t="s">
        <v>877</v>
      </c>
      <c r="C1138" s="17" t="s">
        <v>1738</v>
      </c>
      <c r="D1138" s="17" t="s">
        <v>2659</v>
      </c>
      <c r="E1138" s="17" t="s">
        <v>4452</v>
      </c>
      <c r="F1138" s="17" t="s">
        <v>4453</v>
      </c>
      <c r="G1138" s="17" t="s">
        <v>5813</v>
      </c>
      <c r="H1138" t="s">
        <v>7476</v>
      </c>
      <c r="I1138" s="1">
        <v>2</v>
      </c>
      <c r="J1138" s="1">
        <v>2</v>
      </c>
      <c r="K1138" t="s">
        <v>8102</v>
      </c>
      <c r="L1138" s="5">
        <f>VLOOKUP(D:D,[1]Munka2!$A:$B,2,FALSE)</f>
        <v>1</v>
      </c>
      <c r="M1138" s="5">
        <f>_xlfn.IFNA(Táblázat1[[#This Row],[Kész2020]],0)</f>
        <v>1</v>
      </c>
      <c r="N1138" s="5">
        <f>IF(Táblázat1[[#This Row],[Karb./akt.év]]-Táblázat1[[#This Row],[Kész2020_2]]&lt;0,0,Táblázat1[[#This Row],[Karb./akt.év]]-Táblázat1[[#This Row],[Kész2020_2]])</f>
        <v>1</v>
      </c>
    </row>
    <row r="1139" spans="1:14" x14ac:dyDescent="0.25">
      <c r="A1139" s="17" t="s">
        <v>7299</v>
      </c>
      <c r="B1139" s="17" t="s">
        <v>366</v>
      </c>
      <c r="C1139" s="17" t="s">
        <v>1750</v>
      </c>
      <c r="D1139" s="17" t="s">
        <v>2122</v>
      </c>
      <c r="E1139" s="17" t="s">
        <v>3999</v>
      </c>
      <c r="F1139" s="17" t="s">
        <v>4000</v>
      </c>
      <c r="G1139" s="17" t="s">
        <v>5334</v>
      </c>
      <c r="H1139" t="s">
        <v>7476</v>
      </c>
      <c r="I1139" s="1">
        <v>2</v>
      </c>
      <c r="J1139" s="1">
        <v>2</v>
      </c>
      <c r="K1139" t="s">
        <v>7118</v>
      </c>
      <c r="L1139" s="5" t="e">
        <f>VLOOKUP(D:D,[1]Munka2!$A:$B,2,FALSE)</f>
        <v>#N/A</v>
      </c>
      <c r="M1139" s="5">
        <f>_xlfn.IFNA(Táblázat1[[#This Row],[Kész2020]],0)</f>
        <v>0</v>
      </c>
      <c r="N1139" s="5">
        <f>IF(Táblázat1[[#This Row],[Karb./akt.év]]-Táblázat1[[#This Row],[Kész2020_2]]&lt;0,0,Táblázat1[[#This Row],[Karb./akt.év]]-Táblázat1[[#This Row],[Kész2020_2]])</f>
        <v>2</v>
      </c>
    </row>
    <row r="1140" spans="1:14" hidden="1" x14ac:dyDescent="0.25">
      <c r="A1140" s="17" t="s">
        <v>7299</v>
      </c>
      <c r="B1140" s="17" t="s">
        <v>7019</v>
      </c>
      <c r="C1140" s="17" t="s">
        <v>1737</v>
      </c>
      <c r="D1140" s="17" t="s">
        <v>7058</v>
      </c>
      <c r="E1140" s="17" t="s">
        <v>4055</v>
      </c>
      <c r="F1140" s="17" t="s">
        <v>4056</v>
      </c>
      <c r="G1140" s="17" t="s">
        <v>7618</v>
      </c>
      <c r="H1140" t="s">
        <v>7476</v>
      </c>
      <c r="I1140" s="1">
        <v>2</v>
      </c>
      <c r="J1140" s="1">
        <v>2</v>
      </c>
      <c r="K1140" t="s">
        <v>8102</v>
      </c>
      <c r="L1140" s="5">
        <f>VLOOKUP(D:D,[1]Munka2!$A:$B,2,FALSE)</f>
        <v>1</v>
      </c>
      <c r="M1140" s="5">
        <f>_xlfn.IFNA(Táblázat1[[#This Row],[Kész2020]],0)</f>
        <v>1</v>
      </c>
      <c r="N1140" s="5">
        <f>IF(Táblázat1[[#This Row],[Karb./akt.év]]-Táblázat1[[#This Row],[Kész2020_2]]&lt;0,0,Táblázat1[[#This Row],[Karb./akt.év]]-Táblázat1[[#This Row],[Kész2020_2]])</f>
        <v>1</v>
      </c>
    </row>
    <row r="1141" spans="1:14" x14ac:dyDescent="0.25">
      <c r="A1141" s="17" t="s">
        <v>7299</v>
      </c>
      <c r="B1141" s="17" t="s">
        <v>774</v>
      </c>
      <c r="C1141" s="17" t="s">
        <v>1737</v>
      </c>
      <c r="D1141" s="17" t="s">
        <v>2550</v>
      </c>
      <c r="E1141" s="17" t="s">
        <v>4341</v>
      </c>
      <c r="F1141" s="17" t="s">
        <v>4342</v>
      </c>
      <c r="G1141" s="17" t="s">
        <v>5718</v>
      </c>
      <c r="H1141" t="s">
        <v>7476</v>
      </c>
      <c r="I1141" s="1">
        <v>2</v>
      </c>
      <c r="J1141" s="1">
        <v>2</v>
      </c>
      <c r="K1141" t="s">
        <v>8102</v>
      </c>
      <c r="L1141" s="5" t="e">
        <f>VLOOKUP(D:D,[1]Munka2!$A:$B,2,FALSE)</f>
        <v>#N/A</v>
      </c>
      <c r="M1141" s="5">
        <f>_xlfn.IFNA(Táblázat1[[#This Row],[Kész2020]],0)</f>
        <v>0</v>
      </c>
      <c r="N1141" s="5">
        <f>IF(Táblázat1[[#This Row],[Karb./akt.év]]-Táblázat1[[#This Row],[Kész2020_2]]&lt;0,0,Táblázat1[[#This Row],[Karb./akt.év]]-Táblázat1[[#This Row],[Kész2020_2]])</f>
        <v>2</v>
      </c>
    </row>
    <row r="1142" spans="1:14" x14ac:dyDescent="0.25">
      <c r="A1142" s="17" t="s">
        <v>7299</v>
      </c>
      <c r="B1142" s="17" t="s">
        <v>887</v>
      </c>
      <c r="C1142" s="17" t="s">
        <v>1750</v>
      </c>
      <c r="D1142" s="17" t="s">
        <v>2671</v>
      </c>
      <c r="E1142" s="17" t="s">
        <v>4466</v>
      </c>
      <c r="F1142" s="17" t="s">
        <v>4467</v>
      </c>
      <c r="G1142" s="17" t="s">
        <v>5820</v>
      </c>
      <c r="H1142" t="s">
        <v>7476</v>
      </c>
      <c r="I1142" s="1">
        <v>2</v>
      </c>
      <c r="J1142" s="1">
        <v>2</v>
      </c>
      <c r="K1142" t="s">
        <v>7118</v>
      </c>
      <c r="L1142" s="5" t="e">
        <f>VLOOKUP(D:D,[1]Munka2!$A:$B,2,FALSE)</f>
        <v>#N/A</v>
      </c>
      <c r="M1142" s="5">
        <f>_xlfn.IFNA(Táblázat1[[#This Row],[Kész2020]],0)</f>
        <v>0</v>
      </c>
      <c r="N1142" s="5">
        <f>IF(Táblázat1[[#This Row],[Karb./akt.év]]-Táblázat1[[#This Row],[Kész2020_2]]&lt;0,0,Táblázat1[[#This Row],[Karb./akt.év]]-Táblázat1[[#This Row],[Kész2020_2]])</f>
        <v>2</v>
      </c>
    </row>
    <row r="1143" spans="1:14" hidden="1" x14ac:dyDescent="0.25">
      <c r="A1143" s="17" t="s">
        <v>7299</v>
      </c>
      <c r="B1143" s="17" t="s">
        <v>7006</v>
      </c>
      <c r="C1143" s="17" t="s">
        <v>1737</v>
      </c>
      <c r="D1143" s="17" t="s">
        <v>7010</v>
      </c>
      <c r="E1143" s="17" t="s">
        <v>4476</v>
      </c>
      <c r="F1143" s="17" t="s">
        <v>4751</v>
      </c>
      <c r="G1143" s="17" t="s">
        <v>6180</v>
      </c>
      <c r="H1143" t="s">
        <v>7476</v>
      </c>
      <c r="I1143" s="1">
        <v>2</v>
      </c>
      <c r="J1143" s="1">
        <v>2</v>
      </c>
      <c r="K1143" t="s">
        <v>8102</v>
      </c>
      <c r="L1143" s="5">
        <f>VLOOKUP(D:D,[1]Munka2!$A:$B,2,FALSE)</f>
        <v>1</v>
      </c>
      <c r="M1143" s="5">
        <f>_xlfn.IFNA(Táblázat1[[#This Row],[Kész2020]],0)</f>
        <v>1</v>
      </c>
      <c r="N1143" s="5">
        <f>IF(Táblázat1[[#This Row],[Karb./akt.év]]-Táblázat1[[#This Row],[Kész2020_2]]&lt;0,0,Táblázat1[[#This Row],[Karb./akt.év]]-Táblázat1[[#This Row],[Kész2020_2]])</f>
        <v>1</v>
      </c>
    </row>
    <row r="1144" spans="1:14" hidden="1" x14ac:dyDescent="0.25">
      <c r="A1144" s="17" t="s">
        <v>7299</v>
      </c>
      <c r="B1144" s="17" t="s">
        <v>757</v>
      </c>
      <c r="C1144" s="17" t="s">
        <v>1747</v>
      </c>
      <c r="D1144" s="17" t="s">
        <v>2532</v>
      </c>
      <c r="E1144" s="17" t="s">
        <v>3796</v>
      </c>
      <c r="F1144" s="17" t="s">
        <v>3718</v>
      </c>
      <c r="G1144" s="17" t="s">
        <v>5703</v>
      </c>
      <c r="H1144" t="s">
        <v>7476</v>
      </c>
      <c r="I1144" s="1">
        <v>2</v>
      </c>
      <c r="J1144" s="1">
        <v>2</v>
      </c>
      <c r="K1144" t="s">
        <v>8102</v>
      </c>
      <c r="L1144" s="5">
        <f>VLOOKUP(D:D,[1]Munka2!$A:$B,2,FALSE)</f>
        <v>1</v>
      </c>
      <c r="M1144" s="5">
        <f>_xlfn.IFNA(Táblázat1[[#This Row],[Kész2020]],0)</f>
        <v>1</v>
      </c>
      <c r="N1144" s="5">
        <f>IF(Táblázat1[[#This Row],[Karb./akt.év]]-Táblázat1[[#This Row],[Kész2020_2]]&lt;0,0,Táblázat1[[#This Row],[Karb./akt.év]]-Táblázat1[[#This Row],[Kész2020_2]])</f>
        <v>1</v>
      </c>
    </row>
    <row r="1145" spans="1:14" hidden="1" x14ac:dyDescent="0.25">
      <c r="A1145" s="17" t="s">
        <v>7299</v>
      </c>
      <c r="B1145" s="17" t="s">
        <v>1371</v>
      </c>
      <c r="C1145" s="17" t="s">
        <v>1750</v>
      </c>
      <c r="D1145" s="17" t="s">
        <v>3190</v>
      </c>
      <c r="E1145" s="17" t="s">
        <v>4641</v>
      </c>
      <c r="F1145" s="17" t="s">
        <v>4642</v>
      </c>
      <c r="G1145" s="17" t="s">
        <v>6275</v>
      </c>
      <c r="H1145" t="s">
        <v>7476</v>
      </c>
      <c r="I1145" s="1">
        <v>2</v>
      </c>
      <c r="J1145" s="1">
        <v>2</v>
      </c>
      <c r="K1145" t="s">
        <v>7118</v>
      </c>
      <c r="L1145" s="5">
        <f>VLOOKUP(D:D,[1]Munka2!$A:$B,2,FALSE)</f>
        <v>1</v>
      </c>
      <c r="M1145" s="5">
        <f>_xlfn.IFNA(Táblázat1[[#This Row],[Kész2020]],0)</f>
        <v>1</v>
      </c>
      <c r="N1145" s="5">
        <f>IF(Táblázat1[[#This Row],[Karb./akt.év]]-Táblázat1[[#This Row],[Kész2020_2]]&lt;0,0,Táblázat1[[#This Row],[Karb./akt.év]]-Táblázat1[[#This Row],[Kész2020_2]])</f>
        <v>1</v>
      </c>
    </row>
    <row r="1146" spans="1:14" x14ac:dyDescent="0.25">
      <c r="A1146" s="17" t="s">
        <v>7299</v>
      </c>
      <c r="B1146" s="17" t="s">
        <v>1615</v>
      </c>
      <c r="C1146" s="17" t="s">
        <v>1750</v>
      </c>
      <c r="D1146" s="17" t="s">
        <v>3466</v>
      </c>
      <c r="E1146" s="17" t="s">
        <v>3599</v>
      </c>
      <c r="F1146" s="17" t="s">
        <v>3600</v>
      </c>
      <c r="G1146" s="17" t="s">
        <v>6517</v>
      </c>
      <c r="H1146" t="s">
        <v>7476</v>
      </c>
      <c r="I1146" s="1">
        <v>2</v>
      </c>
      <c r="J1146" s="1">
        <v>2</v>
      </c>
      <c r="K1146" t="s">
        <v>7118</v>
      </c>
      <c r="L1146" s="5" t="e">
        <f>VLOOKUP(D:D,[1]Munka2!$A:$B,2,FALSE)</f>
        <v>#N/A</v>
      </c>
      <c r="M1146" s="5">
        <f>_xlfn.IFNA(Táblázat1[[#This Row],[Kész2020]],0)</f>
        <v>0</v>
      </c>
      <c r="N1146" s="5">
        <f>IF(Táblázat1[[#This Row],[Karb./akt.év]]-Táblázat1[[#This Row],[Kész2020_2]]&lt;0,0,Táblázat1[[#This Row],[Karb./akt.év]]-Táblázat1[[#This Row],[Kész2020_2]])</f>
        <v>2</v>
      </c>
    </row>
    <row r="1147" spans="1:14" x14ac:dyDescent="0.25">
      <c r="A1147" s="17" t="s">
        <v>7299</v>
      </c>
      <c r="B1147" s="17" t="s">
        <v>554</v>
      </c>
      <c r="C1147" s="17" t="s">
        <v>1750</v>
      </c>
      <c r="D1147" s="17" t="s">
        <v>2323</v>
      </c>
      <c r="E1147" s="17" t="s">
        <v>3683</v>
      </c>
      <c r="F1147" s="17" t="s">
        <v>3684</v>
      </c>
      <c r="G1147" s="17" t="s">
        <v>5515</v>
      </c>
      <c r="H1147" t="s">
        <v>7476</v>
      </c>
      <c r="I1147" s="1">
        <v>2</v>
      </c>
      <c r="J1147" s="1">
        <v>2</v>
      </c>
      <c r="K1147" t="s">
        <v>7118</v>
      </c>
      <c r="L1147" s="5" t="e">
        <f>VLOOKUP(D:D,[1]Munka2!$A:$B,2,FALSE)</f>
        <v>#N/A</v>
      </c>
      <c r="M1147" s="5">
        <f>_xlfn.IFNA(Táblázat1[[#This Row],[Kész2020]],0)</f>
        <v>0</v>
      </c>
      <c r="N1147" s="5">
        <f>IF(Táblázat1[[#This Row],[Karb./akt.év]]-Táblázat1[[#This Row],[Kész2020_2]]&lt;0,0,Táblázat1[[#This Row],[Karb./akt.év]]-Táblázat1[[#This Row],[Kész2020_2]])</f>
        <v>2</v>
      </c>
    </row>
    <row r="1148" spans="1:14" hidden="1" x14ac:dyDescent="0.25">
      <c r="A1148" s="17" t="s">
        <v>7299</v>
      </c>
      <c r="B1148" s="17" t="s">
        <v>1563</v>
      </c>
      <c r="C1148" s="17" t="s">
        <v>1738</v>
      </c>
      <c r="D1148" s="17" t="s">
        <v>3408</v>
      </c>
      <c r="E1148" s="17" t="s">
        <v>3788</v>
      </c>
      <c r="F1148" s="17" t="s">
        <v>3789</v>
      </c>
      <c r="G1148" s="17" t="s">
        <v>6467</v>
      </c>
      <c r="H1148" t="s">
        <v>7476</v>
      </c>
      <c r="I1148" s="1">
        <v>2</v>
      </c>
      <c r="J1148" s="1">
        <v>2</v>
      </c>
      <c r="K1148" t="s">
        <v>6634</v>
      </c>
      <c r="L1148" s="5">
        <f>VLOOKUP(D:D,[1]Munka2!$A:$B,2,FALSE)</f>
        <v>1</v>
      </c>
      <c r="M1148" s="5">
        <f>_xlfn.IFNA(Táblázat1[[#This Row],[Kész2020]],0)</f>
        <v>1</v>
      </c>
      <c r="N1148" s="5">
        <f>IF(Táblázat1[[#This Row],[Karb./akt.év]]-Táblázat1[[#This Row],[Kész2020_2]]&lt;0,0,Táblázat1[[#This Row],[Karb./akt.év]]-Táblázat1[[#This Row],[Kész2020_2]])</f>
        <v>1</v>
      </c>
    </row>
    <row r="1149" spans="1:14" hidden="1" x14ac:dyDescent="0.25">
      <c r="A1149" s="17" t="s">
        <v>7299</v>
      </c>
      <c r="B1149" s="17" t="s">
        <v>1679</v>
      </c>
      <c r="C1149" s="17" t="s">
        <v>1737</v>
      </c>
      <c r="D1149" s="17" t="s">
        <v>3535</v>
      </c>
      <c r="E1149" s="17" t="s">
        <v>3818</v>
      </c>
      <c r="F1149" s="17" t="s">
        <v>3819</v>
      </c>
      <c r="G1149" s="17" t="s">
        <v>7619</v>
      </c>
      <c r="H1149" t="s">
        <v>7476</v>
      </c>
      <c r="I1149" s="1">
        <v>2</v>
      </c>
      <c r="J1149" s="1">
        <v>2</v>
      </c>
      <c r="K1149" t="s">
        <v>6634</v>
      </c>
      <c r="L1149" s="5">
        <f>VLOOKUP(D:D,[1]Munka2!$A:$B,2,FALSE)</f>
        <v>1</v>
      </c>
      <c r="M1149" s="5">
        <f>_xlfn.IFNA(Táblázat1[[#This Row],[Kész2020]],0)</f>
        <v>1</v>
      </c>
      <c r="N1149" s="5">
        <f>IF(Táblázat1[[#This Row],[Karb./akt.év]]-Táblázat1[[#This Row],[Kész2020_2]]&lt;0,0,Táblázat1[[#This Row],[Karb./akt.év]]-Táblázat1[[#This Row],[Kész2020_2]])</f>
        <v>1</v>
      </c>
    </row>
    <row r="1150" spans="1:14" hidden="1" x14ac:dyDescent="0.25">
      <c r="A1150" s="17" t="s">
        <v>7299</v>
      </c>
      <c r="B1150" s="17" t="s">
        <v>1047</v>
      </c>
      <c r="C1150" s="17" t="s">
        <v>1737</v>
      </c>
      <c r="D1150" s="17" t="s">
        <v>2835</v>
      </c>
      <c r="E1150" s="17" t="s">
        <v>4594</v>
      </c>
      <c r="F1150" s="17" t="s">
        <v>4595</v>
      </c>
      <c r="G1150" s="17" t="s">
        <v>5975</v>
      </c>
      <c r="H1150" t="s">
        <v>7476</v>
      </c>
      <c r="I1150" s="1">
        <v>2</v>
      </c>
      <c r="J1150" s="1">
        <v>2</v>
      </c>
      <c r="K1150" t="s">
        <v>6634</v>
      </c>
      <c r="L1150" s="5">
        <f>VLOOKUP(D:D,[1]Munka2!$A:$B,2,FALSE)</f>
        <v>1</v>
      </c>
      <c r="M1150" s="5">
        <f>_xlfn.IFNA(Táblázat1[[#This Row],[Kész2020]],0)</f>
        <v>1</v>
      </c>
      <c r="N1150" s="5">
        <f>IF(Táblázat1[[#This Row],[Karb./akt.év]]-Táblázat1[[#This Row],[Kész2020_2]]&lt;0,0,Táblázat1[[#This Row],[Karb./akt.év]]-Táblázat1[[#This Row],[Kész2020_2]])</f>
        <v>1</v>
      </c>
    </row>
    <row r="1151" spans="1:14" hidden="1" x14ac:dyDescent="0.25">
      <c r="A1151" s="17" t="s">
        <v>7299</v>
      </c>
      <c r="B1151" s="17" t="s">
        <v>283</v>
      </c>
      <c r="C1151" s="17" t="s">
        <v>1737</v>
      </c>
      <c r="D1151" s="17" t="s">
        <v>2032</v>
      </c>
      <c r="E1151" s="17" t="s">
        <v>3905</v>
      </c>
      <c r="F1151" s="17" t="s">
        <v>3906</v>
      </c>
      <c r="G1151" s="17" t="s">
        <v>5251</v>
      </c>
      <c r="H1151" t="s">
        <v>7476</v>
      </c>
      <c r="I1151" s="1">
        <v>2</v>
      </c>
      <c r="J1151" s="1">
        <v>2</v>
      </c>
      <c r="K1151" t="s">
        <v>6634</v>
      </c>
      <c r="L1151" s="5">
        <f>VLOOKUP(D:D,[1]Munka2!$A:$B,2,FALSE)</f>
        <v>1</v>
      </c>
      <c r="M1151" s="5">
        <f>_xlfn.IFNA(Táblázat1[[#This Row],[Kész2020]],0)</f>
        <v>1</v>
      </c>
      <c r="N1151" s="5">
        <f>IF(Táblázat1[[#This Row],[Karb./akt.év]]-Táblázat1[[#This Row],[Kész2020_2]]&lt;0,0,Táblázat1[[#This Row],[Karb./akt.év]]-Táblázat1[[#This Row],[Kész2020_2]])</f>
        <v>1</v>
      </c>
    </row>
    <row r="1152" spans="1:14" hidden="1" x14ac:dyDescent="0.25">
      <c r="A1152" s="17" t="s">
        <v>7299</v>
      </c>
      <c r="B1152" s="17" t="s">
        <v>267</v>
      </c>
      <c r="C1152" s="17" t="s">
        <v>1737</v>
      </c>
      <c r="D1152" s="17" t="s">
        <v>2014</v>
      </c>
      <c r="E1152" s="17" t="s">
        <v>3717</v>
      </c>
      <c r="F1152" s="17" t="s">
        <v>3718</v>
      </c>
      <c r="G1152" s="17" t="s">
        <v>5234</v>
      </c>
      <c r="H1152" t="s">
        <v>7476</v>
      </c>
      <c r="I1152" s="1">
        <v>2</v>
      </c>
      <c r="J1152" s="1">
        <v>2</v>
      </c>
      <c r="K1152" t="s">
        <v>8102</v>
      </c>
      <c r="L1152" s="5">
        <f>VLOOKUP(D:D,[1]Munka2!$A:$B,2,FALSE)</f>
        <v>1</v>
      </c>
      <c r="M1152" s="5">
        <f>_xlfn.IFNA(Táblázat1[[#This Row],[Kész2020]],0)</f>
        <v>1</v>
      </c>
      <c r="N1152" s="5">
        <f>IF(Táblázat1[[#This Row],[Karb./akt.év]]-Táblázat1[[#This Row],[Kész2020_2]]&lt;0,0,Táblázat1[[#This Row],[Karb./akt.év]]-Táblázat1[[#This Row],[Kész2020_2]])</f>
        <v>1</v>
      </c>
    </row>
    <row r="1153" spans="1:14" x14ac:dyDescent="0.25">
      <c r="A1153" s="17" t="s">
        <v>7299</v>
      </c>
      <c r="B1153" s="17" t="s">
        <v>612</v>
      </c>
      <c r="C1153" s="17" t="s">
        <v>1748</v>
      </c>
      <c r="D1153" s="17" t="s">
        <v>2385</v>
      </c>
      <c r="E1153" s="17" t="s">
        <v>4220</v>
      </c>
      <c r="F1153" s="17" t="s">
        <v>4221</v>
      </c>
      <c r="G1153" s="17" t="s">
        <v>5571</v>
      </c>
      <c r="H1153" t="s">
        <v>7476</v>
      </c>
      <c r="I1153" s="1">
        <v>2</v>
      </c>
      <c r="J1153" s="1">
        <v>2</v>
      </c>
      <c r="K1153" t="s">
        <v>8102</v>
      </c>
      <c r="L1153" s="5" t="e">
        <f>VLOOKUP(D:D,[1]Munka2!$A:$B,2,FALSE)</f>
        <v>#N/A</v>
      </c>
      <c r="M1153" s="5">
        <f>_xlfn.IFNA(Táblázat1[[#This Row],[Kész2020]],0)</f>
        <v>0</v>
      </c>
      <c r="N1153" s="5">
        <f>IF(Táblázat1[[#This Row],[Karb./akt.év]]-Táblázat1[[#This Row],[Kész2020_2]]&lt;0,0,Táblázat1[[#This Row],[Karb./akt.év]]-Táblázat1[[#This Row],[Kész2020_2]])</f>
        <v>2</v>
      </c>
    </row>
    <row r="1154" spans="1:14" x14ac:dyDescent="0.25">
      <c r="A1154" s="17" t="s">
        <v>7299</v>
      </c>
      <c r="B1154" s="17" t="s">
        <v>7361</v>
      </c>
      <c r="C1154" s="17" t="s">
        <v>1735</v>
      </c>
      <c r="D1154" s="17" t="s">
        <v>7368</v>
      </c>
      <c r="E1154" s="17" t="s">
        <v>3682</v>
      </c>
      <c r="F1154" s="17" t="s">
        <v>3679</v>
      </c>
      <c r="G1154" s="17" t="s">
        <v>7375</v>
      </c>
      <c r="H1154" t="s">
        <v>7476</v>
      </c>
      <c r="I1154" s="1">
        <v>2</v>
      </c>
      <c r="J1154" s="1">
        <v>2</v>
      </c>
      <c r="K1154" t="s">
        <v>6635</v>
      </c>
      <c r="L1154" s="5" t="e">
        <f>VLOOKUP(D:D,[1]Munka2!$A:$B,2,FALSE)</f>
        <v>#N/A</v>
      </c>
      <c r="M1154" s="5">
        <f>_xlfn.IFNA(Táblázat1[[#This Row],[Kész2020]],0)</f>
        <v>0</v>
      </c>
      <c r="N1154" s="5">
        <f>IF(Táblázat1[[#This Row],[Karb./akt.év]]-Táblázat1[[#This Row],[Kész2020_2]]&lt;0,0,Táblázat1[[#This Row],[Karb./akt.év]]-Táblázat1[[#This Row],[Kész2020_2]])</f>
        <v>2</v>
      </c>
    </row>
    <row r="1155" spans="1:14" x14ac:dyDescent="0.25">
      <c r="A1155" s="17" t="s">
        <v>7299</v>
      </c>
      <c r="B1155" s="17" t="s">
        <v>7456</v>
      </c>
      <c r="C1155" s="17" t="s">
        <v>1735</v>
      </c>
      <c r="D1155" s="17" t="s">
        <v>7465</v>
      </c>
      <c r="E1155" s="17" t="s">
        <v>3682</v>
      </c>
      <c r="F1155" s="17" t="s">
        <v>3679</v>
      </c>
      <c r="G1155" s="17" t="s">
        <v>7375</v>
      </c>
      <c r="H1155" t="s">
        <v>7476</v>
      </c>
      <c r="I1155" s="1">
        <v>2</v>
      </c>
      <c r="J1155" s="1">
        <v>2</v>
      </c>
      <c r="K1155" t="s">
        <v>6635</v>
      </c>
      <c r="L1155" s="5" t="e">
        <f>VLOOKUP(D:D,[1]Munka2!$A:$B,2,FALSE)</f>
        <v>#N/A</v>
      </c>
      <c r="M1155" s="5">
        <f>_xlfn.IFNA(Táblázat1[[#This Row],[Kész2020]],0)</f>
        <v>0</v>
      </c>
      <c r="N1155" s="5">
        <f>IF(Táblázat1[[#This Row],[Karb./akt.év]]-Táblázat1[[#This Row],[Kész2020_2]]&lt;0,0,Táblázat1[[#This Row],[Karb./akt.év]]-Táblázat1[[#This Row],[Kész2020_2]])</f>
        <v>2</v>
      </c>
    </row>
    <row r="1156" spans="1:14" hidden="1" x14ac:dyDescent="0.25">
      <c r="A1156" s="17" t="s">
        <v>7299</v>
      </c>
      <c r="B1156" s="17" t="s">
        <v>1045</v>
      </c>
      <c r="C1156" s="17" t="s">
        <v>1737</v>
      </c>
      <c r="D1156" s="17" t="s">
        <v>2833</v>
      </c>
      <c r="E1156" s="17" t="s">
        <v>4592</v>
      </c>
      <c r="F1156" s="17" t="s">
        <v>4593</v>
      </c>
      <c r="G1156" s="17" t="s">
        <v>5973</v>
      </c>
      <c r="H1156" t="s">
        <v>7476</v>
      </c>
      <c r="I1156" s="1">
        <v>2</v>
      </c>
      <c r="J1156" s="1">
        <v>2</v>
      </c>
      <c r="K1156" t="s">
        <v>8102</v>
      </c>
      <c r="L1156" s="5">
        <f>VLOOKUP(D:D,[1]Munka2!$A:$B,2,FALSE)</f>
        <v>1</v>
      </c>
      <c r="M1156" s="5">
        <f>_xlfn.IFNA(Táblázat1[[#This Row],[Kész2020]],0)</f>
        <v>1</v>
      </c>
      <c r="N1156" s="5">
        <f>IF(Táblázat1[[#This Row],[Karb./akt.év]]-Táblázat1[[#This Row],[Kész2020_2]]&lt;0,0,Táblázat1[[#This Row],[Karb./akt.év]]-Táblázat1[[#This Row],[Kész2020_2]])</f>
        <v>1</v>
      </c>
    </row>
    <row r="1157" spans="1:14" hidden="1" x14ac:dyDescent="0.25">
      <c r="A1157" s="17" t="s">
        <v>7299</v>
      </c>
      <c r="B1157" s="17" t="s">
        <v>6753</v>
      </c>
      <c r="C1157" s="17" t="s">
        <v>1735</v>
      </c>
      <c r="D1157" s="17" t="s">
        <v>6762</v>
      </c>
      <c r="E1157" s="17" t="s">
        <v>4329</v>
      </c>
      <c r="F1157" s="17" t="s">
        <v>4330</v>
      </c>
      <c r="G1157" s="17" t="s">
        <v>5698</v>
      </c>
      <c r="H1157" t="s">
        <v>7476</v>
      </c>
      <c r="I1157" s="1">
        <v>2</v>
      </c>
      <c r="J1157" s="1">
        <v>2</v>
      </c>
      <c r="K1157" t="s">
        <v>8102</v>
      </c>
      <c r="L1157" s="5">
        <f>VLOOKUP(D:D,[1]Munka2!$A:$B,2,FALSE)</f>
        <v>1</v>
      </c>
      <c r="M1157" s="5">
        <f>_xlfn.IFNA(Táblázat1[[#This Row],[Kész2020]],0)</f>
        <v>1</v>
      </c>
      <c r="N1157" s="5">
        <f>IF(Táblázat1[[#This Row],[Karb./akt.év]]-Táblázat1[[#This Row],[Kész2020_2]]&lt;0,0,Táblázat1[[#This Row],[Karb./akt.év]]-Táblázat1[[#This Row],[Kész2020_2]])</f>
        <v>1</v>
      </c>
    </row>
    <row r="1158" spans="1:14" hidden="1" x14ac:dyDescent="0.25">
      <c r="A1158" s="17" t="s">
        <v>7299</v>
      </c>
      <c r="B1158" s="17" t="s">
        <v>6754</v>
      </c>
      <c r="C1158" s="17" t="s">
        <v>1737</v>
      </c>
      <c r="D1158" s="17" t="s">
        <v>6763</v>
      </c>
      <c r="E1158" s="17" t="s">
        <v>4604</v>
      </c>
      <c r="F1158" s="17" t="s">
        <v>4605</v>
      </c>
      <c r="G1158" s="17" t="s">
        <v>5991</v>
      </c>
      <c r="H1158" t="s">
        <v>7476</v>
      </c>
      <c r="I1158" s="1">
        <v>2</v>
      </c>
      <c r="J1158" s="1">
        <v>2</v>
      </c>
      <c r="K1158" t="s">
        <v>8102</v>
      </c>
      <c r="L1158" s="5">
        <f>VLOOKUP(D:D,[1]Munka2!$A:$B,2,FALSE)</f>
        <v>1</v>
      </c>
      <c r="M1158" s="5">
        <f>_xlfn.IFNA(Táblázat1[[#This Row],[Kész2020]],0)</f>
        <v>1</v>
      </c>
      <c r="N1158" s="5">
        <f>IF(Táblázat1[[#This Row],[Karb./akt.év]]-Táblázat1[[#This Row],[Kész2020_2]]&lt;0,0,Táblázat1[[#This Row],[Karb./akt.év]]-Táblázat1[[#This Row],[Kész2020_2]])</f>
        <v>1</v>
      </c>
    </row>
    <row r="1159" spans="1:14" hidden="1" x14ac:dyDescent="0.25">
      <c r="A1159" s="17" t="s">
        <v>7299</v>
      </c>
      <c r="B1159" s="17" t="s">
        <v>682</v>
      </c>
      <c r="C1159" s="17" t="s">
        <v>1737</v>
      </c>
      <c r="D1159" s="17" t="s">
        <v>2457</v>
      </c>
      <c r="E1159" s="17" t="s">
        <v>3657</v>
      </c>
      <c r="F1159" s="17" t="s">
        <v>3658</v>
      </c>
      <c r="G1159" s="17" t="s">
        <v>5639</v>
      </c>
      <c r="H1159" t="s">
        <v>7476</v>
      </c>
      <c r="I1159" s="1">
        <v>2</v>
      </c>
      <c r="J1159" s="1">
        <v>2</v>
      </c>
      <c r="K1159" t="s">
        <v>8102</v>
      </c>
      <c r="L1159" s="5">
        <f>VLOOKUP(D:D,[1]Munka2!$A:$B,2,FALSE)</f>
        <v>1</v>
      </c>
      <c r="M1159" s="5">
        <f>_xlfn.IFNA(Táblázat1[[#This Row],[Kész2020]],0)</f>
        <v>1</v>
      </c>
      <c r="N1159" s="5">
        <f>IF(Táblázat1[[#This Row],[Karb./akt.év]]-Táblázat1[[#This Row],[Kész2020_2]]&lt;0,0,Táblázat1[[#This Row],[Karb./akt.év]]-Táblázat1[[#This Row],[Kész2020_2]])</f>
        <v>1</v>
      </c>
    </row>
    <row r="1160" spans="1:14" hidden="1" x14ac:dyDescent="0.25">
      <c r="A1160" s="17" t="s">
        <v>7299</v>
      </c>
      <c r="B1160" s="17" t="s">
        <v>316</v>
      </c>
      <c r="C1160" s="17" t="s">
        <v>1735</v>
      </c>
      <c r="D1160" s="17" t="s">
        <v>2065</v>
      </c>
      <c r="E1160" s="17" t="s">
        <v>3641</v>
      </c>
      <c r="F1160" s="17" t="s">
        <v>3642</v>
      </c>
      <c r="G1160" s="17" t="s">
        <v>7620</v>
      </c>
      <c r="H1160" t="s">
        <v>7476</v>
      </c>
      <c r="I1160" s="1">
        <v>2</v>
      </c>
      <c r="J1160" s="1">
        <v>2</v>
      </c>
      <c r="K1160" t="s">
        <v>7354</v>
      </c>
      <c r="L1160" s="5">
        <f>VLOOKUP(D:D,[1]Munka2!$A:$B,2,FALSE)</f>
        <v>1</v>
      </c>
      <c r="M1160" s="5">
        <f>_xlfn.IFNA(Táblázat1[[#This Row],[Kész2020]],0)</f>
        <v>1</v>
      </c>
      <c r="N1160" s="5">
        <f>IF(Táblázat1[[#This Row],[Karb./akt.év]]-Táblázat1[[#This Row],[Kész2020_2]]&lt;0,0,Táblázat1[[#This Row],[Karb./akt.év]]-Táblázat1[[#This Row],[Kész2020_2]])</f>
        <v>1</v>
      </c>
    </row>
    <row r="1161" spans="1:14" hidden="1" x14ac:dyDescent="0.25">
      <c r="A1161" s="17" t="s">
        <v>7299</v>
      </c>
      <c r="B1161" s="17" t="s">
        <v>122</v>
      </c>
      <c r="C1161" s="17" t="s">
        <v>1737</v>
      </c>
      <c r="D1161" s="17" t="s">
        <v>1862</v>
      </c>
      <c r="E1161" s="17" t="s">
        <v>3717</v>
      </c>
      <c r="F1161" s="17" t="s">
        <v>3718</v>
      </c>
      <c r="G1161" s="17" t="s">
        <v>5093</v>
      </c>
      <c r="H1161" t="s">
        <v>7476</v>
      </c>
      <c r="I1161" s="1">
        <v>2</v>
      </c>
      <c r="J1161" s="1">
        <v>0</v>
      </c>
      <c r="K1161" t="s">
        <v>8102</v>
      </c>
      <c r="L1161" s="5" t="e">
        <f>VLOOKUP(D:D,[1]Munka2!$A:$B,2,FALSE)</f>
        <v>#N/A</v>
      </c>
      <c r="M1161" s="5">
        <f>_xlfn.IFNA(Táblázat1[[#This Row],[Kész2020]],0)</f>
        <v>0</v>
      </c>
      <c r="N1161" s="5">
        <f>IF(Táblázat1[[#This Row],[Karb./akt.év]]-Táblázat1[[#This Row],[Kész2020_2]]&lt;0,0,Táblázat1[[#This Row],[Karb./akt.év]]-Táblázat1[[#This Row],[Kész2020_2]])</f>
        <v>0</v>
      </c>
    </row>
    <row r="1162" spans="1:14" hidden="1" x14ac:dyDescent="0.25">
      <c r="A1162" s="17" t="s">
        <v>7299</v>
      </c>
      <c r="B1162" s="17" t="s">
        <v>7005</v>
      </c>
      <c r="C1162" s="17" t="s">
        <v>1737</v>
      </c>
      <c r="D1162" s="17" t="s">
        <v>7009</v>
      </c>
      <c r="E1162" s="17" t="s">
        <v>4432</v>
      </c>
      <c r="F1162" s="17" t="s">
        <v>4433</v>
      </c>
      <c r="G1162" s="17" t="s">
        <v>5800</v>
      </c>
      <c r="H1162" t="s">
        <v>7476</v>
      </c>
      <c r="I1162" s="1">
        <v>2</v>
      </c>
      <c r="J1162" s="1">
        <v>2</v>
      </c>
      <c r="K1162" t="s">
        <v>8102</v>
      </c>
      <c r="L1162" s="5">
        <f>VLOOKUP(D:D,[1]Munka2!$A:$B,2,FALSE)</f>
        <v>1</v>
      </c>
      <c r="M1162" s="5">
        <f>_xlfn.IFNA(Táblázat1[[#This Row],[Kész2020]],0)</f>
        <v>1</v>
      </c>
      <c r="N1162" s="5">
        <f>IF(Táblázat1[[#This Row],[Karb./akt.év]]-Táblázat1[[#This Row],[Kész2020_2]]&lt;0,0,Táblázat1[[#This Row],[Karb./akt.év]]-Táblázat1[[#This Row],[Kész2020_2]])</f>
        <v>1</v>
      </c>
    </row>
    <row r="1163" spans="1:14" x14ac:dyDescent="0.25">
      <c r="A1163" s="17" t="s">
        <v>7299</v>
      </c>
      <c r="B1163" s="17" t="s">
        <v>444</v>
      </c>
      <c r="C1163" s="17" t="s">
        <v>1750</v>
      </c>
      <c r="D1163" s="17" t="s">
        <v>2202</v>
      </c>
      <c r="E1163" s="17" t="s">
        <v>4053</v>
      </c>
      <c r="F1163" s="17" t="s">
        <v>4054</v>
      </c>
      <c r="G1163" s="17" t="s">
        <v>7621</v>
      </c>
      <c r="H1163" t="s">
        <v>7476</v>
      </c>
      <c r="I1163" s="1">
        <v>2</v>
      </c>
      <c r="J1163" s="1">
        <v>2</v>
      </c>
      <c r="K1163" t="s">
        <v>7118</v>
      </c>
      <c r="L1163" s="5" t="e">
        <f>VLOOKUP(D:D,[1]Munka2!$A:$B,2,FALSE)</f>
        <v>#N/A</v>
      </c>
      <c r="M1163" s="5">
        <f>_xlfn.IFNA(Táblázat1[[#This Row],[Kész2020]],0)</f>
        <v>0</v>
      </c>
      <c r="N1163" s="5">
        <f>IF(Táblázat1[[#This Row],[Karb./akt.év]]-Táblázat1[[#This Row],[Kész2020_2]]&lt;0,0,Táblázat1[[#This Row],[Karb./akt.év]]-Táblázat1[[#This Row],[Kész2020_2]])</f>
        <v>2</v>
      </c>
    </row>
    <row r="1164" spans="1:14" hidden="1" x14ac:dyDescent="0.25">
      <c r="A1164" s="17" t="s">
        <v>7299</v>
      </c>
      <c r="B1164" s="17" t="s">
        <v>876</v>
      </c>
      <c r="C1164" s="17" t="s">
        <v>1748</v>
      </c>
      <c r="D1164" s="17" t="s">
        <v>2658</v>
      </c>
      <c r="E1164" s="17" t="s">
        <v>3621</v>
      </c>
      <c r="F1164" s="17" t="s">
        <v>3622</v>
      </c>
      <c r="G1164" s="17" t="s">
        <v>5812</v>
      </c>
      <c r="H1164" t="s">
        <v>7476</v>
      </c>
      <c r="I1164" s="1">
        <v>2</v>
      </c>
      <c r="J1164" s="1">
        <v>2</v>
      </c>
      <c r="K1164" t="s">
        <v>8102</v>
      </c>
      <c r="L1164" s="5">
        <f>VLOOKUP(D:D,[1]Munka2!$A:$B,2,FALSE)</f>
        <v>1</v>
      </c>
      <c r="M1164" s="5">
        <f>_xlfn.IFNA(Táblázat1[[#This Row],[Kész2020]],0)</f>
        <v>1</v>
      </c>
      <c r="N1164" s="5">
        <f>IF(Táblázat1[[#This Row],[Karb./akt.év]]-Táblázat1[[#This Row],[Kész2020_2]]&lt;0,0,Táblázat1[[#This Row],[Karb./akt.év]]-Táblázat1[[#This Row],[Kész2020_2]])</f>
        <v>1</v>
      </c>
    </row>
    <row r="1165" spans="1:14" hidden="1" x14ac:dyDescent="0.25">
      <c r="A1165" s="17" t="s">
        <v>7299</v>
      </c>
      <c r="B1165" s="17" t="s">
        <v>1128</v>
      </c>
      <c r="C1165" s="17" t="s">
        <v>1758</v>
      </c>
      <c r="D1165" s="17" t="s">
        <v>2923</v>
      </c>
      <c r="E1165" s="17" t="s">
        <v>4636</v>
      </c>
      <c r="F1165" s="17" t="s">
        <v>4637</v>
      </c>
      <c r="G1165" s="17" t="s">
        <v>6056</v>
      </c>
      <c r="H1165" t="s">
        <v>7476</v>
      </c>
      <c r="I1165" s="1">
        <v>2</v>
      </c>
      <c r="J1165" s="1">
        <v>2</v>
      </c>
      <c r="K1165" t="s">
        <v>8102</v>
      </c>
      <c r="L1165" s="5">
        <f>VLOOKUP(D:D,[1]Munka2!$A:$B,2,FALSE)</f>
        <v>1</v>
      </c>
      <c r="M1165" s="5">
        <f>_xlfn.IFNA(Táblázat1[[#This Row],[Kész2020]],0)</f>
        <v>1</v>
      </c>
      <c r="N1165" s="5">
        <f>IF(Táblázat1[[#This Row],[Karb./akt.év]]-Táblázat1[[#This Row],[Kész2020_2]]&lt;0,0,Táblázat1[[#This Row],[Karb./akt.év]]-Táblázat1[[#This Row],[Kész2020_2]])</f>
        <v>1</v>
      </c>
    </row>
    <row r="1166" spans="1:14" x14ac:dyDescent="0.25">
      <c r="A1166" s="17" t="s">
        <v>7299</v>
      </c>
      <c r="B1166" s="17" t="s">
        <v>680</v>
      </c>
      <c r="C1166" s="17" t="s">
        <v>1750</v>
      </c>
      <c r="D1166" s="17" t="s">
        <v>2455</v>
      </c>
      <c r="E1166" s="17" t="s">
        <v>4290</v>
      </c>
      <c r="F1166" s="17" t="s">
        <v>4291</v>
      </c>
      <c r="G1166" s="17" t="s">
        <v>5637</v>
      </c>
      <c r="H1166" t="s">
        <v>7476</v>
      </c>
      <c r="I1166" s="1">
        <v>2</v>
      </c>
      <c r="J1166" s="1">
        <v>2</v>
      </c>
      <c r="K1166" t="s">
        <v>7118</v>
      </c>
      <c r="L1166" s="5" t="e">
        <f>VLOOKUP(D:D,[1]Munka2!$A:$B,2,FALSE)</f>
        <v>#N/A</v>
      </c>
      <c r="M1166" s="5">
        <f>_xlfn.IFNA(Táblázat1[[#This Row],[Kész2020]],0)</f>
        <v>0</v>
      </c>
      <c r="N1166" s="5">
        <f>IF(Táblázat1[[#This Row],[Karb./akt.év]]-Táblázat1[[#This Row],[Kész2020_2]]&lt;0,0,Táblázat1[[#This Row],[Karb./akt.év]]-Táblázat1[[#This Row],[Kész2020_2]])</f>
        <v>2</v>
      </c>
    </row>
    <row r="1167" spans="1:14" hidden="1" x14ac:dyDescent="0.25">
      <c r="A1167" s="17" t="s">
        <v>7299</v>
      </c>
      <c r="B1167" s="17" t="s">
        <v>284</v>
      </c>
      <c r="C1167" s="17" t="s">
        <v>1738</v>
      </c>
      <c r="D1167" s="17" t="s">
        <v>2033</v>
      </c>
      <c r="E1167" s="17" t="s">
        <v>3907</v>
      </c>
      <c r="F1167" s="17" t="s">
        <v>3718</v>
      </c>
      <c r="G1167" s="17" t="s">
        <v>5252</v>
      </c>
      <c r="H1167" t="s">
        <v>7476</v>
      </c>
      <c r="I1167" s="1">
        <v>2</v>
      </c>
      <c r="J1167" s="1">
        <v>2</v>
      </c>
      <c r="K1167" t="s">
        <v>8102</v>
      </c>
      <c r="L1167" s="5">
        <f>VLOOKUP(D:D,[1]Munka2!$A:$B,2,FALSE)</f>
        <v>1</v>
      </c>
      <c r="M1167" s="5">
        <f>_xlfn.IFNA(Táblázat1[[#This Row],[Kész2020]],0)</f>
        <v>1</v>
      </c>
      <c r="N1167" s="5">
        <f>IF(Táblázat1[[#This Row],[Karb./akt.év]]-Táblázat1[[#This Row],[Kész2020_2]]&lt;0,0,Táblázat1[[#This Row],[Karb./akt.év]]-Táblázat1[[#This Row],[Kész2020_2]])</f>
        <v>1</v>
      </c>
    </row>
    <row r="1168" spans="1:14" hidden="1" x14ac:dyDescent="0.25">
      <c r="A1168" s="17" t="s">
        <v>7299</v>
      </c>
      <c r="B1168" s="17" t="s">
        <v>137</v>
      </c>
      <c r="C1168" s="17" t="s">
        <v>1749</v>
      </c>
      <c r="D1168" s="17" t="s">
        <v>7401</v>
      </c>
      <c r="E1168" s="17" t="s">
        <v>3734</v>
      </c>
      <c r="F1168" s="17" t="s">
        <v>3735</v>
      </c>
      <c r="G1168" s="17" t="s">
        <v>5109</v>
      </c>
      <c r="H1168" t="s">
        <v>7476</v>
      </c>
      <c r="I1168" s="1">
        <v>2</v>
      </c>
      <c r="J1168" s="1">
        <v>2</v>
      </c>
      <c r="K1168" t="s">
        <v>6642</v>
      </c>
      <c r="L1168" s="5">
        <f>VLOOKUP(D:D,[1]Munka2!$A:$B,2,FALSE)</f>
        <v>1</v>
      </c>
      <c r="M1168" s="5">
        <f>_xlfn.IFNA(Táblázat1[[#This Row],[Kész2020]],0)</f>
        <v>1</v>
      </c>
      <c r="N1168" s="5">
        <f>IF(Táblázat1[[#This Row],[Karb./akt.év]]-Táblázat1[[#This Row],[Kész2020_2]]&lt;0,0,Táblázat1[[#This Row],[Karb./akt.év]]-Táblázat1[[#This Row],[Kész2020_2]])</f>
        <v>1</v>
      </c>
    </row>
    <row r="1169" spans="1:14" hidden="1" x14ac:dyDescent="0.25">
      <c r="A1169" s="17" t="s">
        <v>7299</v>
      </c>
      <c r="B1169" s="17" t="s">
        <v>1361</v>
      </c>
      <c r="C1169" s="17" t="s">
        <v>1737</v>
      </c>
      <c r="D1169" s="17" t="s">
        <v>3179</v>
      </c>
      <c r="E1169" s="17" t="s">
        <v>4841</v>
      </c>
      <c r="F1169" s="17" t="s">
        <v>4842</v>
      </c>
      <c r="G1169" s="17" t="s">
        <v>6272</v>
      </c>
      <c r="H1169" t="s">
        <v>7476</v>
      </c>
      <c r="I1169" s="1">
        <v>2</v>
      </c>
      <c r="J1169" s="1">
        <v>2</v>
      </c>
      <c r="K1169" t="s">
        <v>6642</v>
      </c>
      <c r="L1169" s="5">
        <f>VLOOKUP(D:D,[1]Munka2!$A:$B,2,FALSE)</f>
        <v>1</v>
      </c>
      <c r="M1169" s="5">
        <f>_xlfn.IFNA(Táblázat1[[#This Row],[Kész2020]],0)</f>
        <v>1</v>
      </c>
      <c r="N1169" s="5">
        <f>IF(Táblázat1[[#This Row],[Karb./akt.év]]-Táblázat1[[#This Row],[Kész2020_2]]&lt;0,0,Táblázat1[[#This Row],[Karb./akt.év]]-Táblázat1[[#This Row],[Kész2020_2]])</f>
        <v>1</v>
      </c>
    </row>
    <row r="1170" spans="1:14" hidden="1" x14ac:dyDescent="0.25">
      <c r="A1170" s="17" t="s">
        <v>7299</v>
      </c>
      <c r="B1170" s="17" t="s">
        <v>1176</v>
      </c>
      <c r="C1170" s="17" t="s">
        <v>1735</v>
      </c>
      <c r="D1170" s="17" t="s">
        <v>2977</v>
      </c>
      <c r="E1170" s="17" t="s">
        <v>4684</v>
      </c>
      <c r="F1170" s="17" t="s">
        <v>4685</v>
      </c>
      <c r="G1170" s="17" t="s">
        <v>6101</v>
      </c>
      <c r="H1170" t="s">
        <v>7476</v>
      </c>
      <c r="I1170" s="1">
        <v>2</v>
      </c>
      <c r="J1170" s="1">
        <v>2</v>
      </c>
      <c r="K1170" t="s">
        <v>6642</v>
      </c>
      <c r="L1170" s="5">
        <f>VLOOKUP(D:D,[1]Munka2!$A:$B,2,FALSE)</f>
        <v>1</v>
      </c>
      <c r="M1170" s="5">
        <f>_xlfn.IFNA(Táblázat1[[#This Row],[Kész2020]],0)</f>
        <v>1</v>
      </c>
      <c r="N1170" s="5">
        <f>IF(Táblázat1[[#This Row],[Karb./akt.év]]-Táblázat1[[#This Row],[Kész2020_2]]&lt;0,0,Táblázat1[[#This Row],[Karb./akt.év]]-Táblázat1[[#This Row],[Kész2020_2]])</f>
        <v>1</v>
      </c>
    </row>
    <row r="1171" spans="1:14" x14ac:dyDescent="0.25">
      <c r="A1171" s="17" t="s">
        <v>7299</v>
      </c>
      <c r="B1171" s="17" t="s">
        <v>1149</v>
      </c>
      <c r="C1171" s="17" t="s">
        <v>1750</v>
      </c>
      <c r="D1171" s="17" t="s">
        <v>2947</v>
      </c>
      <c r="E1171" s="17" t="s">
        <v>4656</v>
      </c>
      <c r="F1171" s="17" t="s">
        <v>4657</v>
      </c>
      <c r="G1171" s="17" t="s">
        <v>6114</v>
      </c>
      <c r="H1171" t="s">
        <v>7476</v>
      </c>
      <c r="I1171" s="1">
        <v>2</v>
      </c>
      <c r="J1171" s="1">
        <v>2</v>
      </c>
      <c r="K1171" t="s">
        <v>7118</v>
      </c>
      <c r="L1171" s="5" t="e">
        <f>VLOOKUP(D:D,[1]Munka2!$A:$B,2,FALSE)</f>
        <v>#N/A</v>
      </c>
      <c r="M1171" s="5">
        <f>_xlfn.IFNA(Táblázat1[[#This Row],[Kész2020]],0)</f>
        <v>0</v>
      </c>
      <c r="N1171" s="5">
        <f>IF(Táblázat1[[#This Row],[Karb./akt.év]]-Táblázat1[[#This Row],[Kész2020_2]]&lt;0,0,Táblázat1[[#This Row],[Karb./akt.év]]-Táblázat1[[#This Row],[Kész2020_2]])</f>
        <v>2</v>
      </c>
    </row>
    <row r="1172" spans="1:14" x14ac:dyDescent="0.25">
      <c r="A1172" s="17" t="s">
        <v>7299</v>
      </c>
      <c r="B1172" s="17" t="s">
        <v>834</v>
      </c>
      <c r="C1172" s="17" t="s">
        <v>1737</v>
      </c>
      <c r="D1172" s="17" t="s">
        <v>2611</v>
      </c>
      <c r="E1172" s="17" t="s">
        <v>4343</v>
      </c>
      <c r="F1172" s="17" t="s">
        <v>4344</v>
      </c>
      <c r="G1172" s="17" t="s">
        <v>5774</v>
      </c>
      <c r="H1172" t="s">
        <v>7476</v>
      </c>
      <c r="I1172" s="1">
        <v>2</v>
      </c>
      <c r="J1172" s="1">
        <v>2</v>
      </c>
      <c r="K1172" t="s">
        <v>6642</v>
      </c>
      <c r="L1172" s="5" t="e">
        <f>VLOOKUP(D:D,[1]Munka2!$A:$B,2,FALSE)</f>
        <v>#N/A</v>
      </c>
      <c r="M1172" s="5">
        <f>_xlfn.IFNA(Táblázat1[[#This Row],[Kész2020]],0)</f>
        <v>0</v>
      </c>
      <c r="N1172" s="5">
        <f>IF(Táblázat1[[#This Row],[Karb./akt.év]]-Táblázat1[[#This Row],[Kész2020_2]]&lt;0,0,Táblázat1[[#This Row],[Karb./akt.év]]-Táblázat1[[#This Row],[Kész2020_2]])</f>
        <v>2</v>
      </c>
    </row>
    <row r="1173" spans="1:14" x14ac:dyDescent="0.25">
      <c r="A1173" s="17" t="s">
        <v>7299</v>
      </c>
      <c r="B1173" s="17" t="s">
        <v>1508</v>
      </c>
      <c r="C1173" s="17" t="s">
        <v>1737</v>
      </c>
      <c r="D1173" s="17" t="s">
        <v>3348</v>
      </c>
      <c r="E1173" s="17" t="s">
        <v>4071</v>
      </c>
      <c r="F1173" s="17" t="s">
        <v>4072</v>
      </c>
      <c r="G1173" s="17" t="s">
        <v>6415</v>
      </c>
      <c r="H1173" t="s">
        <v>7476</v>
      </c>
      <c r="I1173" s="1">
        <v>2</v>
      </c>
      <c r="J1173" s="1">
        <v>2</v>
      </c>
      <c r="K1173" t="s">
        <v>6642</v>
      </c>
      <c r="L1173" s="5" t="e">
        <f>VLOOKUP(D:D,[1]Munka2!$A:$B,2,FALSE)</f>
        <v>#N/A</v>
      </c>
      <c r="M1173" s="5">
        <f>_xlfn.IFNA(Táblázat1[[#This Row],[Kész2020]],0)</f>
        <v>0</v>
      </c>
      <c r="N1173" s="5">
        <f>IF(Táblázat1[[#This Row],[Karb./akt.év]]-Táblázat1[[#This Row],[Kész2020_2]]&lt;0,0,Táblázat1[[#This Row],[Karb./akt.év]]-Táblázat1[[#This Row],[Kész2020_2]])</f>
        <v>2</v>
      </c>
    </row>
    <row r="1174" spans="1:14" hidden="1" x14ac:dyDescent="0.25">
      <c r="A1174" s="17" t="s">
        <v>7299</v>
      </c>
      <c r="B1174" s="17" t="s">
        <v>1686</v>
      </c>
      <c r="C1174" s="17" t="s">
        <v>1737</v>
      </c>
      <c r="D1174" s="17" t="s">
        <v>3542</v>
      </c>
      <c r="E1174" s="17" t="s">
        <v>3743</v>
      </c>
      <c r="F1174" s="17" t="s">
        <v>3744</v>
      </c>
      <c r="G1174" s="17" t="s">
        <v>6582</v>
      </c>
      <c r="H1174" t="s">
        <v>7476</v>
      </c>
      <c r="I1174" s="1">
        <v>2</v>
      </c>
      <c r="J1174" s="1">
        <v>2</v>
      </c>
      <c r="K1174" t="s">
        <v>8102</v>
      </c>
      <c r="L1174" s="5">
        <f>VLOOKUP(D:D,[1]Munka2!$A:$B,2,FALSE)</f>
        <v>1</v>
      </c>
      <c r="M1174" s="5">
        <f>_xlfn.IFNA(Táblázat1[[#This Row],[Kész2020]],0)</f>
        <v>1</v>
      </c>
      <c r="N1174" s="5">
        <f>IF(Táblázat1[[#This Row],[Karb./akt.év]]-Táblázat1[[#This Row],[Kész2020_2]]&lt;0,0,Táblázat1[[#This Row],[Karb./akt.év]]-Táblázat1[[#This Row],[Kész2020_2]])</f>
        <v>1</v>
      </c>
    </row>
    <row r="1175" spans="1:14" hidden="1" x14ac:dyDescent="0.25">
      <c r="A1175" s="17" t="s">
        <v>7299</v>
      </c>
      <c r="B1175" s="17" t="s">
        <v>130</v>
      </c>
      <c r="C1175" s="17" t="s">
        <v>1742</v>
      </c>
      <c r="D1175" s="17" t="s">
        <v>1869</v>
      </c>
      <c r="E1175" s="17" t="s">
        <v>3724</v>
      </c>
      <c r="F1175" s="17" t="s">
        <v>3725</v>
      </c>
      <c r="G1175" s="17" t="s">
        <v>5101</v>
      </c>
      <c r="H1175" t="s">
        <v>7476</v>
      </c>
      <c r="I1175" s="1">
        <v>2</v>
      </c>
      <c r="J1175" s="1">
        <v>2</v>
      </c>
      <c r="K1175" t="s">
        <v>8102</v>
      </c>
      <c r="L1175" s="5">
        <f>VLOOKUP(D:D,[1]Munka2!$A:$B,2,FALSE)</f>
        <v>1</v>
      </c>
      <c r="M1175" s="5">
        <f>_xlfn.IFNA(Táblázat1[[#This Row],[Kész2020]],0)</f>
        <v>1</v>
      </c>
      <c r="N1175" s="5">
        <f>IF(Táblázat1[[#This Row],[Karb./akt.év]]-Táblázat1[[#This Row],[Kész2020_2]]&lt;0,0,Táblázat1[[#This Row],[Karb./akt.év]]-Táblázat1[[#This Row],[Kész2020_2]])</f>
        <v>1</v>
      </c>
    </row>
    <row r="1176" spans="1:14" hidden="1" x14ac:dyDescent="0.25">
      <c r="A1176" s="17" t="s">
        <v>7299</v>
      </c>
      <c r="B1176" s="17" t="s">
        <v>8114</v>
      </c>
      <c r="C1176" s="17" t="s">
        <v>1735</v>
      </c>
      <c r="D1176" s="17" t="s">
        <v>8130</v>
      </c>
      <c r="E1176" s="17" t="s">
        <v>3796</v>
      </c>
      <c r="F1176" s="17" t="s">
        <v>3718</v>
      </c>
      <c r="G1176" s="17" t="s">
        <v>8152</v>
      </c>
      <c r="H1176" t="s">
        <v>7476</v>
      </c>
      <c r="I1176" s="1">
        <v>2</v>
      </c>
      <c r="J1176" s="1">
        <v>1</v>
      </c>
      <c r="K1176" t="s">
        <v>8102</v>
      </c>
      <c r="L1176" s="5" t="e">
        <f>VLOOKUP(D:D,[1]Munka2!$A:$B,2,FALSE)</f>
        <v>#N/A</v>
      </c>
      <c r="M1176" s="5">
        <f>_xlfn.IFNA(Táblázat1[[#This Row],[Kész2020]],0)</f>
        <v>0</v>
      </c>
      <c r="N1176" s="5">
        <f>IF(Táblázat1[[#This Row],[Karb./akt.év]]-Táblázat1[[#This Row],[Kész2020_2]]&lt;0,0,Táblázat1[[#This Row],[Karb./akt.év]]-Táblázat1[[#This Row],[Kész2020_2]])</f>
        <v>1</v>
      </c>
    </row>
    <row r="1177" spans="1:14" x14ac:dyDescent="0.25">
      <c r="A1177" s="17" t="s">
        <v>7299</v>
      </c>
      <c r="B1177" s="17" t="s">
        <v>7283</v>
      </c>
      <c r="C1177" s="17" t="s">
        <v>1735</v>
      </c>
      <c r="D1177" s="17" t="s">
        <v>7313</v>
      </c>
      <c r="E1177" s="17" t="s">
        <v>4890</v>
      </c>
      <c r="F1177" s="17" t="s">
        <v>4891</v>
      </c>
      <c r="G1177" s="17" t="s">
        <v>7344</v>
      </c>
      <c r="H1177" t="s">
        <v>7476</v>
      </c>
      <c r="I1177" s="1">
        <v>2</v>
      </c>
      <c r="J1177" s="1">
        <v>2</v>
      </c>
      <c r="K1177" t="s">
        <v>6784</v>
      </c>
      <c r="L1177" s="5" t="e">
        <f>VLOOKUP(D:D,[1]Munka2!$A:$B,2,FALSE)</f>
        <v>#N/A</v>
      </c>
      <c r="M1177" s="5">
        <f>_xlfn.IFNA(Táblázat1[[#This Row],[Kész2020]],0)</f>
        <v>0</v>
      </c>
      <c r="N1177" s="5">
        <f>IF(Táblázat1[[#This Row],[Karb./akt.év]]-Táblázat1[[#This Row],[Kész2020_2]]&lt;0,0,Táblázat1[[#This Row],[Karb./akt.év]]-Táblázat1[[#This Row],[Kész2020_2]])</f>
        <v>2</v>
      </c>
    </row>
    <row r="1178" spans="1:14" hidden="1" x14ac:dyDescent="0.25">
      <c r="A1178" s="17" t="s">
        <v>7299</v>
      </c>
      <c r="B1178" s="17" t="s">
        <v>7684</v>
      </c>
      <c r="C1178" s="17" t="s">
        <v>1738</v>
      </c>
      <c r="D1178" s="17" t="s">
        <v>7791</v>
      </c>
      <c r="E1178" s="17" t="s">
        <v>4764</v>
      </c>
      <c r="F1178" s="17" t="s">
        <v>4765</v>
      </c>
      <c r="G1178" s="17" t="s">
        <v>5826</v>
      </c>
      <c r="H1178" t="s">
        <v>7476</v>
      </c>
      <c r="I1178" s="1">
        <v>2</v>
      </c>
      <c r="J1178" s="1">
        <v>2</v>
      </c>
      <c r="K1178" t="s">
        <v>6784</v>
      </c>
      <c r="L1178" s="5">
        <f>VLOOKUP(D:D,[1]Munka2!$A:$B,2,FALSE)</f>
        <v>1</v>
      </c>
      <c r="M1178" s="5">
        <f>_xlfn.IFNA(Táblázat1[[#This Row],[Kész2020]],0)</f>
        <v>1</v>
      </c>
      <c r="N1178" s="5">
        <f>IF(Táblázat1[[#This Row],[Karb./akt.év]]-Táblázat1[[#This Row],[Kész2020_2]]&lt;0,0,Táblázat1[[#This Row],[Karb./akt.év]]-Táblázat1[[#This Row],[Kész2020_2]])</f>
        <v>1</v>
      </c>
    </row>
    <row r="1179" spans="1:14" x14ac:dyDescent="0.25">
      <c r="A1179" s="17" t="s">
        <v>7299</v>
      </c>
      <c r="B1179" s="17" t="s">
        <v>7685</v>
      </c>
      <c r="C1179" s="17" t="s">
        <v>1759</v>
      </c>
      <c r="D1179" s="17" t="s">
        <v>7792</v>
      </c>
      <c r="E1179" s="17" t="s">
        <v>7886</v>
      </c>
      <c r="F1179" s="17" t="s">
        <v>7887</v>
      </c>
      <c r="G1179" s="17" t="s">
        <v>8016</v>
      </c>
      <c r="H1179" t="s">
        <v>7476</v>
      </c>
      <c r="I1179" s="1">
        <v>2</v>
      </c>
      <c r="J1179" s="1">
        <v>2</v>
      </c>
      <c r="K1179" t="s">
        <v>6784</v>
      </c>
      <c r="L1179" s="5" t="e">
        <f>VLOOKUP(D:D,[1]Munka2!$A:$B,2,FALSE)</f>
        <v>#N/A</v>
      </c>
      <c r="M1179" s="5">
        <f>_xlfn.IFNA(Táblázat1[[#This Row],[Kész2020]],0)</f>
        <v>0</v>
      </c>
      <c r="N1179" s="5">
        <f>IF(Táblázat1[[#This Row],[Karb./akt.év]]-Táblázat1[[#This Row],[Kész2020_2]]&lt;0,0,Táblázat1[[#This Row],[Karb./akt.év]]-Táblázat1[[#This Row],[Kész2020_2]])</f>
        <v>2</v>
      </c>
    </row>
    <row r="1180" spans="1:14" hidden="1" x14ac:dyDescent="0.25">
      <c r="A1180" s="17" t="s">
        <v>7299</v>
      </c>
      <c r="B1180" s="17" t="s">
        <v>825</v>
      </c>
      <c r="C1180" s="17" t="s">
        <v>1735</v>
      </c>
      <c r="D1180" s="17" t="s">
        <v>2603</v>
      </c>
      <c r="E1180" s="17" t="s">
        <v>4393</v>
      </c>
      <c r="F1180" s="17" t="s">
        <v>4394</v>
      </c>
      <c r="G1180" s="17" t="s">
        <v>5765</v>
      </c>
      <c r="H1180" t="s">
        <v>7476</v>
      </c>
      <c r="I1180" s="1">
        <v>2</v>
      </c>
      <c r="J1180" s="1">
        <v>2</v>
      </c>
      <c r="K1180" t="s">
        <v>6784</v>
      </c>
      <c r="L1180" s="5">
        <f>VLOOKUP(D:D,[1]Munka2!$A:$B,2,FALSE)</f>
        <v>1</v>
      </c>
      <c r="M1180" s="5">
        <f>_xlfn.IFNA(Táblázat1[[#This Row],[Kész2020]],0)</f>
        <v>1</v>
      </c>
      <c r="N1180" s="5">
        <f>IF(Táblázat1[[#This Row],[Karb./akt.év]]-Táblázat1[[#This Row],[Kész2020_2]]&lt;0,0,Táblázat1[[#This Row],[Karb./akt.év]]-Táblázat1[[#This Row],[Kész2020_2]])</f>
        <v>1</v>
      </c>
    </row>
    <row r="1181" spans="1:14" hidden="1" x14ac:dyDescent="0.25">
      <c r="A1181" s="17" t="s">
        <v>7299</v>
      </c>
      <c r="B1181" s="17" t="s">
        <v>7686</v>
      </c>
      <c r="C1181" s="17" t="s">
        <v>1768</v>
      </c>
      <c r="D1181" s="17" t="s">
        <v>7793</v>
      </c>
      <c r="E1181" s="17" t="s">
        <v>7888</v>
      </c>
      <c r="F1181" s="17" t="s">
        <v>7889</v>
      </c>
      <c r="G1181" s="17" t="s">
        <v>8017</v>
      </c>
      <c r="H1181" t="s">
        <v>7476</v>
      </c>
      <c r="I1181" s="1">
        <v>2</v>
      </c>
      <c r="J1181" s="1">
        <v>2</v>
      </c>
      <c r="K1181" t="s">
        <v>6784</v>
      </c>
      <c r="L1181" s="5">
        <f>VLOOKUP(D:D,[1]Munka2!$A:$B,2,FALSE)</f>
        <v>1</v>
      </c>
      <c r="M1181" s="5">
        <f>_xlfn.IFNA(Táblázat1[[#This Row],[Kész2020]],0)</f>
        <v>1</v>
      </c>
      <c r="N1181" s="5">
        <f>IF(Táblázat1[[#This Row],[Karb./akt.év]]-Táblázat1[[#This Row],[Kész2020_2]]&lt;0,0,Táblázat1[[#This Row],[Karb./akt.év]]-Táblázat1[[#This Row],[Kész2020_2]])</f>
        <v>1</v>
      </c>
    </row>
    <row r="1182" spans="1:14" hidden="1" x14ac:dyDescent="0.25">
      <c r="A1182" s="17" t="s">
        <v>7299</v>
      </c>
      <c r="B1182" s="17" t="s">
        <v>1272</v>
      </c>
      <c r="C1182" s="17" t="s">
        <v>1735</v>
      </c>
      <c r="D1182" s="17" t="s">
        <v>3084</v>
      </c>
      <c r="E1182" s="17" t="s">
        <v>4771</v>
      </c>
      <c r="F1182" s="17" t="s">
        <v>4772</v>
      </c>
      <c r="G1182" s="17" t="s">
        <v>6197</v>
      </c>
      <c r="H1182" t="s">
        <v>7476</v>
      </c>
      <c r="I1182" s="1">
        <v>2</v>
      </c>
      <c r="J1182" s="1">
        <v>2</v>
      </c>
      <c r="K1182" t="s">
        <v>6784</v>
      </c>
      <c r="L1182" s="5">
        <f>VLOOKUP(D:D,[1]Munka2!$A:$B,2,FALSE)</f>
        <v>1</v>
      </c>
      <c r="M1182" s="5">
        <f>_xlfn.IFNA(Táblázat1[[#This Row],[Kész2020]],0)</f>
        <v>1</v>
      </c>
      <c r="N1182" s="5">
        <f>IF(Táblázat1[[#This Row],[Karb./akt.év]]-Táblázat1[[#This Row],[Kész2020_2]]&lt;0,0,Táblázat1[[#This Row],[Karb./akt.év]]-Táblázat1[[#This Row],[Kész2020_2]])</f>
        <v>1</v>
      </c>
    </row>
    <row r="1183" spans="1:14" x14ac:dyDescent="0.25">
      <c r="A1183" s="17" t="s">
        <v>7299</v>
      </c>
      <c r="B1183" s="17" t="s">
        <v>7687</v>
      </c>
      <c r="C1183" s="17" t="s">
        <v>1753</v>
      </c>
      <c r="D1183" s="17" t="s">
        <v>7794</v>
      </c>
      <c r="E1183" s="17" t="s">
        <v>7890</v>
      </c>
      <c r="F1183" s="17" t="s">
        <v>7891</v>
      </c>
      <c r="G1183" s="17" t="s">
        <v>8018</v>
      </c>
      <c r="H1183" t="s">
        <v>7476</v>
      </c>
      <c r="I1183" s="1">
        <v>2</v>
      </c>
      <c r="J1183" s="1">
        <v>2</v>
      </c>
      <c r="K1183" t="s">
        <v>6784</v>
      </c>
      <c r="L1183" s="5" t="e">
        <f>VLOOKUP(D:D,[1]Munka2!$A:$B,2,FALSE)</f>
        <v>#N/A</v>
      </c>
      <c r="M1183" s="5">
        <f>_xlfn.IFNA(Táblázat1[[#This Row],[Kész2020]],0)</f>
        <v>0</v>
      </c>
      <c r="N1183" s="5">
        <f>IF(Táblázat1[[#This Row],[Karb./akt.év]]-Táblázat1[[#This Row],[Kész2020_2]]&lt;0,0,Táblázat1[[#This Row],[Karb./akt.év]]-Táblázat1[[#This Row],[Kész2020_2]])</f>
        <v>2</v>
      </c>
    </row>
    <row r="1184" spans="1:14" hidden="1" x14ac:dyDescent="0.25">
      <c r="A1184" s="17" t="s">
        <v>7299</v>
      </c>
      <c r="B1184" s="17" t="s">
        <v>7688</v>
      </c>
      <c r="C1184" s="17" t="s">
        <v>1753</v>
      </c>
      <c r="D1184" s="17" t="s">
        <v>7795</v>
      </c>
      <c r="E1184" s="17" t="s">
        <v>7892</v>
      </c>
      <c r="F1184" s="17" t="s">
        <v>3979</v>
      </c>
      <c r="G1184" s="17" t="s">
        <v>8019</v>
      </c>
      <c r="H1184" t="s">
        <v>7476</v>
      </c>
      <c r="I1184" s="1">
        <v>2</v>
      </c>
      <c r="J1184" s="1">
        <v>0</v>
      </c>
      <c r="K1184" t="s">
        <v>6784</v>
      </c>
      <c r="L1184" s="5" t="e">
        <f>VLOOKUP(D:D,[1]Munka2!$A:$B,2,FALSE)</f>
        <v>#N/A</v>
      </c>
      <c r="M1184" s="5">
        <f>_xlfn.IFNA(Táblázat1[[#This Row],[Kész2020]],0)</f>
        <v>0</v>
      </c>
      <c r="N1184" s="5">
        <f>IF(Táblázat1[[#This Row],[Karb./akt.év]]-Táblázat1[[#This Row],[Kész2020_2]]&lt;0,0,Táblázat1[[#This Row],[Karb./akt.év]]-Táblázat1[[#This Row],[Kész2020_2]])</f>
        <v>0</v>
      </c>
    </row>
    <row r="1185" spans="1:14" hidden="1" x14ac:dyDescent="0.25">
      <c r="A1185" s="17" t="s">
        <v>7299</v>
      </c>
      <c r="B1185" s="17" t="s">
        <v>7689</v>
      </c>
      <c r="C1185" s="17" t="s">
        <v>1753</v>
      </c>
      <c r="D1185" s="17" t="s">
        <v>7796</v>
      </c>
      <c r="E1185" s="17" t="s">
        <v>7893</v>
      </c>
      <c r="F1185" s="17" t="s">
        <v>7894</v>
      </c>
      <c r="G1185" s="17" t="s">
        <v>8020</v>
      </c>
      <c r="H1185" t="s">
        <v>7476</v>
      </c>
      <c r="I1185" s="1">
        <v>2</v>
      </c>
      <c r="J1185" s="1">
        <v>2</v>
      </c>
      <c r="K1185" t="s">
        <v>6784</v>
      </c>
      <c r="L1185" s="5">
        <f>VLOOKUP(D:D,[1]Munka2!$A:$B,2,FALSE)</f>
        <v>1</v>
      </c>
      <c r="M1185" s="5">
        <f>_xlfn.IFNA(Táblázat1[[#This Row],[Kész2020]],0)</f>
        <v>1</v>
      </c>
      <c r="N1185" s="5">
        <f>IF(Táblázat1[[#This Row],[Karb./akt.év]]-Táblázat1[[#This Row],[Kész2020_2]]&lt;0,0,Táblázat1[[#This Row],[Karb./akt.év]]-Táblázat1[[#This Row],[Kész2020_2]])</f>
        <v>1</v>
      </c>
    </row>
    <row r="1186" spans="1:14" hidden="1" x14ac:dyDescent="0.25">
      <c r="A1186" s="17" t="s">
        <v>7299</v>
      </c>
      <c r="B1186" s="17" t="s">
        <v>7690</v>
      </c>
      <c r="C1186" s="17" t="s">
        <v>1753</v>
      </c>
      <c r="D1186" s="17" t="s">
        <v>7797</v>
      </c>
      <c r="E1186" s="17" t="s">
        <v>3641</v>
      </c>
      <c r="F1186" s="17" t="s">
        <v>3642</v>
      </c>
      <c r="G1186" s="17" t="s">
        <v>8021</v>
      </c>
      <c r="H1186" t="s">
        <v>7476</v>
      </c>
      <c r="I1186" s="1">
        <v>2</v>
      </c>
      <c r="J1186" s="1">
        <v>2</v>
      </c>
      <c r="K1186" t="s">
        <v>7354</v>
      </c>
      <c r="L1186" s="5">
        <f>VLOOKUP(D:D,[1]Munka2!$A:$B,2,FALSE)</f>
        <v>1</v>
      </c>
      <c r="M1186" s="5">
        <f>_xlfn.IFNA(Táblázat1[[#This Row],[Kész2020]],0)</f>
        <v>1</v>
      </c>
      <c r="N1186" s="5">
        <f>IF(Táblázat1[[#This Row],[Karb./akt.év]]-Táblázat1[[#This Row],[Kész2020_2]]&lt;0,0,Táblázat1[[#This Row],[Karb./akt.év]]-Táblázat1[[#This Row],[Kész2020_2]])</f>
        <v>1</v>
      </c>
    </row>
    <row r="1187" spans="1:14" hidden="1" x14ac:dyDescent="0.25">
      <c r="A1187" s="17" t="s">
        <v>7299</v>
      </c>
      <c r="B1187" s="17" t="s">
        <v>7691</v>
      </c>
      <c r="C1187" s="17" t="s">
        <v>1753</v>
      </c>
      <c r="D1187" s="17" t="s">
        <v>7798</v>
      </c>
      <c r="E1187" s="17" t="s">
        <v>7895</v>
      </c>
      <c r="F1187" s="17" t="s">
        <v>7896</v>
      </c>
      <c r="G1187" s="17" t="s">
        <v>8022</v>
      </c>
      <c r="H1187" t="s">
        <v>7476</v>
      </c>
      <c r="I1187" s="1">
        <v>2</v>
      </c>
      <c r="J1187" s="1">
        <v>2</v>
      </c>
      <c r="K1187" t="s">
        <v>7354</v>
      </c>
      <c r="L1187" s="5">
        <f>VLOOKUP(D:D,[1]Munka2!$A:$B,2,FALSE)</f>
        <v>1</v>
      </c>
      <c r="M1187" s="5">
        <f>_xlfn.IFNA(Táblázat1[[#This Row],[Kész2020]],0)</f>
        <v>1</v>
      </c>
      <c r="N1187" s="5">
        <f>IF(Táblázat1[[#This Row],[Karb./akt.év]]-Táblázat1[[#This Row],[Kész2020_2]]&lt;0,0,Táblázat1[[#This Row],[Karb./akt.év]]-Táblázat1[[#This Row],[Kész2020_2]])</f>
        <v>1</v>
      </c>
    </row>
    <row r="1188" spans="1:14" hidden="1" x14ac:dyDescent="0.25">
      <c r="A1188" s="17" t="s">
        <v>7299</v>
      </c>
      <c r="B1188" s="17" t="s">
        <v>7692</v>
      </c>
      <c r="C1188" s="17" t="s">
        <v>1753</v>
      </c>
      <c r="D1188" s="17" t="s">
        <v>7799</v>
      </c>
      <c r="E1188" s="17" t="s">
        <v>7897</v>
      </c>
      <c r="F1188" s="17" t="s">
        <v>7898</v>
      </c>
      <c r="G1188" s="17" t="s">
        <v>8023</v>
      </c>
      <c r="H1188" t="s">
        <v>7476</v>
      </c>
      <c r="I1188" s="1">
        <v>2</v>
      </c>
      <c r="J1188" s="1">
        <v>2</v>
      </c>
      <c r="K1188" t="s">
        <v>7354</v>
      </c>
      <c r="L1188" s="5">
        <f>VLOOKUP(D:D,[1]Munka2!$A:$B,2,FALSE)</f>
        <v>1</v>
      </c>
      <c r="M1188" s="5">
        <f>_xlfn.IFNA(Táblázat1[[#This Row],[Kész2020]],0)</f>
        <v>1</v>
      </c>
      <c r="N1188" s="5">
        <f>IF(Táblázat1[[#This Row],[Karb./akt.év]]-Táblázat1[[#This Row],[Kész2020_2]]&lt;0,0,Táblázat1[[#This Row],[Karb./akt.év]]-Táblázat1[[#This Row],[Kész2020_2]])</f>
        <v>1</v>
      </c>
    </row>
    <row r="1189" spans="1:14" hidden="1" x14ac:dyDescent="0.25">
      <c r="A1189" s="17" t="s">
        <v>7299</v>
      </c>
      <c r="B1189" s="17" t="s">
        <v>7693</v>
      </c>
      <c r="C1189" s="17" t="s">
        <v>1753</v>
      </c>
      <c r="D1189" s="17" t="s">
        <v>7800</v>
      </c>
      <c r="E1189" s="17" t="s">
        <v>3641</v>
      </c>
      <c r="F1189" s="17" t="s">
        <v>3642</v>
      </c>
      <c r="G1189" s="17" t="s">
        <v>8024</v>
      </c>
      <c r="H1189" t="s">
        <v>7476</v>
      </c>
      <c r="I1189" s="1">
        <v>2</v>
      </c>
      <c r="J1189" s="1">
        <v>2</v>
      </c>
      <c r="K1189" t="s">
        <v>7354</v>
      </c>
      <c r="L1189" s="5">
        <f>VLOOKUP(D:D,[1]Munka2!$A:$B,2,FALSE)</f>
        <v>1</v>
      </c>
      <c r="M1189" s="5">
        <f>_xlfn.IFNA(Táblázat1[[#This Row],[Kész2020]],0)</f>
        <v>1</v>
      </c>
      <c r="N1189" s="5">
        <f>IF(Táblázat1[[#This Row],[Karb./akt.év]]-Táblázat1[[#This Row],[Kész2020_2]]&lt;0,0,Táblázat1[[#This Row],[Karb./akt.év]]-Táblázat1[[#This Row],[Kész2020_2]])</f>
        <v>1</v>
      </c>
    </row>
    <row r="1190" spans="1:14" hidden="1" x14ac:dyDescent="0.25">
      <c r="A1190" s="17" t="s">
        <v>7299</v>
      </c>
      <c r="B1190" s="17" t="s">
        <v>7694</v>
      </c>
      <c r="C1190" s="17" t="s">
        <v>1753</v>
      </c>
      <c r="D1190" s="17" t="s">
        <v>7801</v>
      </c>
      <c r="E1190" s="17" t="s">
        <v>7899</v>
      </c>
      <c r="F1190" s="17" t="s">
        <v>7900</v>
      </c>
      <c r="G1190" s="17" t="s">
        <v>8025</v>
      </c>
      <c r="H1190" t="s">
        <v>7476</v>
      </c>
      <c r="I1190" s="1">
        <v>2</v>
      </c>
      <c r="J1190" s="1">
        <v>2</v>
      </c>
      <c r="K1190" t="s">
        <v>6641</v>
      </c>
      <c r="L1190" s="5">
        <f>VLOOKUP(D:D,[1]Munka2!$A:$B,2,FALSE)</f>
        <v>1</v>
      </c>
      <c r="M1190" s="5">
        <f>_xlfn.IFNA(Táblázat1[[#This Row],[Kész2020]],0)</f>
        <v>1</v>
      </c>
      <c r="N1190" s="5">
        <f>IF(Táblázat1[[#This Row],[Karb./akt.év]]-Táblázat1[[#This Row],[Kész2020_2]]&lt;0,0,Táblázat1[[#This Row],[Karb./akt.év]]-Táblázat1[[#This Row],[Kész2020_2]])</f>
        <v>1</v>
      </c>
    </row>
    <row r="1191" spans="1:14" hidden="1" x14ac:dyDescent="0.25">
      <c r="A1191" s="17" t="s">
        <v>7299</v>
      </c>
      <c r="B1191" s="17" t="s">
        <v>7695</v>
      </c>
      <c r="C1191" s="17" t="s">
        <v>1753</v>
      </c>
      <c r="D1191" s="17" t="s">
        <v>7802</v>
      </c>
      <c r="E1191" s="17" t="s">
        <v>7892</v>
      </c>
      <c r="F1191" s="17" t="s">
        <v>7901</v>
      </c>
      <c r="G1191" s="17" t="s">
        <v>8026</v>
      </c>
      <c r="H1191" t="s">
        <v>7476</v>
      </c>
      <c r="I1191" s="1">
        <v>2</v>
      </c>
      <c r="J1191" s="1">
        <v>2</v>
      </c>
      <c r="K1191" t="s">
        <v>6641</v>
      </c>
      <c r="L1191" s="5">
        <f>VLOOKUP(D:D,[1]Munka2!$A:$B,2,FALSE)</f>
        <v>1</v>
      </c>
      <c r="M1191" s="5">
        <f>_xlfn.IFNA(Táblázat1[[#This Row],[Kész2020]],0)</f>
        <v>1</v>
      </c>
      <c r="N1191" s="5">
        <f>IF(Táblázat1[[#This Row],[Karb./akt.év]]-Táblázat1[[#This Row],[Kész2020_2]]&lt;0,0,Táblázat1[[#This Row],[Karb./akt.év]]-Táblázat1[[#This Row],[Kész2020_2]])</f>
        <v>1</v>
      </c>
    </row>
    <row r="1192" spans="1:14" x14ac:dyDescent="0.25">
      <c r="A1192" s="17" t="s">
        <v>7299</v>
      </c>
      <c r="B1192" s="17" t="s">
        <v>7696</v>
      </c>
      <c r="C1192" s="17" t="s">
        <v>1753</v>
      </c>
      <c r="D1192" s="17" t="s">
        <v>7803</v>
      </c>
      <c r="E1192" s="17" t="s">
        <v>7902</v>
      </c>
      <c r="F1192" s="17" t="s">
        <v>7903</v>
      </c>
      <c r="G1192" s="17" t="s">
        <v>8027</v>
      </c>
      <c r="H1192" t="s">
        <v>7476</v>
      </c>
      <c r="I1192" s="1">
        <v>2</v>
      </c>
      <c r="J1192" s="1">
        <v>2</v>
      </c>
      <c r="K1192" t="s">
        <v>6784</v>
      </c>
      <c r="L1192" s="5" t="e">
        <f>VLOOKUP(D:D,[1]Munka2!$A:$B,2,FALSE)</f>
        <v>#N/A</v>
      </c>
      <c r="M1192" s="5">
        <f>_xlfn.IFNA(Táblázat1[[#This Row],[Kész2020]],0)</f>
        <v>0</v>
      </c>
      <c r="N1192" s="5">
        <f>IF(Táblázat1[[#This Row],[Karb./akt.év]]-Táblázat1[[#This Row],[Kész2020_2]]&lt;0,0,Táblázat1[[#This Row],[Karb./akt.év]]-Táblázat1[[#This Row],[Kész2020_2]])</f>
        <v>2</v>
      </c>
    </row>
    <row r="1193" spans="1:14" x14ac:dyDescent="0.25">
      <c r="A1193" s="17" t="s">
        <v>7299</v>
      </c>
      <c r="B1193" s="17" t="s">
        <v>1417</v>
      </c>
      <c r="C1193" s="17" t="s">
        <v>1748</v>
      </c>
      <c r="D1193" s="17" t="s">
        <v>3245</v>
      </c>
      <c r="E1193" s="17" t="s">
        <v>3860</v>
      </c>
      <c r="F1193" s="17" t="s">
        <v>3861</v>
      </c>
      <c r="G1193" s="17" t="s">
        <v>6320</v>
      </c>
      <c r="H1193" t="s">
        <v>7476</v>
      </c>
      <c r="I1193" s="1">
        <v>2</v>
      </c>
      <c r="J1193" s="1">
        <v>2</v>
      </c>
      <c r="K1193" t="s">
        <v>7354</v>
      </c>
      <c r="L1193" s="5" t="e">
        <f>VLOOKUP(D:D,[1]Munka2!$A:$B,2,FALSE)</f>
        <v>#N/A</v>
      </c>
      <c r="M1193" s="5">
        <f>_xlfn.IFNA(Táblázat1[[#This Row],[Kész2020]],0)</f>
        <v>0</v>
      </c>
      <c r="N1193" s="5">
        <f>IF(Táblázat1[[#This Row],[Karb./akt.év]]-Táblázat1[[#This Row],[Kész2020_2]]&lt;0,0,Táblázat1[[#This Row],[Karb./akt.év]]-Táblázat1[[#This Row],[Kész2020_2]])</f>
        <v>2</v>
      </c>
    </row>
    <row r="1194" spans="1:14" hidden="1" x14ac:dyDescent="0.25">
      <c r="A1194" s="17" t="s">
        <v>7299</v>
      </c>
      <c r="B1194" s="17" t="s">
        <v>790</v>
      </c>
      <c r="C1194" s="17" t="s">
        <v>1735</v>
      </c>
      <c r="D1194" s="17" t="s">
        <v>2566</v>
      </c>
      <c r="E1194" s="17" t="s">
        <v>4360</v>
      </c>
      <c r="F1194" s="17" t="s">
        <v>4361</v>
      </c>
      <c r="G1194" s="17" t="s">
        <v>5733</v>
      </c>
      <c r="H1194" t="s">
        <v>7476</v>
      </c>
      <c r="I1194" s="1">
        <v>2</v>
      </c>
      <c r="J1194" s="1">
        <v>2</v>
      </c>
      <c r="K1194" t="s">
        <v>6641</v>
      </c>
      <c r="L1194" s="5">
        <f>VLOOKUP(D:D,[1]Munka2!$A:$B,2,FALSE)</f>
        <v>1</v>
      </c>
      <c r="M1194" s="5">
        <f>_xlfn.IFNA(Táblázat1[[#This Row],[Kész2020]],0)</f>
        <v>1</v>
      </c>
      <c r="N1194" s="5">
        <f>IF(Táblázat1[[#This Row],[Karb./akt.év]]-Táblázat1[[#This Row],[Kész2020_2]]&lt;0,0,Táblázat1[[#This Row],[Karb./akt.év]]-Táblázat1[[#This Row],[Kész2020_2]])</f>
        <v>1</v>
      </c>
    </row>
    <row r="1195" spans="1:14" hidden="1" x14ac:dyDescent="0.25">
      <c r="A1195" s="17" t="s">
        <v>7299</v>
      </c>
      <c r="B1195" s="17" t="s">
        <v>1458</v>
      </c>
      <c r="C1195" s="17" t="s">
        <v>1737</v>
      </c>
      <c r="D1195" s="17" t="s">
        <v>3289</v>
      </c>
      <c r="E1195" s="17" t="s">
        <v>3928</v>
      </c>
      <c r="F1195" s="17" t="s">
        <v>3929</v>
      </c>
      <c r="G1195" s="17" t="s">
        <v>6364</v>
      </c>
      <c r="H1195" t="s">
        <v>7476</v>
      </c>
      <c r="I1195" s="1">
        <v>2</v>
      </c>
      <c r="J1195" s="1">
        <v>2</v>
      </c>
      <c r="K1195" t="s">
        <v>8102</v>
      </c>
      <c r="L1195" s="5">
        <f>VLOOKUP(D:D,[1]Munka2!$A:$B,2,FALSE)</f>
        <v>1</v>
      </c>
      <c r="M1195" s="5">
        <f>_xlfn.IFNA(Táblázat1[[#This Row],[Kész2020]],0)</f>
        <v>1</v>
      </c>
      <c r="N1195" s="5">
        <f>IF(Táblázat1[[#This Row],[Karb./akt.év]]-Táblázat1[[#This Row],[Kész2020_2]]&lt;0,0,Táblázat1[[#This Row],[Karb./akt.év]]-Táblázat1[[#This Row],[Kész2020_2]])</f>
        <v>1</v>
      </c>
    </row>
    <row r="1196" spans="1:14" hidden="1" x14ac:dyDescent="0.25">
      <c r="A1196" s="17" t="s">
        <v>7299</v>
      </c>
      <c r="B1196" s="17" t="s">
        <v>826</v>
      </c>
      <c r="C1196" s="17" t="s">
        <v>1735</v>
      </c>
      <c r="D1196" s="17" t="s">
        <v>2604</v>
      </c>
      <c r="E1196" s="17" t="s">
        <v>4395</v>
      </c>
      <c r="F1196" s="17" t="s">
        <v>4396</v>
      </c>
      <c r="G1196" s="17" t="s">
        <v>5766</v>
      </c>
      <c r="H1196" t="s">
        <v>7476</v>
      </c>
      <c r="I1196" s="1">
        <v>2</v>
      </c>
      <c r="J1196" s="1">
        <v>2</v>
      </c>
      <c r="K1196" t="s">
        <v>6641</v>
      </c>
      <c r="L1196" s="5">
        <f>VLOOKUP(D:D,[1]Munka2!$A:$B,2,FALSE)</f>
        <v>1</v>
      </c>
      <c r="M1196" s="5">
        <f>_xlfn.IFNA(Táblázat1[[#This Row],[Kész2020]],0)</f>
        <v>1</v>
      </c>
      <c r="N1196" s="5">
        <f>IF(Táblázat1[[#This Row],[Karb./akt.év]]-Táblázat1[[#This Row],[Kész2020_2]]&lt;0,0,Táblázat1[[#This Row],[Karb./akt.év]]-Táblázat1[[#This Row],[Kész2020_2]])</f>
        <v>1</v>
      </c>
    </row>
    <row r="1197" spans="1:14" x14ac:dyDescent="0.25">
      <c r="A1197" s="17" t="s">
        <v>7299</v>
      </c>
      <c r="B1197" s="17" t="s">
        <v>908</v>
      </c>
      <c r="C1197" s="17" t="s">
        <v>1735</v>
      </c>
      <c r="D1197" s="17" t="s">
        <v>2689</v>
      </c>
      <c r="E1197" s="17" t="s">
        <v>4493</v>
      </c>
      <c r="F1197" s="17" t="s">
        <v>4494</v>
      </c>
      <c r="G1197" s="17" t="s">
        <v>5836</v>
      </c>
      <c r="H1197" t="s">
        <v>7476</v>
      </c>
      <c r="I1197" s="1">
        <v>2</v>
      </c>
      <c r="J1197" s="1">
        <v>2</v>
      </c>
      <c r="K1197" t="s">
        <v>6637</v>
      </c>
      <c r="L1197" s="5" t="e">
        <f>VLOOKUP(D:D,[1]Munka2!$A:$B,2,FALSE)</f>
        <v>#N/A</v>
      </c>
      <c r="M1197" s="5">
        <f>_xlfn.IFNA(Táblázat1[[#This Row],[Kész2020]],0)</f>
        <v>0</v>
      </c>
      <c r="N1197" s="5">
        <f>IF(Táblázat1[[#This Row],[Karb./akt.év]]-Táblázat1[[#This Row],[Kész2020_2]]&lt;0,0,Táblázat1[[#This Row],[Karb./akt.év]]-Táblázat1[[#This Row],[Kész2020_2]])</f>
        <v>2</v>
      </c>
    </row>
    <row r="1198" spans="1:14" hidden="1" x14ac:dyDescent="0.25">
      <c r="A1198" s="17" t="s">
        <v>7299</v>
      </c>
      <c r="B1198" s="17" t="s">
        <v>1264</v>
      </c>
      <c r="C1198" s="17" t="s">
        <v>1735</v>
      </c>
      <c r="D1198" s="17" t="s">
        <v>3076</v>
      </c>
      <c r="E1198" s="17" t="s">
        <v>3974</v>
      </c>
      <c r="F1198" s="17" t="s">
        <v>3975</v>
      </c>
      <c r="G1198" s="17" t="s">
        <v>6190</v>
      </c>
      <c r="H1198" t="s">
        <v>7476</v>
      </c>
      <c r="I1198" s="1">
        <v>2</v>
      </c>
      <c r="J1198" s="1">
        <v>2</v>
      </c>
      <c r="K1198" t="s">
        <v>6641</v>
      </c>
      <c r="L1198" s="5">
        <f>VLOOKUP(D:D,[1]Munka2!$A:$B,2,FALSE)</f>
        <v>1</v>
      </c>
      <c r="M1198" s="5">
        <f>_xlfn.IFNA(Táblázat1[[#This Row],[Kész2020]],0)</f>
        <v>1</v>
      </c>
      <c r="N1198" s="5">
        <f>IF(Táblázat1[[#This Row],[Karb./akt.év]]-Táblázat1[[#This Row],[Kész2020_2]]&lt;0,0,Táblázat1[[#This Row],[Karb./akt.év]]-Táblázat1[[#This Row],[Kész2020_2]])</f>
        <v>1</v>
      </c>
    </row>
    <row r="1199" spans="1:14" hidden="1" x14ac:dyDescent="0.25">
      <c r="A1199" s="17" t="s">
        <v>7299</v>
      </c>
      <c r="B1199" s="17" t="s">
        <v>897</v>
      </c>
      <c r="C1199" s="17" t="s">
        <v>1747</v>
      </c>
      <c r="D1199" s="17" t="s">
        <v>2681</v>
      </c>
      <c r="E1199" s="17" t="s">
        <v>3790</v>
      </c>
      <c r="F1199" s="17" t="s">
        <v>3791</v>
      </c>
      <c r="G1199" s="17" t="s">
        <v>5826</v>
      </c>
      <c r="H1199" t="s">
        <v>7476</v>
      </c>
      <c r="I1199" s="1">
        <v>2</v>
      </c>
      <c r="J1199" s="1">
        <v>2</v>
      </c>
      <c r="K1199" t="s">
        <v>6784</v>
      </c>
      <c r="L1199" s="5">
        <f>VLOOKUP(D:D,[1]Munka2!$A:$B,2,FALSE)</f>
        <v>1</v>
      </c>
      <c r="M1199" s="5">
        <f>_xlfn.IFNA(Táblázat1[[#This Row],[Kész2020]],0)</f>
        <v>1</v>
      </c>
      <c r="N1199" s="5">
        <f>IF(Táblázat1[[#This Row],[Karb./akt.év]]-Táblázat1[[#This Row],[Kész2020_2]]&lt;0,0,Táblázat1[[#This Row],[Karb./akt.év]]-Táblázat1[[#This Row],[Kész2020_2]])</f>
        <v>1</v>
      </c>
    </row>
    <row r="1200" spans="1:14" hidden="1" x14ac:dyDescent="0.25">
      <c r="A1200" s="17" t="s">
        <v>7299</v>
      </c>
      <c r="B1200" s="17" t="s">
        <v>648</v>
      </c>
      <c r="C1200" s="17" t="s">
        <v>1737</v>
      </c>
      <c r="D1200" s="17" t="s">
        <v>2422</v>
      </c>
      <c r="E1200" s="17" t="s">
        <v>4266</v>
      </c>
      <c r="F1200" s="17" t="s">
        <v>4267</v>
      </c>
      <c r="G1200" s="17" t="s">
        <v>5605</v>
      </c>
      <c r="H1200" t="s">
        <v>7476</v>
      </c>
      <c r="I1200" s="1">
        <v>2</v>
      </c>
      <c r="J1200" s="1">
        <v>2</v>
      </c>
      <c r="K1200" t="s">
        <v>6784</v>
      </c>
      <c r="L1200" s="5">
        <f>VLOOKUP(D:D,[1]Munka2!$A:$B,2,FALSE)</f>
        <v>1</v>
      </c>
      <c r="M1200" s="5">
        <f>_xlfn.IFNA(Táblázat1[[#This Row],[Kész2020]],0)</f>
        <v>1</v>
      </c>
      <c r="N1200" s="5">
        <f>IF(Táblázat1[[#This Row],[Karb./akt.év]]-Táblázat1[[#This Row],[Kész2020_2]]&lt;0,0,Táblázat1[[#This Row],[Karb./akt.év]]-Táblázat1[[#This Row],[Kész2020_2]])</f>
        <v>1</v>
      </c>
    </row>
    <row r="1201" spans="1:14" hidden="1" x14ac:dyDescent="0.25">
      <c r="A1201" s="17" t="s">
        <v>7299</v>
      </c>
      <c r="B1201" s="17" t="s">
        <v>1544</v>
      </c>
      <c r="C1201" s="17" t="s">
        <v>1735</v>
      </c>
      <c r="D1201" s="17" t="s">
        <v>3388</v>
      </c>
      <c r="E1201" s="17" t="s">
        <v>4938</v>
      </c>
      <c r="F1201" s="17" t="s">
        <v>4939</v>
      </c>
      <c r="G1201" s="17" t="s">
        <v>6450</v>
      </c>
      <c r="H1201" t="s">
        <v>7476</v>
      </c>
      <c r="I1201" s="1">
        <v>2</v>
      </c>
      <c r="J1201" s="1">
        <v>0</v>
      </c>
      <c r="K1201" t="s">
        <v>6784</v>
      </c>
      <c r="L1201" s="5" t="e">
        <f>VLOOKUP(D:D,[1]Munka2!$A:$B,2,FALSE)</f>
        <v>#N/A</v>
      </c>
      <c r="M1201" s="5">
        <f>_xlfn.IFNA(Táblázat1[[#This Row],[Kész2020]],0)</f>
        <v>0</v>
      </c>
      <c r="N1201" s="5">
        <f>IF(Táblázat1[[#This Row],[Karb./akt.év]]-Táblázat1[[#This Row],[Kész2020_2]]&lt;0,0,Táblázat1[[#This Row],[Karb./akt.év]]-Táblázat1[[#This Row],[Kész2020_2]])</f>
        <v>0</v>
      </c>
    </row>
    <row r="1202" spans="1:14" hidden="1" x14ac:dyDescent="0.25">
      <c r="A1202" s="17" t="s">
        <v>7299</v>
      </c>
      <c r="B1202" s="17" t="s">
        <v>838</v>
      </c>
      <c r="C1202" s="17" t="s">
        <v>1735</v>
      </c>
      <c r="D1202" s="17" t="s">
        <v>2615</v>
      </c>
      <c r="E1202" s="17" t="s">
        <v>4405</v>
      </c>
      <c r="F1202" s="17" t="s">
        <v>4406</v>
      </c>
      <c r="G1202" s="17" t="s">
        <v>5778</v>
      </c>
      <c r="H1202" t="s">
        <v>7476</v>
      </c>
      <c r="I1202" s="1">
        <v>2</v>
      </c>
      <c r="J1202" s="1">
        <v>2</v>
      </c>
      <c r="K1202" t="s">
        <v>6641</v>
      </c>
      <c r="L1202" s="5">
        <f>VLOOKUP(D:D,[1]Munka2!$A:$B,2,FALSE)</f>
        <v>1</v>
      </c>
      <c r="M1202" s="5">
        <f>_xlfn.IFNA(Táblázat1[[#This Row],[Kész2020]],0)</f>
        <v>1</v>
      </c>
      <c r="N1202" s="5">
        <f>IF(Táblázat1[[#This Row],[Karb./akt.év]]-Táblázat1[[#This Row],[Kész2020_2]]&lt;0,0,Táblázat1[[#This Row],[Karb./akt.év]]-Táblázat1[[#This Row],[Kész2020_2]])</f>
        <v>1</v>
      </c>
    </row>
    <row r="1203" spans="1:14" x14ac:dyDescent="0.25">
      <c r="A1203" s="17" t="s">
        <v>7299</v>
      </c>
      <c r="B1203" s="17" t="s">
        <v>7697</v>
      </c>
      <c r="C1203" s="17" t="s">
        <v>1753</v>
      </c>
      <c r="D1203" s="17" t="s">
        <v>7804</v>
      </c>
      <c r="E1203" s="17" t="s">
        <v>7904</v>
      </c>
      <c r="F1203" s="17" t="s">
        <v>7905</v>
      </c>
      <c r="G1203" s="17" t="s">
        <v>8028</v>
      </c>
      <c r="H1203" t="s">
        <v>7476</v>
      </c>
      <c r="I1203" s="1">
        <v>2</v>
      </c>
      <c r="J1203" s="1">
        <v>2</v>
      </c>
      <c r="K1203" t="s">
        <v>6784</v>
      </c>
      <c r="L1203" s="5" t="e">
        <f>VLOOKUP(D:D,[1]Munka2!$A:$B,2,FALSE)</f>
        <v>#N/A</v>
      </c>
      <c r="M1203" s="5">
        <f>_xlfn.IFNA(Táblázat1[[#This Row],[Kész2020]],0)</f>
        <v>0</v>
      </c>
      <c r="N1203" s="5">
        <f>IF(Táblázat1[[#This Row],[Karb./akt.év]]-Táblázat1[[#This Row],[Kész2020_2]]&lt;0,0,Táblázat1[[#This Row],[Karb./akt.év]]-Táblázat1[[#This Row],[Kész2020_2]])</f>
        <v>2</v>
      </c>
    </row>
    <row r="1204" spans="1:14" hidden="1" x14ac:dyDescent="0.25">
      <c r="A1204" s="17" t="s">
        <v>7299</v>
      </c>
      <c r="B1204" s="17" t="s">
        <v>7698</v>
      </c>
      <c r="C1204" s="17" t="s">
        <v>1753</v>
      </c>
      <c r="D1204" s="17" t="s">
        <v>7805</v>
      </c>
      <c r="E1204" s="17" t="s">
        <v>7906</v>
      </c>
      <c r="F1204" s="17" t="s">
        <v>7907</v>
      </c>
      <c r="G1204" s="17" t="s">
        <v>8029</v>
      </c>
      <c r="H1204" t="s">
        <v>7476</v>
      </c>
      <c r="I1204" s="1">
        <v>2</v>
      </c>
      <c r="J1204" s="1">
        <v>2</v>
      </c>
      <c r="K1204" t="s">
        <v>6784</v>
      </c>
      <c r="L1204" s="5">
        <f>VLOOKUP(D:D,[1]Munka2!$A:$B,2,FALSE)</f>
        <v>1</v>
      </c>
      <c r="M1204" s="5">
        <f>_xlfn.IFNA(Táblázat1[[#This Row],[Kész2020]],0)</f>
        <v>1</v>
      </c>
      <c r="N1204" s="5">
        <f>IF(Táblázat1[[#This Row],[Karb./akt.év]]-Táblázat1[[#This Row],[Kész2020_2]]&lt;0,0,Táblázat1[[#This Row],[Karb./akt.év]]-Táblázat1[[#This Row],[Kész2020_2]])</f>
        <v>1</v>
      </c>
    </row>
    <row r="1205" spans="1:14" x14ac:dyDescent="0.25">
      <c r="A1205" s="17" t="s">
        <v>7299</v>
      </c>
      <c r="B1205" s="17" t="s">
        <v>7699</v>
      </c>
      <c r="C1205" s="17" t="s">
        <v>1735</v>
      </c>
      <c r="D1205" s="17" t="s">
        <v>7806</v>
      </c>
      <c r="E1205" s="17" t="s">
        <v>7908</v>
      </c>
      <c r="F1205" s="17" t="s">
        <v>7909</v>
      </c>
      <c r="G1205" s="17" t="s">
        <v>8030</v>
      </c>
      <c r="H1205" t="s">
        <v>7476</v>
      </c>
      <c r="I1205" s="1">
        <v>2</v>
      </c>
      <c r="J1205" s="1">
        <v>2</v>
      </c>
      <c r="K1205" t="s">
        <v>7354</v>
      </c>
      <c r="L1205" s="5" t="e">
        <f>VLOOKUP(D:D,[1]Munka2!$A:$B,2,FALSE)</f>
        <v>#N/A</v>
      </c>
      <c r="M1205" s="5">
        <f>_xlfn.IFNA(Táblázat1[[#This Row],[Kész2020]],0)</f>
        <v>0</v>
      </c>
      <c r="N1205" s="5">
        <f>IF(Táblázat1[[#This Row],[Karb./akt.év]]-Táblázat1[[#This Row],[Kész2020_2]]&lt;0,0,Táblázat1[[#This Row],[Karb./akt.év]]-Táblázat1[[#This Row],[Kész2020_2]])</f>
        <v>2</v>
      </c>
    </row>
    <row r="1206" spans="1:14" hidden="1" x14ac:dyDescent="0.25">
      <c r="A1206" s="17" t="s">
        <v>7299</v>
      </c>
      <c r="B1206" s="17" t="s">
        <v>1127</v>
      </c>
      <c r="C1206" s="17" t="s">
        <v>1735</v>
      </c>
      <c r="D1206" s="17" t="s">
        <v>2922</v>
      </c>
      <c r="E1206" s="17" t="s">
        <v>4634</v>
      </c>
      <c r="F1206" s="17" t="s">
        <v>4635</v>
      </c>
      <c r="G1206" s="17" t="s">
        <v>6055</v>
      </c>
      <c r="H1206" t="s">
        <v>7476</v>
      </c>
      <c r="I1206" s="1">
        <v>2</v>
      </c>
      <c r="J1206" s="1">
        <v>2</v>
      </c>
      <c r="K1206" t="s">
        <v>6784</v>
      </c>
      <c r="L1206" s="5">
        <f>VLOOKUP(D:D,[1]Munka2!$A:$B,2,FALSE)</f>
        <v>1</v>
      </c>
      <c r="M1206" s="5">
        <f>_xlfn.IFNA(Táblázat1[[#This Row],[Kész2020]],0)</f>
        <v>1</v>
      </c>
      <c r="N1206" s="5">
        <f>IF(Táblázat1[[#This Row],[Karb./akt.év]]-Táblázat1[[#This Row],[Kész2020_2]]&lt;0,0,Táblázat1[[#This Row],[Karb./akt.év]]-Táblázat1[[#This Row],[Kész2020_2]])</f>
        <v>1</v>
      </c>
    </row>
    <row r="1207" spans="1:14" hidden="1" x14ac:dyDescent="0.25">
      <c r="A1207" s="17" t="s">
        <v>7299</v>
      </c>
      <c r="B1207" s="17" t="s">
        <v>839</v>
      </c>
      <c r="C1207" s="17" t="s">
        <v>1735</v>
      </c>
      <c r="D1207" s="17" t="s">
        <v>2617</v>
      </c>
      <c r="E1207" s="17" t="s">
        <v>4409</v>
      </c>
      <c r="F1207" s="17" t="s">
        <v>4410</v>
      </c>
      <c r="G1207" s="17" t="s">
        <v>5780</v>
      </c>
      <c r="H1207" t="s">
        <v>7476</v>
      </c>
      <c r="I1207" s="1">
        <v>2</v>
      </c>
      <c r="J1207" s="1">
        <v>2</v>
      </c>
      <c r="K1207" t="s">
        <v>6784</v>
      </c>
      <c r="L1207" s="5">
        <f>VLOOKUP(D:D,[1]Munka2!$A:$B,2,FALSE)</f>
        <v>1</v>
      </c>
      <c r="M1207" s="5">
        <f>_xlfn.IFNA(Táblázat1[[#This Row],[Kész2020]],0)</f>
        <v>1</v>
      </c>
      <c r="N1207" s="5">
        <f>IF(Táblázat1[[#This Row],[Karb./akt.év]]-Táblázat1[[#This Row],[Kész2020_2]]&lt;0,0,Táblázat1[[#This Row],[Karb./akt.év]]-Táblázat1[[#This Row],[Kész2020_2]])</f>
        <v>1</v>
      </c>
    </row>
    <row r="1208" spans="1:14" x14ac:dyDescent="0.25">
      <c r="A1208" s="17" t="s">
        <v>7299</v>
      </c>
      <c r="B1208" s="17" t="s">
        <v>1200</v>
      </c>
      <c r="C1208" s="17" t="s">
        <v>1735</v>
      </c>
      <c r="D1208" s="17" t="s">
        <v>3006</v>
      </c>
      <c r="E1208" s="17" t="s">
        <v>3858</v>
      </c>
      <c r="F1208" s="17" t="s">
        <v>3859</v>
      </c>
      <c r="G1208" s="17" t="s">
        <v>6129</v>
      </c>
      <c r="H1208" t="s">
        <v>7476</v>
      </c>
      <c r="I1208" s="1">
        <v>2</v>
      </c>
      <c r="J1208" s="1">
        <v>2</v>
      </c>
      <c r="K1208" t="s">
        <v>6784</v>
      </c>
      <c r="L1208" s="5" t="e">
        <f>VLOOKUP(D:D,[1]Munka2!$A:$B,2,FALSE)</f>
        <v>#N/A</v>
      </c>
      <c r="M1208" s="5">
        <f>_xlfn.IFNA(Táblázat1[[#This Row],[Kész2020]],0)</f>
        <v>0</v>
      </c>
      <c r="N1208" s="5">
        <f>IF(Táblázat1[[#This Row],[Karb./akt.év]]-Táblázat1[[#This Row],[Kész2020_2]]&lt;0,0,Táblázat1[[#This Row],[Karb./akt.év]]-Táblázat1[[#This Row],[Kész2020_2]])</f>
        <v>2</v>
      </c>
    </row>
    <row r="1209" spans="1:14" hidden="1" x14ac:dyDescent="0.25">
      <c r="A1209" s="17" t="s">
        <v>7299</v>
      </c>
      <c r="B1209" s="17" t="s">
        <v>1694</v>
      </c>
      <c r="C1209" s="17" t="s">
        <v>1735</v>
      </c>
      <c r="D1209" s="17" t="s">
        <v>3549</v>
      </c>
      <c r="E1209" s="17" t="s">
        <v>4990</v>
      </c>
      <c r="F1209" s="17" t="s">
        <v>4991</v>
      </c>
      <c r="G1209" s="17" t="s">
        <v>6590</v>
      </c>
      <c r="H1209" t="s">
        <v>7476</v>
      </c>
      <c r="I1209" s="1">
        <v>2</v>
      </c>
      <c r="J1209" s="1">
        <v>2</v>
      </c>
      <c r="K1209" t="s">
        <v>6784</v>
      </c>
      <c r="L1209" s="5">
        <f>VLOOKUP(D:D,[1]Munka2!$A:$B,2,FALSE)</f>
        <v>1</v>
      </c>
      <c r="M1209" s="5">
        <f>_xlfn.IFNA(Táblázat1[[#This Row],[Kész2020]],0)</f>
        <v>1</v>
      </c>
      <c r="N1209" s="5">
        <f>IF(Táblázat1[[#This Row],[Karb./akt.év]]-Táblázat1[[#This Row],[Kész2020_2]]&lt;0,0,Táblázat1[[#This Row],[Karb./akt.év]]-Táblázat1[[#This Row],[Kész2020_2]])</f>
        <v>1</v>
      </c>
    </row>
    <row r="1210" spans="1:14" x14ac:dyDescent="0.25">
      <c r="A1210" s="17" t="s">
        <v>7299</v>
      </c>
      <c r="B1210" s="17" t="s">
        <v>1165</v>
      </c>
      <c r="C1210" s="17" t="s">
        <v>1735</v>
      </c>
      <c r="D1210" s="17" t="s">
        <v>2961</v>
      </c>
      <c r="E1210" s="17" t="s">
        <v>4672</v>
      </c>
      <c r="F1210" s="17" t="s">
        <v>4673</v>
      </c>
      <c r="G1210" s="17" t="s">
        <v>7622</v>
      </c>
      <c r="H1210" t="s">
        <v>7476</v>
      </c>
      <c r="I1210" s="1">
        <v>2</v>
      </c>
      <c r="J1210" s="1">
        <v>2</v>
      </c>
      <c r="K1210" t="s">
        <v>6784</v>
      </c>
      <c r="L1210" s="5" t="e">
        <f>VLOOKUP(D:D,[1]Munka2!$A:$B,2,FALSE)</f>
        <v>#N/A</v>
      </c>
      <c r="M1210" s="5">
        <f>_xlfn.IFNA(Táblázat1[[#This Row],[Kész2020]],0)</f>
        <v>0</v>
      </c>
      <c r="N1210" s="5">
        <f>IF(Táblázat1[[#This Row],[Karb./akt.év]]-Táblázat1[[#This Row],[Kész2020_2]]&lt;0,0,Táblázat1[[#This Row],[Karb./akt.év]]-Táblázat1[[#This Row],[Kész2020_2]])</f>
        <v>2</v>
      </c>
    </row>
    <row r="1211" spans="1:14" x14ac:dyDescent="0.25">
      <c r="A1211" s="17" t="s">
        <v>7299</v>
      </c>
      <c r="B1211" s="17" t="s">
        <v>562</v>
      </c>
      <c r="C1211" s="17" t="s">
        <v>1754</v>
      </c>
      <c r="D1211" s="17" t="s">
        <v>2333</v>
      </c>
      <c r="E1211" s="17" t="s">
        <v>4190</v>
      </c>
      <c r="F1211" s="17" t="s">
        <v>4191</v>
      </c>
      <c r="G1211" s="17" t="s">
        <v>5525</v>
      </c>
      <c r="H1211" t="s">
        <v>7476</v>
      </c>
      <c r="I1211" s="1">
        <v>2</v>
      </c>
      <c r="J1211" s="1">
        <v>2</v>
      </c>
      <c r="K1211" t="s">
        <v>7354</v>
      </c>
      <c r="L1211" s="5" t="e">
        <f>VLOOKUP(D:D,[1]Munka2!$A:$B,2,FALSE)</f>
        <v>#N/A</v>
      </c>
      <c r="M1211" s="5">
        <f>_xlfn.IFNA(Táblázat1[[#This Row],[Kész2020]],0)</f>
        <v>0</v>
      </c>
      <c r="N1211" s="5">
        <f>IF(Táblázat1[[#This Row],[Karb./akt.év]]-Táblázat1[[#This Row],[Kész2020_2]]&lt;0,0,Táblázat1[[#This Row],[Karb./akt.év]]-Táblázat1[[#This Row],[Kész2020_2]])</f>
        <v>2</v>
      </c>
    </row>
    <row r="1212" spans="1:14" x14ac:dyDescent="0.25">
      <c r="A1212" s="17" t="s">
        <v>7299</v>
      </c>
      <c r="B1212" s="17" t="s">
        <v>362</v>
      </c>
      <c r="C1212" s="17" t="s">
        <v>1761</v>
      </c>
      <c r="D1212" s="17" t="s">
        <v>2117</v>
      </c>
      <c r="E1212" s="17" t="s">
        <v>3990</v>
      </c>
      <c r="F1212" s="17" t="s">
        <v>3991</v>
      </c>
      <c r="G1212" s="17" t="s">
        <v>5328</v>
      </c>
      <c r="H1212" t="s">
        <v>7476</v>
      </c>
      <c r="I1212" s="1">
        <v>2</v>
      </c>
      <c r="J1212" s="1">
        <v>2</v>
      </c>
      <c r="K1212" t="s">
        <v>7354</v>
      </c>
      <c r="L1212" s="5" t="e">
        <f>VLOOKUP(D:D,[1]Munka2!$A:$B,2,FALSE)</f>
        <v>#N/A</v>
      </c>
      <c r="M1212" s="5">
        <f>_xlfn.IFNA(Táblázat1[[#This Row],[Kész2020]],0)</f>
        <v>0</v>
      </c>
      <c r="N1212" s="5">
        <f>IF(Táblázat1[[#This Row],[Karb./akt.év]]-Táblázat1[[#This Row],[Kész2020_2]]&lt;0,0,Táblázat1[[#This Row],[Karb./akt.év]]-Táblázat1[[#This Row],[Kész2020_2]])</f>
        <v>2</v>
      </c>
    </row>
    <row r="1213" spans="1:14" hidden="1" x14ac:dyDescent="0.25">
      <c r="A1213" s="17" t="s">
        <v>7299</v>
      </c>
      <c r="B1213" s="17" t="s">
        <v>426</v>
      </c>
      <c r="C1213" s="17" t="s">
        <v>1761</v>
      </c>
      <c r="D1213" s="17" t="s">
        <v>2183</v>
      </c>
      <c r="E1213" s="17" t="s">
        <v>4042</v>
      </c>
      <c r="F1213" s="17" t="s">
        <v>4043</v>
      </c>
      <c r="G1213" s="17" t="s">
        <v>5392</v>
      </c>
      <c r="H1213" t="s">
        <v>7476</v>
      </c>
      <c r="I1213" s="1">
        <v>2</v>
      </c>
      <c r="J1213" s="1">
        <v>0</v>
      </c>
      <c r="K1213" t="s">
        <v>7354</v>
      </c>
      <c r="L1213" s="5" t="e">
        <f>VLOOKUP(D:D,[1]Munka2!$A:$B,2,FALSE)</f>
        <v>#N/A</v>
      </c>
      <c r="M1213" s="5">
        <f>_xlfn.IFNA(Táblázat1[[#This Row],[Kész2020]],0)</f>
        <v>0</v>
      </c>
      <c r="N1213" s="5">
        <f>IF(Táblázat1[[#This Row],[Karb./akt.év]]-Táblázat1[[#This Row],[Kész2020_2]]&lt;0,0,Táblázat1[[#This Row],[Karb./akt.év]]-Táblázat1[[#This Row],[Kész2020_2]])</f>
        <v>0</v>
      </c>
    </row>
    <row r="1214" spans="1:14" hidden="1" x14ac:dyDescent="0.25">
      <c r="A1214" s="17" t="s">
        <v>7299</v>
      </c>
      <c r="B1214" s="17" t="s">
        <v>1000</v>
      </c>
      <c r="C1214" s="17" t="s">
        <v>1738</v>
      </c>
      <c r="D1214" s="17" t="s">
        <v>2789</v>
      </c>
      <c r="E1214" s="17" t="s">
        <v>4567</v>
      </c>
      <c r="F1214" s="17" t="s">
        <v>4568</v>
      </c>
      <c r="G1214" s="17" t="s">
        <v>5929</v>
      </c>
      <c r="H1214" t="s">
        <v>7476</v>
      </c>
      <c r="I1214" s="1">
        <v>2</v>
      </c>
      <c r="J1214" s="1">
        <v>2</v>
      </c>
      <c r="K1214" t="s">
        <v>7354</v>
      </c>
      <c r="L1214" s="5">
        <f>VLOOKUP(D:D,[1]Munka2!$A:$B,2,FALSE)</f>
        <v>1</v>
      </c>
      <c r="M1214" s="5">
        <f>_xlfn.IFNA(Táblázat1[[#This Row],[Kész2020]],0)</f>
        <v>1</v>
      </c>
      <c r="N1214" s="5">
        <f>IF(Táblázat1[[#This Row],[Karb./akt.év]]-Táblázat1[[#This Row],[Kész2020_2]]&lt;0,0,Táblázat1[[#This Row],[Karb./akt.év]]-Táblázat1[[#This Row],[Kész2020_2]])</f>
        <v>1</v>
      </c>
    </row>
    <row r="1215" spans="1:14" x14ac:dyDescent="0.25">
      <c r="A1215" s="17" t="s">
        <v>7299</v>
      </c>
      <c r="B1215" s="17" t="s">
        <v>367</v>
      </c>
      <c r="C1215" s="17" t="s">
        <v>1738</v>
      </c>
      <c r="D1215" s="17" t="s">
        <v>2123</v>
      </c>
      <c r="E1215" s="17" t="s">
        <v>4001</v>
      </c>
      <c r="F1215" s="17" t="s">
        <v>4002</v>
      </c>
      <c r="G1215" s="17" t="s">
        <v>5335</v>
      </c>
      <c r="H1215" t="s">
        <v>7476</v>
      </c>
      <c r="I1215" s="1">
        <v>2</v>
      </c>
      <c r="J1215" s="1">
        <v>2</v>
      </c>
      <c r="K1215" t="s">
        <v>7354</v>
      </c>
      <c r="L1215" s="5" t="e">
        <f>VLOOKUP(D:D,[1]Munka2!$A:$B,2,FALSE)</f>
        <v>#N/A</v>
      </c>
      <c r="M1215" s="5">
        <f>_xlfn.IFNA(Táblázat1[[#This Row],[Kész2020]],0)</f>
        <v>0</v>
      </c>
      <c r="N1215" s="5">
        <f>IF(Táblázat1[[#This Row],[Karb./akt.év]]-Táblázat1[[#This Row],[Kész2020_2]]&lt;0,0,Táblázat1[[#This Row],[Karb./akt.év]]-Táblázat1[[#This Row],[Kész2020_2]])</f>
        <v>2</v>
      </c>
    </row>
    <row r="1216" spans="1:14" x14ac:dyDescent="0.25">
      <c r="A1216" s="17" t="s">
        <v>7299</v>
      </c>
      <c r="B1216" s="17" t="s">
        <v>868</v>
      </c>
      <c r="C1216" s="17" t="s">
        <v>1738</v>
      </c>
      <c r="D1216" s="17" t="s">
        <v>7414</v>
      </c>
      <c r="E1216" s="17" t="s">
        <v>4440</v>
      </c>
      <c r="F1216" s="17" t="s">
        <v>4441</v>
      </c>
      <c r="G1216" s="17" t="s">
        <v>5805</v>
      </c>
      <c r="H1216" t="s">
        <v>7476</v>
      </c>
      <c r="I1216" s="1">
        <v>2</v>
      </c>
      <c r="J1216" s="1">
        <v>2</v>
      </c>
      <c r="K1216" t="s">
        <v>7354</v>
      </c>
      <c r="L1216" s="5" t="e">
        <f>VLOOKUP(D:D,[1]Munka2!$A:$B,2,FALSE)</f>
        <v>#N/A</v>
      </c>
      <c r="M1216" s="5">
        <f>_xlfn.IFNA(Táblázat1[[#This Row],[Kész2020]],0)</f>
        <v>0</v>
      </c>
      <c r="N1216" s="5">
        <f>IF(Táblázat1[[#This Row],[Karb./akt.év]]-Táblázat1[[#This Row],[Kész2020_2]]&lt;0,0,Táblázat1[[#This Row],[Karb./akt.év]]-Táblázat1[[#This Row],[Kész2020_2]])</f>
        <v>2</v>
      </c>
    </row>
    <row r="1217" spans="1:14" hidden="1" x14ac:dyDescent="0.25">
      <c r="A1217" s="17" t="s">
        <v>7299</v>
      </c>
      <c r="B1217" s="17" t="s">
        <v>735</v>
      </c>
      <c r="C1217" s="17" t="s">
        <v>1738</v>
      </c>
      <c r="D1217" s="17" t="s">
        <v>2512</v>
      </c>
      <c r="E1217" s="17" t="s">
        <v>3641</v>
      </c>
      <c r="F1217" s="17" t="s">
        <v>3642</v>
      </c>
      <c r="G1217" s="17" t="s">
        <v>5684</v>
      </c>
      <c r="H1217" t="s">
        <v>7476</v>
      </c>
      <c r="I1217" s="1">
        <v>2</v>
      </c>
      <c r="J1217" s="1">
        <v>0</v>
      </c>
      <c r="K1217" t="s">
        <v>7354</v>
      </c>
      <c r="L1217" s="5" t="e">
        <f>VLOOKUP(D:D,[1]Munka2!$A:$B,2,FALSE)</f>
        <v>#N/A</v>
      </c>
      <c r="M1217" s="5">
        <f>_xlfn.IFNA(Táblázat1[[#This Row],[Kész2020]],0)</f>
        <v>0</v>
      </c>
      <c r="N1217" s="5">
        <f>IF(Táblázat1[[#This Row],[Karb./akt.év]]-Táblázat1[[#This Row],[Kész2020_2]]&lt;0,0,Táblázat1[[#This Row],[Karb./akt.év]]-Táblázat1[[#This Row],[Kész2020_2]])</f>
        <v>0</v>
      </c>
    </row>
    <row r="1218" spans="1:14" hidden="1" x14ac:dyDescent="0.25">
      <c r="A1218" s="17" t="s">
        <v>7299</v>
      </c>
      <c r="B1218" s="17" t="s">
        <v>1148</v>
      </c>
      <c r="C1218" s="17" t="s">
        <v>1735</v>
      </c>
      <c r="D1218" s="17" t="s">
        <v>2946</v>
      </c>
      <c r="E1218" s="17" t="s">
        <v>4654</v>
      </c>
      <c r="F1218" s="17" t="s">
        <v>4655</v>
      </c>
      <c r="G1218" s="17" t="s">
        <v>7623</v>
      </c>
      <c r="H1218" t="s">
        <v>7476</v>
      </c>
      <c r="I1218" s="1">
        <v>2</v>
      </c>
      <c r="J1218" s="1">
        <v>2</v>
      </c>
      <c r="K1218" t="s">
        <v>6784</v>
      </c>
      <c r="L1218" s="5">
        <f>VLOOKUP(D:D,[1]Munka2!$A:$B,2,FALSE)</f>
        <v>1</v>
      </c>
      <c r="M1218" s="5">
        <f>_xlfn.IFNA(Táblázat1[[#This Row],[Kész2020]],0)</f>
        <v>1</v>
      </c>
      <c r="N1218" s="5">
        <f>IF(Táblázat1[[#This Row],[Karb./akt.év]]-Táblázat1[[#This Row],[Kész2020_2]]&lt;0,0,Táblázat1[[#This Row],[Karb./akt.év]]-Táblázat1[[#This Row],[Kész2020_2]])</f>
        <v>1</v>
      </c>
    </row>
    <row r="1219" spans="1:14" x14ac:dyDescent="0.25">
      <c r="A1219" s="17" t="s">
        <v>7299</v>
      </c>
      <c r="B1219" s="17" t="s">
        <v>978</v>
      </c>
      <c r="C1219" s="17" t="s">
        <v>1735</v>
      </c>
      <c r="D1219" s="17" t="s">
        <v>2764</v>
      </c>
      <c r="E1219" s="17" t="s">
        <v>3641</v>
      </c>
      <c r="F1219" s="17" t="s">
        <v>3642</v>
      </c>
      <c r="G1219" s="17" t="s">
        <v>7624</v>
      </c>
      <c r="H1219" t="s">
        <v>7476</v>
      </c>
      <c r="I1219" s="1">
        <v>2</v>
      </c>
      <c r="J1219" s="1">
        <v>2</v>
      </c>
      <c r="K1219" t="s">
        <v>7354</v>
      </c>
      <c r="L1219" s="5" t="e">
        <f>VLOOKUP(D:D,[1]Munka2!$A:$B,2,FALSE)</f>
        <v>#N/A</v>
      </c>
      <c r="M1219" s="5">
        <f>_xlfn.IFNA(Táblázat1[[#This Row],[Kész2020]],0)</f>
        <v>0</v>
      </c>
      <c r="N1219" s="5">
        <f>IF(Táblázat1[[#This Row],[Karb./akt.év]]-Táblázat1[[#This Row],[Kész2020_2]]&lt;0,0,Táblázat1[[#This Row],[Karb./akt.év]]-Táblázat1[[#This Row],[Kész2020_2]])</f>
        <v>2</v>
      </c>
    </row>
    <row r="1220" spans="1:14" hidden="1" x14ac:dyDescent="0.25">
      <c r="A1220" s="17" t="s">
        <v>7299</v>
      </c>
      <c r="B1220" s="17" t="s">
        <v>743</v>
      </c>
      <c r="C1220" s="17" t="s">
        <v>1735</v>
      </c>
      <c r="D1220" s="17" t="s">
        <v>2520</v>
      </c>
      <c r="E1220" s="17" t="s">
        <v>4321</v>
      </c>
      <c r="F1220" s="17" t="s">
        <v>4322</v>
      </c>
      <c r="G1220" s="17" t="s">
        <v>7625</v>
      </c>
      <c r="H1220" t="s">
        <v>7476</v>
      </c>
      <c r="I1220" s="1">
        <v>2</v>
      </c>
      <c r="J1220" s="1">
        <v>2</v>
      </c>
      <c r="K1220" t="s">
        <v>6784</v>
      </c>
      <c r="L1220" s="5">
        <f>VLOOKUP(D:D,[1]Munka2!$A:$B,2,FALSE)</f>
        <v>1</v>
      </c>
      <c r="M1220" s="5">
        <f>_xlfn.IFNA(Táblázat1[[#This Row],[Kész2020]],0)</f>
        <v>1</v>
      </c>
      <c r="N1220" s="5">
        <f>IF(Táblázat1[[#This Row],[Karb./akt.év]]-Táblázat1[[#This Row],[Kész2020_2]]&lt;0,0,Táblázat1[[#This Row],[Karb./akt.év]]-Táblázat1[[#This Row],[Kész2020_2]])</f>
        <v>1</v>
      </c>
    </row>
    <row r="1221" spans="1:14" hidden="1" x14ac:dyDescent="0.25">
      <c r="A1221" s="17" t="s">
        <v>7299</v>
      </c>
      <c r="B1221" s="17" t="s">
        <v>1168</v>
      </c>
      <c r="C1221" s="17" t="s">
        <v>1735</v>
      </c>
      <c r="D1221" s="17" t="s">
        <v>2966</v>
      </c>
      <c r="E1221" s="17" t="s">
        <v>4362</v>
      </c>
      <c r="F1221" s="17" t="s">
        <v>4363</v>
      </c>
      <c r="G1221" s="17" t="s">
        <v>6094</v>
      </c>
      <c r="H1221" t="s">
        <v>7476</v>
      </c>
      <c r="I1221" s="1">
        <v>2</v>
      </c>
      <c r="J1221" s="1">
        <v>2</v>
      </c>
      <c r="K1221" t="s">
        <v>6784</v>
      </c>
      <c r="L1221" s="5">
        <f>VLOOKUP(D:D,[1]Munka2!$A:$B,2,FALSE)</f>
        <v>1</v>
      </c>
      <c r="M1221" s="5">
        <f>_xlfn.IFNA(Táblázat1[[#This Row],[Kész2020]],0)</f>
        <v>1</v>
      </c>
      <c r="N1221" s="5">
        <f>IF(Táblázat1[[#This Row],[Karb./akt.év]]-Táblázat1[[#This Row],[Kész2020_2]]&lt;0,0,Táblázat1[[#This Row],[Karb./akt.év]]-Táblázat1[[#This Row],[Kész2020_2]])</f>
        <v>1</v>
      </c>
    </row>
    <row r="1222" spans="1:14" hidden="1" x14ac:dyDescent="0.25">
      <c r="A1222" s="17" t="s">
        <v>7299</v>
      </c>
      <c r="B1222" s="17" t="s">
        <v>478</v>
      </c>
      <c r="C1222" s="17" t="s">
        <v>1735</v>
      </c>
      <c r="D1222" s="17" t="s">
        <v>2238</v>
      </c>
      <c r="E1222" s="17" t="s">
        <v>4079</v>
      </c>
      <c r="F1222" s="17" t="s">
        <v>4080</v>
      </c>
      <c r="G1222" s="17" t="s">
        <v>5440</v>
      </c>
      <c r="H1222" t="s">
        <v>7476</v>
      </c>
      <c r="I1222" s="1">
        <v>2</v>
      </c>
      <c r="J1222" s="1">
        <v>2</v>
      </c>
      <c r="K1222" t="s">
        <v>6784</v>
      </c>
      <c r="L1222" s="5">
        <f>VLOOKUP(D:D,[1]Munka2!$A:$B,2,FALSE)</f>
        <v>1</v>
      </c>
      <c r="M1222" s="5">
        <f>_xlfn.IFNA(Táblázat1[[#This Row],[Kész2020]],0)</f>
        <v>1</v>
      </c>
      <c r="N1222" s="5">
        <f>IF(Táblázat1[[#This Row],[Karb./akt.év]]-Táblázat1[[#This Row],[Kész2020_2]]&lt;0,0,Táblázat1[[#This Row],[Karb./akt.év]]-Táblázat1[[#This Row],[Kész2020_2]])</f>
        <v>1</v>
      </c>
    </row>
    <row r="1223" spans="1:14" hidden="1" x14ac:dyDescent="0.25">
      <c r="A1223" s="17" t="s">
        <v>7299</v>
      </c>
      <c r="B1223" s="17" t="s">
        <v>363</v>
      </c>
      <c r="C1223" s="17" t="s">
        <v>1735</v>
      </c>
      <c r="D1223" s="17" t="s">
        <v>2118</v>
      </c>
      <c r="E1223" s="17" t="s">
        <v>3992</v>
      </c>
      <c r="F1223" s="17" t="s">
        <v>3993</v>
      </c>
      <c r="G1223" s="17" t="s">
        <v>5330</v>
      </c>
      <c r="H1223" t="s">
        <v>7476</v>
      </c>
      <c r="I1223" s="1">
        <v>2</v>
      </c>
      <c r="J1223" s="1">
        <v>2</v>
      </c>
      <c r="K1223" t="s">
        <v>6784</v>
      </c>
      <c r="L1223" s="5">
        <f>VLOOKUP(D:D,[1]Munka2!$A:$B,2,FALSE)</f>
        <v>1</v>
      </c>
      <c r="M1223" s="5">
        <f>_xlfn.IFNA(Táblázat1[[#This Row],[Kész2020]],0)</f>
        <v>1</v>
      </c>
      <c r="N1223" s="5">
        <f>IF(Táblázat1[[#This Row],[Karb./akt.év]]-Táblázat1[[#This Row],[Kész2020_2]]&lt;0,0,Táblázat1[[#This Row],[Karb./akt.év]]-Táblázat1[[#This Row],[Kész2020_2]])</f>
        <v>1</v>
      </c>
    </row>
    <row r="1224" spans="1:14" hidden="1" x14ac:dyDescent="0.25">
      <c r="A1224" s="17" t="s">
        <v>7299</v>
      </c>
      <c r="B1224" s="17" t="s">
        <v>112</v>
      </c>
      <c r="C1224" s="17" t="s">
        <v>1735</v>
      </c>
      <c r="D1224" s="17" t="s">
        <v>1851</v>
      </c>
      <c r="E1224" s="17" t="s">
        <v>3701</v>
      </c>
      <c r="F1224" s="17" t="s">
        <v>3702</v>
      </c>
      <c r="G1224" s="17" t="s">
        <v>5083</v>
      </c>
      <c r="H1224" t="s">
        <v>7476</v>
      </c>
      <c r="I1224" s="1">
        <v>2</v>
      </c>
      <c r="J1224" s="1">
        <v>0</v>
      </c>
      <c r="K1224" t="s">
        <v>6784</v>
      </c>
      <c r="L1224" s="5" t="e">
        <f>VLOOKUP(D:D,[1]Munka2!$A:$B,2,FALSE)</f>
        <v>#N/A</v>
      </c>
      <c r="M1224" s="5">
        <f>_xlfn.IFNA(Táblázat1[[#This Row],[Kész2020]],0)</f>
        <v>0</v>
      </c>
      <c r="N1224" s="5">
        <f>IF(Táblázat1[[#This Row],[Karb./akt.év]]-Táblázat1[[#This Row],[Kész2020_2]]&lt;0,0,Táblázat1[[#This Row],[Karb./akt.év]]-Táblázat1[[#This Row],[Kész2020_2]])</f>
        <v>0</v>
      </c>
    </row>
    <row r="1225" spans="1:14" hidden="1" x14ac:dyDescent="0.25">
      <c r="A1225" s="17" t="s">
        <v>7299</v>
      </c>
      <c r="B1225" s="17" t="s">
        <v>1338</v>
      </c>
      <c r="C1225" s="17" t="s">
        <v>1737</v>
      </c>
      <c r="D1225" s="17" t="s">
        <v>3156</v>
      </c>
      <c r="E1225" s="17" t="s">
        <v>4826</v>
      </c>
      <c r="F1225" s="17" t="s">
        <v>4827</v>
      </c>
      <c r="G1225" s="17" t="s">
        <v>6257</v>
      </c>
      <c r="H1225" t="s">
        <v>7476</v>
      </c>
      <c r="I1225" s="1">
        <v>2</v>
      </c>
      <c r="J1225" s="1">
        <v>2</v>
      </c>
      <c r="K1225" t="s">
        <v>6784</v>
      </c>
      <c r="L1225" s="5">
        <f>VLOOKUP(D:D,[1]Munka2!$A:$B,2,FALSE)</f>
        <v>1</v>
      </c>
      <c r="M1225" s="5">
        <f>_xlfn.IFNA(Táblázat1[[#This Row],[Kész2020]],0)</f>
        <v>1</v>
      </c>
      <c r="N1225" s="5">
        <f>IF(Táblázat1[[#This Row],[Karb./akt.év]]-Táblázat1[[#This Row],[Kész2020_2]]&lt;0,0,Táblázat1[[#This Row],[Karb./akt.év]]-Táblázat1[[#This Row],[Kész2020_2]])</f>
        <v>1</v>
      </c>
    </row>
    <row r="1226" spans="1:14" x14ac:dyDescent="0.25">
      <c r="A1226" s="17" t="s">
        <v>7299</v>
      </c>
      <c r="B1226" s="17" t="s">
        <v>1299</v>
      </c>
      <c r="C1226" s="17" t="s">
        <v>1738</v>
      </c>
      <c r="D1226" s="17" t="s">
        <v>3113</v>
      </c>
      <c r="E1226" s="17" t="s">
        <v>4795</v>
      </c>
      <c r="F1226" s="17" t="s">
        <v>4796</v>
      </c>
      <c r="G1226" s="17" t="s">
        <v>6218</v>
      </c>
      <c r="H1226" t="s">
        <v>7476</v>
      </c>
      <c r="I1226" s="1">
        <v>2</v>
      </c>
      <c r="J1226" s="1">
        <v>2</v>
      </c>
      <c r="K1226" t="s">
        <v>6784</v>
      </c>
      <c r="L1226" s="5" t="e">
        <f>VLOOKUP(D:D,[1]Munka2!$A:$B,2,FALSE)</f>
        <v>#N/A</v>
      </c>
      <c r="M1226" s="5">
        <f>_xlfn.IFNA(Táblázat1[[#This Row],[Kész2020]],0)</f>
        <v>0</v>
      </c>
      <c r="N1226" s="5">
        <f>IF(Táblázat1[[#This Row],[Karb./akt.év]]-Táblázat1[[#This Row],[Kész2020_2]]&lt;0,0,Táblázat1[[#This Row],[Karb./akt.év]]-Táblázat1[[#This Row],[Kész2020_2]])</f>
        <v>2</v>
      </c>
    </row>
    <row r="1227" spans="1:14" hidden="1" x14ac:dyDescent="0.25">
      <c r="A1227" s="17" t="s">
        <v>7299</v>
      </c>
      <c r="B1227" s="17" t="s">
        <v>1268</v>
      </c>
      <c r="C1227" s="17" t="s">
        <v>1737</v>
      </c>
      <c r="D1227" s="17" t="s">
        <v>3080</v>
      </c>
      <c r="E1227" s="17" t="s">
        <v>4766</v>
      </c>
      <c r="F1227" s="17" t="s">
        <v>4767</v>
      </c>
      <c r="G1227" s="17" t="s">
        <v>6194</v>
      </c>
      <c r="H1227" t="s">
        <v>7476</v>
      </c>
      <c r="I1227" s="1">
        <v>2</v>
      </c>
      <c r="J1227" s="1">
        <v>2</v>
      </c>
      <c r="K1227" t="s">
        <v>6784</v>
      </c>
      <c r="L1227" s="5">
        <f>VLOOKUP(D:D,[1]Munka2!$A:$B,2,FALSE)</f>
        <v>1</v>
      </c>
      <c r="M1227" s="5">
        <f>_xlfn.IFNA(Táblázat1[[#This Row],[Kész2020]],0)</f>
        <v>1</v>
      </c>
      <c r="N1227" s="5">
        <f>IF(Táblázat1[[#This Row],[Karb./akt.év]]-Táblázat1[[#This Row],[Kész2020_2]]&lt;0,0,Táblázat1[[#This Row],[Karb./akt.év]]-Táblázat1[[#This Row],[Kész2020_2]])</f>
        <v>1</v>
      </c>
    </row>
    <row r="1228" spans="1:14" hidden="1" x14ac:dyDescent="0.25">
      <c r="A1228" s="17" t="s">
        <v>7299</v>
      </c>
      <c r="B1228" s="17" t="s">
        <v>1603</v>
      </c>
      <c r="C1228" s="17" t="s">
        <v>1735</v>
      </c>
      <c r="D1228" s="17" t="s">
        <v>3453</v>
      </c>
      <c r="E1228" s="17" t="s">
        <v>4961</v>
      </c>
      <c r="F1228" s="17" t="s">
        <v>4962</v>
      </c>
      <c r="G1228" s="17" t="s">
        <v>6505</v>
      </c>
      <c r="H1228" t="s">
        <v>7476</v>
      </c>
      <c r="I1228" s="1">
        <v>2</v>
      </c>
      <c r="J1228" s="1">
        <v>2</v>
      </c>
      <c r="K1228" t="s">
        <v>6784</v>
      </c>
      <c r="L1228" s="5">
        <f>VLOOKUP(D:D,[1]Munka2!$A:$B,2,FALSE)</f>
        <v>1</v>
      </c>
      <c r="M1228" s="5">
        <f>_xlfn.IFNA(Táblázat1[[#This Row],[Kész2020]],0)</f>
        <v>1</v>
      </c>
      <c r="N1228" s="5">
        <f>IF(Táblázat1[[#This Row],[Karb./akt.év]]-Táblázat1[[#This Row],[Kész2020_2]]&lt;0,0,Táblázat1[[#This Row],[Karb./akt.év]]-Táblázat1[[#This Row],[Kész2020_2]])</f>
        <v>1</v>
      </c>
    </row>
    <row r="1229" spans="1:14" hidden="1" x14ac:dyDescent="0.25">
      <c r="A1229" s="17" t="s">
        <v>7299</v>
      </c>
      <c r="B1229" s="17" t="s">
        <v>499</v>
      </c>
      <c r="C1229" s="17" t="s">
        <v>1737</v>
      </c>
      <c r="D1229" s="17" t="s">
        <v>2261</v>
      </c>
      <c r="E1229" s="17" t="s">
        <v>4109</v>
      </c>
      <c r="F1229" s="17" t="s">
        <v>4110</v>
      </c>
      <c r="G1229" s="17" t="s">
        <v>5461</v>
      </c>
      <c r="H1229" t="s">
        <v>7476</v>
      </c>
      <c r="I1229" s="1">
        <v>2</v>
      </c>
      <c r="J1229" s="1">
        <v>2</v>
      </c>
      <c r="K1229" t="s">
        <v>6784</v>
      </c>
      <c r="L1229" s="5">
        <f>VLOOKUP(D:D,[1]Munka2!$A:$B,2,FALSE)</f>
        <v>1</v>
      </c>
      <c r="M1229" s="5">
        <f>_xlfn.IFNA(Táblázat1[[#This Row],[Kész2020]],0)</f>
        <v>1</v>
      </c>
      <c r="N1229" s="5">
        <f>IF(Táblázat1[[#This Row],[Karb./akt.év]]-Táblázat1[[#This Row],[Kész2020_2]]&lt;0,0,Táblázat1[[#This Row],[Karb./akt.év]]-Táblázat1[[#This Row],[Kész2020_2]])</f>
        <v>1</v>
      </c>
    </row>
    <row r="1230" spans="1:14" hidden="1" x14ac:dyDescent="0.25">
      <c r="A1230" s="17" t="s">
        <v>7299</v>
      </c>
      <c r="B1230" s="17" t="s">
        <v>937</v>
      </c>
      <c r="C1230" s="17" t="s">
        <v>1735</v>
      </c>
      <c r="D1230" s="17" t="s">
        <v>7415</v>
      </c>
      <c r="E1230" s="17" t="s">
        <v>4534</v>
      </c>
      <c r="F1230" s="17" t="s">
        <v>4535</v>
      </c>
      <c r="G1230" s="17" t="s">
        <v>5865</v>
      </c>
      <c r="H1230" t="s">
        <v>7476</v>
      </c>
      <c r="I1230" s="1">
        <v>2</v>
      </c>
      <c r="J1230" s="1">
        <v>2</v>
      </c>
      <c r="K1230" t="s">
        <v>6641</v>
      </c>
      <c r="L1230" s="5">
        <f>VLOOKUP(D:D,[1]Munka2!$A:$B,2,FALSE)</f>
        <v>1</v>
      </c>
      <c r="M1230" s="5">
        <f>_xlfn.IFNA(Táblázat1[[#This Row],[Kész2020]],0)</f>
        <v>1</v>
      </c>
      <c r="N1230" s="5">
        <f>IF(Táblázat1[[#This Row],[Karb./akt.év]]-Táblázat1[[#This Row],[Kész2020_2]]&lt;0,0,Táblázat1[[#This Row],[Karb./akt.év]]-Táblázat1[[#This Row],[Kész2020_2]])</f>
        <v>1</v>
      </c>
    </row>
    <row r="1231" spans="1:14" hidden="1" x14ac:dyDescent="0.25">
      <c r="A1231" s="17" t="s">
        <v>7299</v>
      </c>
      <c r="B1231" s="17" t="s">
        <v>1477</v>
      </c>
      <c r="C1231" s="17" t="s">
        <v>1735</v>
      </c>
      <c r="D1231" s="17" t="s">
        <v>3312</v>
      </c>
      <c r="E1231" s="17" t="s">
        <v>4902</v>
      </c>
      <c r="F1231" s="17" t="s">
        <v>4903</v>
      </c>
      <c r="G1231" s="17" t="s">
        <v>6386</v>
      </c>
      <c r="H1231" t="s">
        <v>7476</v>
      </c>
      <c r="I1231" s="1">
        <v>2</v>
      </c>
      <c r="J1231" s="1">
        <v>2</v>
      </c>
      <c r="K1231" t="s">
        <v>6641</v>
      </c>
      <c r="L1231" s="5">
        <f>VLOOKUP(D:D,[1]Munka2!$A:$B,2,FALSE)</f>
        <v>1</v>
      </c>
      <c r="M1231" s="5">
        <f>_xlfn.IFNA(Táblázat1[[#This Row],[Kész2020]],0)</f>
        <v>1</v>
      </c>
      <c r="N1231" s="5">
        <f>IF(Táblázat1[[#This Row],[Karb./akt.év]]-Táblázat1[[#This Row],[Kész2020_2]]&lt;0,0,Táblázat1[[#This Row],[Karb./akt.év]]-Táblázat1[[#This Row],[Kész2020_2]])</f>
        <v>1</v>
      </c>
    </row>
    <row r="1232" spans="1:14" x14ac:dyDescent="0.25">
      <c r="A1232" s="17" t="s">
        <v>7299</v>
      </c>
      <c r="B1232" s="17" t="s">
        <v>6756</v>
      </c>
      <c r="C1232" s="17" t="s">
        <v>1735</v>
      </c>
      <c r="D1232" s="17" t="s">
        <v>6765</v>
      </c>
      <c r="E1232" s="17" t="s">
        <v>6772</v>
      </c>
      <c r="F1232" s="17" t="s">
        <v>6773</v>
      </c>
      <c r="G1232" s="17" t="s">
        <v>6775</v>
      </c>
      <c r="H1232" t="s">
        <v>7476</v>
      </c>
      <c r="I1232" s="1">
        <v>2</v>
      </c>
      <c r="J1232" s="1">
        <v>2</v>
      </c>
      <c r="K1232" t="s">
        <v>6784</v>
      </c>
      <c r="L1232" s="5" t="e">
        <f>VLOOKUP(D:D,[1]Munka2!$A:$B,2,FALSE)</f>
        <v>#N/A</v>
      </c>
      <c r="M1232" s="5">
        <f>_xlfn.IFNA(Táblázat1[[#This Row],[Kész2020]],0)</f>
        <v>0</v>
      </c>
      <c r="N1232" s="5">
        <f>IF(Táblázat1[[#This Row],[Karb./akt.év]]-Táblázat1[[#This Row],[Kész2020_2]]&lt;0,0,Táblázat1[[#This Row],[Karb./akt.év]]-Táblázat1[[#This Row],[Kész2020_2]])</f>
        <v>2</v>
      </c>
    </row>
    <row r="1233" spans="1:14" hidden="1" x14ac:dyDescent="0.25">
      <c r="A1233" s="17" t="s">
        <v>7299</v>
      </c>
      <c r="B1233" s="17" t="s">
        <v>186</v>
      </c>
      <c r="C1233" s="17" t="s">
        <v>1747</v>
      </c>
      <c r="D1233" s="17" t="s">
        <v>1927</v>
      </c>
      <c r="E1233" s="17" t="s">
        <v>3800</v>
      </c>
      <c r="F1233" s="17" t="s">
        <v>3801</v>
      </c>
      <c r="G1233" s="17" t="s">
        <v>5156</v>
      </c>
      <c r="H1233" t="s">
        <v>7476</v>
      </c>
      <c r="I1233" s="1">
        <v>2</v>
      </c>
      <c r="J1233" s="1">
        <v>2</v>
      </c>
      <c r="K1233" t="s">
        <v>7354</v>
      </c>
      <c r="L1233" s="5">
        <f>VLOOKUP(D:D,[1]Munka2!$A:$B,2,FALSE)</f>
        <v>1</v>
      </c>
      <c r="M1233" s="5">
        <f>_xlfn.IFNA(Táblázat1[[#This Row],[Kész2020]],0)</f>
        <v>1</v>
      </c>
      <c r="N1233" s="5">
        <f>IF(Táblázat1[[#This Row],[Karb./akt.év]]-Táblázat1[[#This Row],[Kész2020_2]]&lt;0,0,Táblázat1[[#This Row],[Karb./akt.év]]-Táblázat1[[#This Row],[Kész2020_2]])</f>
        <v>1</v>
      </c>
    </row>
    <row r="1234" spans="1:14" hidden="1" x14ac:dyDescent="0.25">
      <c r="A1234" s="17" t="s">
        <v>7299</v>
      </c>
      <c r="B1234" s="17" t="s">
        <v>253</v>
      </c>
      <c r="C1234" s="17" t="s">
        <v>1753</v>
      </c>
      <c r="D1234" s="17" t="s">
        <v>1999</v>
      </c>
      <c r="E1234" s="17" t="s">
        <v>3875</v>
      </c>
      <c r="F1234" s="17" t="s">
        <v>3876</v>
      </c>
      <c r="G1234" s="17" t="s">
        <v>5221</v>
      </c>
      <c r="H1234" t="s">
        <v>7476</v>
      </c>
      <c r="I1234" s="1">
        <v>2</v>
      </c>
      <c r="J1234" s="1">
        <v>2</v>
      </c>
      <c r="K1234" t="s">
        <v>7354</v>
      </c>
      <c r="L1234" s="5">
        <f>VLOOKUP(D:D,[1]Munka2!$A:$B,2,FALSE)</f>
        <v>1</v>
      </c>
      <c r="M1234" s="5">
        <f>_xlfn.IFNA(Táblázat1[[#This Row],[Kész2020]],0)</f>
        <v>1</v>
      </c>
      <c r="N1234" s="5">
        <f>IF(Táblázat1[[#This Row],[Karb./akt.év]]-Táblázat1[[#This Row],[Kész2020_2]]&lt;0,0,Táblázat1[[#This Row],[Karb./akt.év]]-Táblázat1[[#This Row],[Kész2020_2]])</f>
        <v>1</v>
      </c>
    </row>
    <row r="1235" spans="1:14" hidden="1" x14ac:dyDescent="0.25">
      <c r="A1235" s="17" t="s">
        <v>7299</v>
      </c>
      <c r="B1235" s="17" t="s">
        <v>879</v>
      </c>
      <c r="C1235" s="17" t="s">
        <v>1747</v>
      </c>
      <c r="D1235" s="17" t="s">
        <v>2661</v>
      </c>
      <c r="E1235" s="17" t="s">
        <v>4456</v>
      </c>
      <c r="F1235" s="17" t="s">
        <v>4457</v>
      </c>
      <c r="G1235" s="17" t="s">
        <v>5814</v>
      </c>
      <c r="H1235" t="s">
        <v>7476</v>
      </c>
      <c r="I1235" s="1">
        <v>2</v>
      </c>
      <c r="J1235" s="1">
        <v>2</v>
      </c>
      <c r="K1235" t="s">
        <v>7354</v>
      </c>
      <c r="L1235" s="5">
        <f>VLOOKUP(D:D,[1]Munka2!$A:$B,2,FALSE)</f>
        <v>1</v>
      </c>
      <c r="M1235" s="5">
        <f>_xlfn.IFNA(Táblázat1[[#This Row],[Kész2020]],0)</f>
        <v>1</v>
      </c>
      <c r="N1235" s="5">
        <f>IF(Táblázat1[[#This Row],[Karb./akt.év]]-Táblázat1[[#This Row],[Kész2020_2]]&lt;0,0,Táblázat1[[#This Row],[Karb./akt.év]]-Táblázat1[[#This Row],[Kész2020_2]])</f>
        <v>1</v>
      </c>
    </row>
    <row r="1236" spans="1:14" hidden="1" x14ac:dyDescent="0.25">
      <c r="A1236" s="17" t="s">
        <v>7299</v>
      </c>
      <c r="B1236" s="17" t="s">
        <v>1178</v>
      </c>
      <c r="C1236" s="17" t="s">
        <v>1747</v>
      </c>
      <c r="D1236" s="17" t="s">
        <v>2979</v>
      </c>
      <c r="E1236" s="17" t="s">
        <v>4690</v>
      </c>
      <c r="F1236" s="17" t="s">
        <v>4691</v>
      </c>
      <c r="G1236" s="17" t="s">
        <v>6103</v>
      </c>
      <c r="H1236" t="s">
        <v>7476</v>
      </c>
      <c r="I1236" s="1">
        <v>2</v>
      </c>
      <c r="J1236" s="1">
        <v>2</v>
      </c>
      <c r="K1236" t="s">
        <v>6637</v>
      </c>
      <c r="L1236" s="5">
        <f>VLOOKUP(D:D,[1]Munka2!$A:$B,2,FALSE)</f>
        <v>1</v>
      </c>
      <c r="M1236" s="5">
        <f>_xlfn.IFNA(Táblázat1[[#This Row],[Kész2020]],0)</f>
        <v>1</v>
      </c>
      <c r="N1236" s="5">
        <f>IF(Táblázat1[[#This Row],[Karb./akt.év]]-Táblázat1[[#This Row],[Kész2020_2]]&lt;0,0,Táblázat1[[#This Row],[Karb./akt.év]]-Táblázat1[[#This Row],[Kész2020_2]])</f>
        <v>1</v>
      </c>
    </row>
    <row r="1237" spans="1:14" hidden="1" x14ac:dyDescent="0.25">
      <c r="A1237" s="17" t="s">
        <v>7299</v>
      </c>
      <c r="B1237" s="17" t="s">
        <v>1399</v>
      </c>
      <c r="C1237" s="17" t="s">
        <v>1767</v>
      </c>
      <c r="D1237" s="17" t="s">
        <v>3226</v>
      </c>
      <c r="E1237" s="17" t="s">
        <v>4871</v>
      </c>
      <c r="F1237" s="17" t="s">
        <v>4872</v>
      </c>
      <c r="G1237" s="17" t="s">
        <v>6305</v>
      </c>
      <c r="H1237" t="s">
        <v>7476</v>
      </c>
      <c r="I1237" s="1">
        <v>2</v>
      </c>
      <c r="J1237" s="1">
        <v>2</v>
      </c>
      <c r="K1237" t="s">
        <v>6637</v>
      </c>
      <c r="L1237" s="5">
        <f>VLOOKUP(D:D,[1]Munka2!$A:$B,2,FALSE)</f>
        <v>1</v>
      </c>
      <c r="M1237" s="5">
        <f>_xlfn.IFNA(Táblázat1[[#This Row],[Kész2020]],0)</f>
        <v>1</v>
      </c>
      <c r="N1237" s="5">
        <f>IF(Táblázat1[[#This Row],[Karb./akt.év]]-Táblázat1[[#This Row],[Kész2020_2]]&lt;0,0,Táblázat1[[#This Row],[Karb./akt.év]]-Táblázat1[[#This Row],[Kész2020_2]])</f>
        <v>1</v>
      </c>
    </row>
    <row r="1238" spans="1:14" hidden="1" x14ac:dyDescent="0.25">
      <c r="A1238" s="17" t="s">
        <v>7299</v>
      </c>
      <c r="B1238" s="17" t="s">
        <v>1257</v>
      </c>
      <c r="C1238" s="17" t="s">
        <v>1766</v>
      </c>
      <c r="D1238" s="17" t="s">
        <v>3069</v>
      </c>
      <c r="E1238" s="17" t="s">
        <v>4756</v>
      </c>
      <c r="F1238" s="17" t="s">
        <v>4757</v>
      </c>
      <c r="G1238" s="17" t="s">
        <v>6184</v>
      </c>
      <c r="H1238" t="s">
        <v>7476</v>
      </c>
      <c r="I1238" s="1">
        <v>2</v>
      </c>
      <c r="J1238" s="1">
        <v>2</v>
      </c>
      <c r="K1238" t="s">
        <v>7354</v>
      </c>
      <c r="L1238" s="5">
        <f>VLOOKUP(D:D,[1]Munka2!$A:$B,2,FALSE)</f>
        <v>1</v>
      </c>
      <c r="M1238" s="5">
        <f>_xlfn.IFNA(Táblázat1[[#This Row],[Kész2020]],0)</f>
        <v>1</v>
      </c>
      <c r="N1238" s="5">
        <f>IF(Táblázat1[[#This Row],[Karb./akt.év]]-Táblázat1[[#This Row],[Kész2020_2]]&lt;0,0,Táblázat1[[#This Row],[Karb./akt.év]]-Táblázat1[[#This Row],[Kész2020_2]])</f>
        <v>1</v>
      </c>
    </row>
    <row r="1239" spans="1:14" hidden="1" x14ac:dyDescent="0.25">
      <c r="A1239" s="17" t="s">
        <v>7299</v>
      </c>
      <c r="B1239" s="17" t="s">
        <v>7700</v>
      </c>
      <c r="C1239" s="17" t="s">
        <v>1753</v>
      </c>
      <c r="D1239" s="17" t="s">
        <v>7807</v>
      </c>
      <c r="E1239" s="17" t="s">
        <v>7910</v>
      </c>
      <c r="F1239" s="17" t="s">
        <v>7911</v>
      </c>
      <c r="G1239" s="17" t="s">
        <v>8031</v>
      </c>
      <c r="H1239" t="s">
        <v>7476</v>
      </c>
      <c r="I1239" s="1">
        <v>2</v>
      </c>
      <c r="J1239" s="1">
        <v>2</v>
      </c>
      <c r="K1239" t="s">
        <v>6637</v>
      </c>
      <c r="L1239" s="5">
        <f>VLOOKUP(D:D,[1]Munka2!$A:$B,2,FALSE)</f>
        <v>1</v>
      </c>
      <c r="M1239" s="5">
        <f>_xlfn.IFNA(Táblázat1[[#This Row],[Kész2020]],0)</f>
        <v>1</v>
      </c>
      <c r="N1239" s="5">
        <f>IF(Táblázat1[[#This Row],[Karb./akt.év]]-Táblázat1[[#This Row],[Kész2020_2]]&lt;0,0,Táblázat1[[#This Row],[Karb./akt.év]]-Táblázat1[[#This Row],[Kész2020_2]])</f>
        <v>1</v>
      </c>
    </row>
    <row r="1240" spans="1:14" hidden="1" x14ac:dyDescent="0.25">
      <c r="A1240" s="17" t="s">
        <v>7299</v>
      </c>
      <c r="B1240" s="17" t="s">
        <v>7701</v>
      </c>
      <c r="C1240" s="17" t="s">
        <v>1753</v>
      </c>
      <c r="D1240" s="17" t="s">
        <v>8131</v>
      </c>
      <c r="E1240" s="17" t="s">
        <v>4507</v>
      </c>
      <c r="F1240" s="17" t="s">
        <v>4508</v>
      </c>
      <c r="G1240" s="17" t="s">
        <v>5799</v>
      </c>
      <c r="H1240" t="s">
        <v>7476</v>
      </c>
      <c r="I1240" s="1">
        <v>2</v>
      </c>
      <c r="J1240" s="1">
        <v>2</v>
      </c>
      <c r="K1240" t="s">
        <v>6637</v>
      </c>
      <c r="L1240" s="5">
        <f>VLOOKUP(D:D,[1]Munka2!$A:$B,2,FALSE)</f>
        <v>1</v>
      </c>
      <c r="M1240" s="5">
        <f>_xlfn.IFNA(Táblázat1[[#This Row],[Kész2020]],0)</f>
        <v>1</v>
      </c>
      <c r="N1240" s="5">
        <f>IF(Táblázat1[[#This Row],[Karb./akt.év]]-Táblázat1[[#This Row],[Kész2020_2]]&lt;0,0,Táblázat1[[#This Row],[Karb./akt.év]]-Táblázat1[[#This Row],[Kész2020_2]])</f>
        <v>1</v>
      </c>
    </row>
    <row r="1241" spans="1:14" hidden="1" x14ac:dyDescent="0.25">
      <c r="A1241" s="17" t="s">
        <v>7299</v>
      </c>
      <c r="B1241" s="17" t="s">
        <v>7702</v>
      </c>
      <c r="C1241" s="17" t="s">
        <v>1753</v>
      </c>
      <c r="D1241" s="17" t="s">
        <v>8132</v>
      </c>
      <c r="E1241" s="17" t="s">
        <v>7912</v>
      </c>
      <c r="F1241" s="17" t="s">
        <v>7913</v>
      </c>
      <c r="G1241" s="17" t="s">
        <v>8032</v>
      </c>
      <c r="H1241" t="s">
        <v>7476</v>
      </c>
      <c r="I1241" s="1">
        <v>2</v>
      </c>
      <c r="J1241" s="1">
        <v>2</v>
      </c>
      <c r="K1241" t="s">
        <v>6637</v>
      </c>
      <c r="L1241" s="5">
        <f>VLOOKUP(D:D,[1]Munka2!$A:$B,2,FALSE)</f>
        <v>1</v>
      </c>
      <c r="M1241" s="5">
        <f>_xlfn.IFNA(Táblázat1[[#This Row],[Kész2020]],0)</f>
        <v>1</v>
      </c>
      <c r="N1241" s="5">
        <f>IF(Táblázat1[[#This Row],[Karb./akt.év]]-Táblázat1[[#This Row],[Kész2020_2]]&lt;0,0,Táblázat1[[#This Row],[Karb./akt.év]]-Táblázat1[[#This Row],[Kész2020_2]])</f>
        <v>1</v>
      </c>
    </row>
    <row r="1242" spans="1:14" hidden="1" x14ac:dyDescent="0.25">
      <c r="A1242" s="17" t="s">
        <v>7299</v>
      </c>
      <c r="B1242" s="17" t="s">
        <v>7703</v>
      </c>
      <c r="C1242" s="17" t="s">
        <v>1768</v>
      </c>
      <c r="D1242" s="17" t="s">
        <v>7808</v>
      </c>
      <c r="E1242" s="17" t="s">
        <v>7914</v>
      </c>
      <c r="F1242" s="17" t="s">
        <v>7915</v>
      </c>
      <c r="G1242" s="17" t="s">
        <v>8033</v>
      </c>
      <c r="H1242" t="s">
        <v>7476</v>
      </c>
      <c r="I1242" s="1">
        <v>2</v>
      </c>
      <c r="J1242" s="1">
        <v>2</v>
      </c>
      <c r="K1242" t="s">
        <v>6637</v>
      </c>
      <c r="L1242" s="5">
        <f>VLOOKUP(D:D,[1]Munka2!$A:$B,2,FALSE)</f>
        <v>1</v>
      </c>
      <c r="M1242" s="5">
        <f>_xlfn.IFNA(Táblázat1[[#This Row],[Kész2020]],0)</f>
        <v>1</v>
      </c>
      <c r="N1242" s="5">
        <f>IF(Táblázat1[[#This Row],[Karb./akt.év]]-Táblázat1[[#This Row],[Kész2020_2]]&lt;0,0,Táblázat1[[#This Row],[Karb./akt.év]]-Táblázat1[[#This Row],[Kész2020_2]])</f>
        <v>1</v>
      </c>
    </row>
    <row r="1243" spans="1:14" hidden="1" x14ac:dyDescent="0.25">
      <c r="A1243" s="17" t="s">
        <v>7299</v>
      </c>
      <c r="B1243" s="17" t="s">
        <v>7704</v>
      </c>
      <c r="C1243" s="17" t="s">
        <v>1753</v>
      </c>
      <c r="D1243" s="17" t="s">
        <v>7809</v>
      </c>
      <c r="E1243" s="17" t="s">
        <v>7916</v>
      </c>
      <c r="F1243" s="17" t="s">
        <v>7917</v>
      </c>
      <c r="G1243" s="17" t="s">
        <v>8034</v>
      </c>
      <c r="H1243" t="s">
        <v>7476</v>
      </c>
      <c r="I1243" s="1">
        <v>2</v>
      </c>
      <c r="J1243" s="1">
        <v>2</v>
      </c>
      <c r="K1243" t="s">
        <v>6637</v>
      </c>
      <c r="L1243" s="5">
        <f>VLOOKUP(D:D,[1]Munka2!$A:$B,2,FALSE)</f>
        <v>1</v>
      </c>
      <c r="M1243" s="5">
        <f>_xlfn.IFNA(Táblázat1[[#This Row],[Kész2020]],0)</f>
        <v>1</v>
      </c>
      <c r="N1243" s="5">
        <f>IF(Táblázat1[[#This Row],[Karb./akt.év]]-Táblázat1[[#This Row],[Kész2020_2]]&lt;0,0,Táblázat1[[#This Row],[Karb./akt.év]]-Táblázat1[[#This Row],[Kész2020_2]])</f>
        <v>1</v>
      </c>
    </row>
    <row r="1244" spans="1:14" x14ac:dyDescent="0.25">
      <c r="A1244" s="17" t="s">
        <v>7299</v>
      </c>
      <c r="B1244" s="17" t="s">
        <v>7705</v>
      </c>
      <c r="C1244" s="17" t="s">
        <v>1768</v>
      </c>
      <c r="D1244" s="17" t="s">
        <v>7810</v>
      </c>
      <c r="E1244" s="17" t="s">
        <v>7918</v>
      </c>
      <c r="F1244" s="17" t="s">
        <v>7919</v>
      </c>
      <c r="G1244" s="17" t="s">
        <v>6162</v>
      </c>
      <c r="H1244" t="s">
        <v>7476</v>
      </c>
      <c r="I1244" s="1">
        <v>2</v>
      </c>
      <c r="J1244" s="1">
        <v>2</v>
      </c>
      <c r="K1244" t="s">
        <v>6637</v>
      </c>
      <c r="L1244" s="5" t="e">
        <f>VLOOKUP(D:D,[1]Munka2!$A:$B,2,FALSE)</f>
        <v>#N/A</v>
      </c>
      <c r="M1244" s="5">
        <f>_xlfn.IFNA(Táblázat1[[#This Row],[Kész2020]],0)</f>
        <v>0</v>
      </c>
      <c r="N1244" s="5">
        <f>IF(Táblázat1[[#This Row],[Karb./akt.év]]-Táblázat1[[#This Row],[Kész2020_2]]&lt;0,0,Táblázat1[[#This Row],[Karb./akt.év]]-Táblázat1[[#This Row],[Kész2020_2]])</f>
        <v>2</v>
      </c>
    </row>
    <row r="1245" spans="1:14" hidden="1" x14ac:dyDescent="0.25">
      <c r="A1245" s="17" t="s">
        <v>7299</v>
      </c>
      <c r="B1245" s="17" t="s">
        <v>7706</v>
      </c>
      <c r="C1245" s="17" t="s">
        <v>1753</v>
      </c>
      <c r="D1245" s="17" t="s">
        <v>8133</v>
      </c>
      <c r="E1245" s="17" t="s">
        <v>7920</v>
      </c>
      <c r="F1245" s="17" t="s">
        <v>7921</v>
      </c>
      <c r="G1245" s="17" t="s">
        <v>8035</v>
      </c>
      <c r="H1245" t="s">
        <v>7476</v>
      </c>
      <c r="I1245" s="1">
        <v>2</v>
      </c>
      <c r="J1245" s="1">
        <v>2</v>
      </c>
      <c r="K1245" t="s">
        <v>6637</v>
      </c>
      <c r="L1245" s="5">
        <f>VLOOKUP(D:D,[1]Munka2!$A:$B,2,FALSE)</f>
        <v>1</v>
      </c>
      <c r="M1245" s="5">
        <f>_xlfn.IFNA(Táblázat1[[#This Row],[Kész2020]],0)</f>
        <v>1</v>
      </c>
      <c r="N1245" s="5">
        <f>IF(Táblázat1[[#This Row],[Karb./akt.év]]-Táblázat1[[#This Row],[Kész2020_2]]&lt;0,0,Táblázat1[[#This Row],[Karb./akt.év]]-Táblázat1[[#This Row],[Kész2020_2]])</f>
        <v>1</v>
      </c>
    </row>
    <row r="1246" spans="1:14" hidden="1" x14ac:dyDescent="0.25">
      <c r="A1246" s="17" t="s">
        <v>7299</v>
      </c>
      <c r="B1246" s="17" t="s">
        <v>7284</v>
      </c>
      <c r="C1246" s="17" t="s">
        <v>1735</v>
      </c>
      <c r="D1246" s="17" t="s">
        <v>7314</v>
      </c>
      <c r="E1246" s="17" t="s">
        <v>3667</v>
      </c>
      <c r="F1246" s="17" t="s">
        <v>3668</v>
      </c>
      <c r="G1246" s="17" t="s">
        <v>7345</v>
      </c>
      <c r="H1246" t="s">
        <v>7476</v>
      </c>
      <c r="I1246" s="1">
        <v>2</v>
      </c>
      <c r="J1246" s="1">
        <v>2</v>
      </c>
      <c r="K1246" t="s">
        <v>6637</v>
      </c>
      <c r="L1246" s="5">
        <f>VLOOKUP(D:D,[1]Munka2!$A:$B,2,FALSE)</f>
        <v>1</v>
      </c>
      <c r="M1246" s="5">
        <f>_xlfn.IFNA(Táblázat1[[#This Row],[Kész2020]],0)</f>
        <v>1</v>
      </c>
      <c r="N1246" s="5">
        <f>IF(Táblázat1[[#This Row],[Karb./akt.év]]-Táblázat1[[#This Row],[Kész2020_2]]&lt;0,0,Táblázat1[[#This Row],[Karb./akt.év]]-Táblázat1[[#This Row],[Kész2020_2]])</f>
        <v>1</v>
      </c>
    </row>
    <row r="1247" spans="1:14" hidden="1" x14ac:dyDescent="0.25">
      <c r="A1247" s="17" t="s">
        <v>7299</v>
      </c>
      <c r="B1247" s="17" t="s">
        <v>7707</v>
      </c>
      <c r="C1247" s="17" t="s">
        <v>1753</v>
      </c>
      <c r="D1247" s="17" t="s">
        <v>7811</v>
      </c>
      <c r="E1247" s="17" t="s">
        <v>3811</v>
      </c>
      <c r="F1247" s="17" t="s">
        <v>3812</v>
      </c>
      <c r="G1247" s="17" t="s">
        <v>8036</v>
      </c>
      <c r="H1247" t="s">
        <v>7476</v>
      </c>
      <c r="I1247" s="1">
        <v>2</v>
      </c>
      <c r="J1247" s="1">
        <v>2</v>
      </c>
      <c r="K1247" t="s">
        <v>6637</v>
      </c>
      <c r="L1247" s="5">
        <f>VLOOKUP(D:D,[1]Munka2!$A:$B,2,FALSE)</f>
        <v>1</v>
      </c>
      <c r="M1247" s="5">
        <f>_xlfn.IFNA(Táblázat1[[#This Row],[Kész2020]],0)</f>
        <v>1</v>
      </c>
      <c r="N1247" s="5">
        <f>IF(Táblázat1[[#This Row],[Karb./akt.év]]-Táblázat1[[#This Row],[Kész2020_2]]&lt;0,0,Táblázat1[[#This Row],[Karb./akt.év]]-Táblázat1[[#This Row],[Kész2020_2]])</f>
        <v>1</v>
      </c>
    </row>
    <row r="1248" spans="1:14" x14ac:dyDescent="0.25">
      <c r="A1248" s="17" t="s">
        <v>7299</v>
      </c>
      <c r="B1248" s="17" t="s">
        <v>7708</v>
      </c>
      <c r="C1248" s="17" t="s">
        <v>1754</v>
      </c>
      <c r="D1248" s="17" t="s">
        <v>7812</v>
      </c>
      <c r="E1248" s="17" t="s">
        <v>7922</v>
      </c>
      <c r="F1248" s="17" t="s">
        <v>7923</v>
      </c>
      <c r="G1248" s="17" t="s">
        <v>8037</v>
      </c>
      <c r="H1248" t="s">
        <v>7476</v>
      </c>
      <c r="I1248" s="1">
        <v>2</v>
      </c>
      <c r="J1248" s="1">
        <v>2</v>
      </c>
      <c r="K1248" t="s">
        <v>6637</v>
      </c>
      <c r="L1248" s="5" t="e">
        <f>VLOOKUP(D:D,[1]Munka2!$A:$B,2,FALSE)</f>
        <v>#N/A</v>
      </c>
      <c r="M1248" s="5">
        <f>_xlfn.IFNA(Táblázat1[[#This Row],[Kész2020]],0)</f>
        <v>0</v>
      </c>
      <c r="N1248" s="5">
        <f>IF(Táblázat1[[#This Row],[Karb./akt.év]]-Táblázat1[[#This Row],[Kész2020_2]]&lt;0,0,Táblázat1[[#This Row],[Karb./akt.év]]-Táblázat1[[#This Row],[Kész2020_2]])</f>
        <v>2</v>
      </c>
    </row>
    <row r="1249" spans="1:14" hidden="1" x14ac:dyDescent="0.25">
      <c r="A1249" s="17" t="s">
        <v>7299</v>
      </c>
      <c r="B1249" s="17" t="s">
        <v>7709</v>
      </c>
      <c r="C1249" s="17" t="s">
        <v>1737</v>
      </c>
      <c r="D1249" s="17" t="s">
        <v>7813</v>
      </c>
      <c r="E1249" s="17" t="s">
        <v>3667</v>
      </c>
      <c r="F1249" s="17" t="s">
        <v>3668</v>
      </c>
      <c r="G1249" s="17" t="s">
        <v>8038</v>
      </c>
      <c r="H1249" t="s">
        <v>7476</v>
      </c>
      <c r="I1249" s="1">
        <v>2</v>
      </c>
      <c r="J1249" s="1">
        <v>2</v>
      </c>
      <c r="K1249" t="s">
        <v>6637</v>
      </c>
      <c r="L1249" s="5">
        <f>VLOOKUP(D:D,[1]Munka2!$A:$B,2,FALSE)</f>
        <v>1</v>
      </c>
      <c r="M1249" s="5">
        <f>_xlfn.IFNA(Táblázat1[[#This Row],[Kész2020]],0)</f>
        <v>1</v>
      </c>
      <c r="N1249" s="5">
        <f>IF(Táblázat1[[#This Row],[Karb./akt.év]]-Táblázat1[[#This Row],[Kész2020_2]]&lt;0,0,Táblázat1[[#This Row],[Karb./akt.év]]-Táblázat1[[#This Row],[Kész2020_2]])</f>
        <v>1</v>
      </c>
    </row>
    <row r="1250" spans="1:14" x14ac:dyDescent="0.25">
      <c r="A1250" s="17" t="s">
        <v>7299</v>
      </c>
      <c r="B1250" s="17" t="s">
        <v>7710</v>
      </c>
      <c r="C1250" s="17" t="s">
        <v>1735</v>
      </c>
      <c r="D1250" s="17" t="s">
        <v>7814</v>
      </c>
      <c r="E1250" s="17" t="s">
        <v>3667</v>
      </c>
      <c r="F1250" s="17" t="s">
        <v>3668</v>
      </c>
      <c r="G1250" s="17" t="s">
        <v>8039</v>
      </c>
      <c r="H1250" t="s">
        <v>7476</v>
      </c>
      <c r="I1250" s="1">
        <v>2</v>
      </c>
      <c r="J1250" s="1">
        <v>2</v>
      </c>
      <c r="K1250" t="s">
        <v>6637</v>
      </c>
      <c r="L1250" s="5" t="e">
        <f>VLOOKUP(D:D,[1]Munka2!$A:$B,2,FALSE)</f>
        <v>#N/A</v>
      </c>
      <c r="M1250" s="5">
        <f>_xlfn.IFNA(Táblázat1[[#This Row],[Kész2020]],0)</f>
        <v>0</v>
      </c>
      <c r="N1250" s="5">
        <f>IF(Táblázat1[[#This Row],[Karb./akt.év]]-Táblázat1[[#This Row],[Kész2020_2]]&lt;0,0,Táblázat1[[#This Row],[Karb./akt.év]]-Táblázat1[[#This Row],[Kész2020_2]])</f>
        <v>2</v>
      </c>
    </row>
    <row r="1251" spans="1:14" hidden="1" x14ac:dyDescent="0.25">
      <c r="A1251" s="17" t="s">
        <v>7299</v>
      </c>
      <c r="B1251" s="17" t="s">
        <v>7711</v>
      </c>
      <c r="C1251" s="17" t="s">
        <v>1735</v>
      </c>
      <c r="D1251" s="17" t="s">
        <v>7815</v>
      </c>
      <c r="E1251" s="17" t="s">
        <v>7924</v>
      </c>
      <c r="F1251" s="17" t="s">
        <v>7925</v>
      </c>
      <c r="G1251" s="17" t="s">
        <v>8040</v>
      </c>
      <c r="H1251" t="s">
        <v>7476</v>
      </c>
      <c r="I1251" s="1">
        <v>2</v>
      </c>
      <c r="J1251" s="1">
        <v>2</v>
      </c>
      <c r="K1251" t="s">
        <v>6640</v>
      </c>
      <c r="L1251" s="5">
        <f>VLOOKUP(D:D,[1]Munka2!$A:$B,2,FALSE)</f>
        <v>1</v>
      </c>
      <c r="M1251" s="5">
        <f>_xlfn.IFNA(Táblázat1[[#This Row],[Kész2020]],0)</f>
        <v>1</v>
      </c>
      <c r="N1251" s="5">
        <f>IF(Táblázat1[[#This Row],[Karb./akt.év]]-Táblázat1[[#This Row],[Kész2020_2]]&lt;0,0,Táblázat1[[#This Row],[Karb./akt.év]]-Táblázat1[[#This Row],[Kész2020_2]])</f>
        <v>1</v>
      </c>
    </row>
    <row r="1252" spans="1:14" hidden="1" x14ac:dyDescent="0.25">
      <c r="A1252" s="17" t="s">
        <v>7299</v>
      </c>
      <c r="B1252" s="17" t="s">
        <v>1573</v>
      </c>
      <c r="C1252" s="17" t="s">
        <v>1746</v>
      </c>
      <c r="D1252" s="17" t="s">
        <v>3419</v>
      </c>
      <c r="E1252" s="17" t="s">
        <v>4951</v>
      </c>
      <c r="F1252" s="17" t="s">
        <v>4952</v>
      </c>
      <c r="G1252" s="17" t="s">
        <v>7626</v>
      </c>
      <c r="H1252" t="s">
        <v>7476</v>
      </c>
      <c r="I1252" s="1">
        <v>2</v>
      </c>
      <c r="J1252" s="1">
        <v>2</v>
      </c>
      <c r="K1252" t="s">
        <v>6638</v>
      </c>
      <c r="L1252" s="5">
        <f>VLOOKUP(D:D,[1]Munka2!$A:$B,2,FALSE)</f>
        <v>1</v>
      </c>
      <c r="M1252" s="5">
        <f>_xlfn.IFNA(Táblázat1[[#This Row],[Kész2020]],0)</f>
        <v>1</v>
      </c>
      <c r="N1252" s="5">
        <f>IF(Táblázat1[[#This Row],[Karb./akt.év]]-Táblázat1[[#This Row],[Kész2020_2]]&lt;0,0,Táblázat1[[#This Row],[Karb./akt.év]]-Táblázat1[[#This Row],[Kész2020_2]])</f>
        <v>1</v>
      </c>
    </row>
    <row r="1253" spans="1:14" hidden="1" x14ac:dyDescent="0.25">
      <c r="A1253" s="17" t="s">
        <v>7299</v>
      </c>
      <c r="B1253" s="17" t="s">
        <v>928</v>
      </c>
      <c r="C1253" s="17" t="s">
        <v>1757</v>
      </c>
      <c r="D1253" s="17" t="s">
        <v>2711</v>
      </c>
      <c r="E1253" s="17" t="s">
        <v>4521</v>
      </c>
      <c r="F1253" s="17" t="s">
        <v>4522</v>
      </c>
      <c r="G1253" s="17" t="s">
        <v>5854</v>
      </c>
      <c r="H1253" t="s">
        <v>7476</v>
      </c>
      <c r="I1253" s="1">
        <v>2</v>
      </c>
      <c r="J1253" s="1">
        <v>2</v>
      </c>
      <c r="K1253" t="s">
        <v>6638</v>
      </c>
      <c r="L1253" s="5">
        <f>VLOOKUP(D:D,[1]Munka2!$A:$B,2,FALSE)</f>
        <v>1</v>
      </c>
      <c r="M1253" s="5">
        <f>_xlfn.IFNA(Táblázat1[[#This Row],[Kész2020]],0)</f>
        <v>1</v>
      </c>
      <c r="N1253" s="5">
        <f>IF(Táblázat1[[#This Row],[Karb./akt.év]]-Táblázat1[[#This Row],[Kész2020_2]]&lt;0,0,Táblázat1[[#This Row],[Karb./akt.év]]-Táblázat1[[#This Row],[Kész2020_2]])</f>
        <v>1</v>
      </c>
    </row>
    <row r="1254" spans="1:14" hidden="1" x14ac:dyDescent="0.25">
      <c r="A1254" s="17" t="s">
        <v>7299</v>
      </c>
      <c r="B1254" s="17" t="s">
        <v>929</v>
      </c>
      <c r="C1254" s="17" t="s">
        <v>1757</v>
      </c>
      <c r="D1254" s="17" t="s">
        <v>2712</v>
      </c>
      <c r="E1254" s="17" t="s">
        <v>4523</v>
      </c>
      <c r="F1254" s="17" t="s">
        <v>4524</v>
      </c>
      <c r="G1254" s="17" t="s">
        <v>5855</v>
      </c>
      <c r="H1254" t="s">
        <v>7476</v>
      </c>
      <c r="I1254" s="1">
        <v>2</v>
      </c>
      <c r="J1254" s="1">
        <v>2</v>
      </c>
      <c r="K1254" t="s">
        <v>6638</v>
      </c>
      <c r="L1254" s="5">
        <f>VLOOKUP(D:D,[1]Munka2!$A:$B,2,FALSE)</f>
        <v>1</v>
      </c>
      <c r="M1254" s="5">
        <f>_xlfn.IFNA(Táblázat1[[#This Row],[Kész2020]],0)</f>
        <v>1</v>
      </c>
      <c r="N1254" s="5">
        <f>IF(Táblázat1[[#This Row],[Karb./akt.év]]-Táblázat1[[#This Row],[Kész2020_2]]&lt;0,0,Táblázat1[[#This Row],[Karb./akt.év]]-Táblázat1[[#This Row],[Kész2020_2]])</f>
        <v>1</v>
      </c>
    </row>
    <row r="1255" spans="1:14" hidden="1" x14ac:dyDescent="0.25">
      <c r="A1255" s="17" t="s">
        <v>7299</v>
      </c>
      <c r="B1255" s="17" t="s">
        <v>930</v>
      </c>
      <c r="C1255" s="17" t="s">
        <v>1746</v>
      </c>
      <c r="D1255" s="17" t="s">
        <v>2713</v>
      </c>
      <c r="E1255" s="17" t="s">
        <v>4525</v>
      </c>
      <c r="F1255" s="17" t="s">
        <v>4526</v>
      </c>
      <c r="G1255" s="17" t="s">
        <v>7627</v>
      </c>
      <c r="H1255" t="s">
        <v>7476</v>
      </c>
      <c r="I1255" s="1">
        <v>2</v>
      </c>
      <c r="J1255" s="1">
        <v>2</v>
      </c>
      <c r="K1255" t="s">
        <v>6638</v>
      </c>
      <c r="L1255" s="5">
        <f>VLOOKUP(D:D,[1]Munka2!$A:$B,2,FALSE)</f>
        <v>1</v>
      </c>
      <c r="M1255" s="5">
        <f>_xlfn.IFNA(Táblázat1[[#This Row],[Kész2020]],0)</f>
        <v>1</v>
      </c>
      <c r="N1255" s="5">
        <f>IF(Táblázat1[[#This Row],[Karb./akt.év]]-Táblázat1[[#This Row],[Kész2020_2]]&lt;0,0,Táblázat1[[#This Row],[Karb./akt.év]]-Táblázat1[[#This Row],[Kész2020_2]])</f>
        <v>1</v>
      </c>
    </row>
    <row r="1256" spans="1:14" hidden="1" x14ac:dyDescent="0.25">
      <c r="A1256" s="17" t="s">
        <v>7299</v>
      </c>
      <c r="B1256" s="17" t="s">
        <v>965</v>
      </c>
      <c r="C1256" s="17" t="s">
        <v>1746</v>
      </c>
      <c r="D1256" s="17" t="s">
        <v>2751</v>
      </c>
      <c r="E1256" s="17" t="s">
        <v>4546</v>
      </c>
      <c r="F1256" s="17" t="s">
        <v>4547</v>
      </c>
      <c r="G1256" s="17" t="s">
        <v>7628</v>
      </c>
      <c r="H1256" t="s">
        <v>7476</v>
      </c>
      <c r="I1256" s="1">
        <v>2</v>
      </c>
      <c r="J1256" s="1">
        <v>2</v>
      </c>
      <c r="K1256" t="s">
        <v>6638</v>
      </c>
      <c r="L1256" s="5">
        <f>VLOOKUP(D:D,[1]Munka2!$A:$B,2,FALSE)</f>
        <v>1</v>
      </c>
      <c r="M1256" s="5">
        <f>_xlfn.IFNA(Táblázat1[[#This Row],[Kész2020]],0)</f>
        <v>1</v>
      </c>
      <c r="N1256" s="5">
        <f>IF(Táblázat1[[#This Row],[Karb./akt.év]]-Táblázat1[[#This Row],[Kész2020_2]]&lt;0,0,Táblázat1[[#This Row],[Karb./akt.év]]-Táblázat1[[#This Row],[Kész2020_2]])</f>
        <v>1</v>
      </c>
    </row>
    <row r="1257" spans="1:14" hidden="1" x14ac:dyDescent="0.25">
      <c r="A1257" s="17" t="s">
        <v>7299</v>
      </c>
      <c r="B1257" s="17" t="s">
        <v>7712</v>
      </c>
      <c r="C1257" s="17" t="s">
        <v>1753</v>
      </c>
      <c r="D1257" s="17" t="s">
        <v>7816</v>
      </c>
      <c r="E1257" s="17" t="s">
        <v>7926</v>
      </c>
      <c r="F1257" s="17" t="s">
        <v>7927</v>
      </c>
      <c r="G1257" s="17" t="s">
        <v>8041</v>
      </c>
      <c r="H1257" t="s">
        <v>7476</v>
      </c>
      <c r="I1257" s="1">
        <v>2</v>
      </c>
      <c r="J1257" s="1">
        <v>2</v>
      </c>
      <c r="K1257" t="s">
        <v>6638</v>
      </c>
      <c r="L1257" s="5">
        <f>VLOOKUP(D:D,[1]Munka2!$A:$B,2,FALSE)</f>
        <v>1</v>
      </c>
      <c r="M1257" s="5">
        <f>_xlfn.IFNA(Táblázat1[[#This Row],[Kész2020]],0)</f>
        <v>1</v>
      </c>
      <c r="N1257" s="5">
        <f>IF(Táblázat1[[#This Row],[Karb./akt.év]]-Táblázat1[[#This Row],[Kész2020_2]]&lt;0,0,Táblázat1[[#This Row],[Karb./akt.év]]-Táblázat1[[#This Row],[Kész2020_2]])</f>
        <v>1</v>
      </c>
    </row>
    <row r="1258" spans="1:14" hidden="1" x14ac:dyDescent="0.25">
      <c r="A1258" s="17" t="s">
        <v>7299</v>
      </c>
      <c r="B1258" s="17" t="s">
        <v>7713</v>
      </c>
      <c r="C1258" s="17" t="s">
        <v>1753</v>
      </c>
      <c r="D1258" s="17" t="s">
        <v>7817</v>
      </c>
      <c r="E1258" s="17" t="s">
        <v>7928</v>
      </c>
      <c r="F1258" s="17" t="s">
        <v>7929</v>
      </c>
      <c r="G1258" s="17" t="s">
        <v>8042</v>
      </c>
      <c r="H1258" t="s">
        <v>7476</v>
      </c>
      <c r="I1258" s="1">
        <v>2</v>
      </c>
      <c r="J1258" s="1">
        <v>2</v>
      </c>
      <c r="K1258" t="s">
        <v>6638</v>
      </c>
      <c r="L1258" s="5">
        <f>VLOOKUP(D:D,[1]Munka2!$A:$B,2,FALSE)</f>
        <v>1</v>
      </c>
      <c r="M1258" s="5">
        <f>_xlfn.IFNA(Táblázat1[[#This Row],[Kész2020]],0)</f>
        <v>1</v>
      </c>
      <c r="N1258" s="5">
        <f>IF(Táblázat1[[#This Row],[Karb./akt.év]]-Táblázat1[[#This Row],[Kész2020_2]]&lt;0,0,Táblázat1[[#This Row],[Karb./akt.év]]-Táblázat1[[#This Row],[Kész2020_2]])</f>
        <v>1</v>
      </c>
    </row>
    <row r="1259" spans="1:14" hidden="1" x14ac:dyDescent="0.25">
      <c r="A1259" s="17" t="s">
        <v>7299</v>
      </c>
      <c r="B1259" s="17" t="s">
        <v>7714</v>
      </c>
      <c r="C1259" s="17" t="s">
        <v>1753</v>
      </c>
      <c r="D1259" s="17" t="s">
        <v>7818</v>
      </c>
      <c r="E1259" s="17" t="s">
        <v>7930</v>
      </c>
      <c r="F1259" s="17" t="s">
        <v>7931</v>
      </c>
      <c r="G1259" s="17" t="s">
        <v>8043</v>
      </c>
      <c r="H1259" t="s">
        <v>7476</v>
      </c>
      <c r="I1259" s="1">
        <v>2</v>
      </c>
      <c r="J1259" s="1">
        <v>2</v>
      </c>
      <c r="K1259" t="s">
        <v>6638</v>
      </c>
      <c r="L1259" s="5">
        <f>VLOOKUP(D:D,[1]Munka2!$A:$B,2,FALSE)</f>
        <v>1</v>
      </c>
      <c r="M1259" s="5">
        <f>_xlfn.IFNA(Táblázat1[[#This Row],[Kész2020]],0)</f>
        <v>1</v>
      </c>
      <c r="N1259" s="5">
        <f>IF(Táblázat1[[#This Row],[Karb./akt.év]]-Táblázat1[[#This Row],[Kész2020_2]]&lt;0,0,Táblázat1[[#This Row],[Karb./akt.év]]-Táblázat1[[#This Row],[Kész2020_2]])</f>
        <v>1</v>
      </c>
    </row>
    <row r="1260" spans="1:14" hidden="1" x14ac:dyDescent="0.25">
      <c r="A1260" s="17" t="s">
        <v>7299</v>
      </c>
      <c r="B1260" s="17" t="s">
        <v>700</v>
      </c>
      <c r="C1260" s="17" t="s">
        <v>1746</v>
      </c>
      <c r="D1260" s="17" t="s">
        <v>2475</v>
      </c>
      <c r="E1260" s="17" t="s">
        <v>4302</v>
      </c>
      <c r="F1260" s="17" t="s">
        <v>4303</v>
      </c>
      <c r="G1260" s="17" t="s">
        <v>7629</v>
      </c>
      <c r="H1260" t="s">
        <v>7476</v>
      </c>
      <c r="I1260" s="1">
        <v>2</v>
      </c>
      <c r="J1260" s="1">
        <v>2</v>
      </c>
      <c r="K1260" t="s">
        <v>6638</v>
      </c>
      <c r="L1260" s="5">
        <f>VLOOKUP(D:D,[1]Munka2!$A:$B,2,FALSE)</f>
        <v>1</v>
      </c>
      <c r="M1260" s="5">
        <f>_xlfn.IFNA(Táblázat1[[#This Row],[Kész2020]],0)</f>
        <v>1</v>
      </c>
      <c r="N1260" s="5">
        <f>IF(Táblázat1[[#This Row],[Karb./akt.év]]-Táblázat1[[#This Row],[Kész2020_2]]&lt;0,0,Táblázat1[[#This Row],[Karb./akt.év]]-Táblázat1[[#This Row],[Kész2020_2]])</f>
        <v>1</v>
      </c>
    </row>
    <row r="1261" spans="1:14" x14ac:dyDescent="0.25">
      <c r="A1261" s="17" t="s">
        <v>7299</v>
      </c>
      <c r="B1261" s="17" t="s">
        <v>7715</v>
      </c>
      <c r="C1261" s="17" t="s">
        <v>1753</v>
      </c>
      <c r="D1261" s="17" t="s">
        <v>7819</v>
      </c>
      <c r="E1261" s="17" t="s">
        <v>4308</v>
      </c>
      <c r="F1261" s="17" t="s">
        <v>3664</v>
      </c>
      <c r="G1261" s="17" t="s">
        <v>7346</v>
      </c>
      <c r="H1261" t="s">
        <v>7476</v>
      </c>
      <c r="I1261" s="1">
        <v>2</v>
      </c>
      <c r="J1261" s="1">
        <v>2</v>
      </c>
      <c r="K1261" t="s">
        <v>6638</v>
      </c>
      <c r="L1261" s="5" t="e">
        <f>VLOOKUP(D:D,[1]Munka2!$A:$B,2,FALSE)</f>
        <v>#N/A</v>
      </c>
      <c r="M1261" s="5">
        <f>_xlfn.IFNA(Táblázat1[[#This Row],[Kész2020]],0)</f>
        <v>0</v>
      </c>
      <c r="N1261" s="5">
        <f>IF(Táblázat1[[#This Row],[Karb./akt.év]]-Táblázat1[[#This Row],[Kész2020_2]]&lt;0,0,Táblázat1[[#This Row],[Karb./akt.év]]-Táblázat1[[#This Row],[Kész2020_2]])</f>
        <v>2</v>
      </c>
    </row>
    <row r="1262" spans="1:14" hidden="1" x14ac:dyDescent="0.25">
      <c r="A1262" s="17" t="s">
        <v>7299</v>
      </c>
      <c r="B1262" s="17" t="s">
        <v>7716</v>
      </c>
      <c r="C1262" s="17" t="s">
        <v>1753</v>
      </c>
      <c r="D1262" s="17" t="s">
        <v>7820</v>
      </c>
      <c r="E1262" s="17" t="s">
        <v>7932</v>
      </c>
      <c r="F1262" s="17" t="s">
        <v>7933</v>
      </c>
      <c r="G1262" s="17" t="s">
        <v>5090</v>
      </c>
      <c r="H1262" t="s">
        <v>7476</v>
      </c>
      <c r="I1262" s="1">
        <v>2</v>
      </c>
      <c r="J1262" s="1">
        <v>2</v>
      </c>
      <c r="K1262" t="s">
        <v>6638</v>
      </c>
      <c r="L1262" s="5">
        <f>VLOOKUP(D:D,[1]Munka2!$A:$B,2,FALSE)</f>
        <v>1</v>
      </c>
      <c r="M1262" s="5">
        <f>_xlfn.IFNA(Táblázat1[[#This Row],[Kész2020]],0)</f>
        <v>1</v>
      </c>
      <c r="N1262" s="5">
        <f>IF(Táblázat1[[#This Row],[Karb./akt.év]]-Táblázat1[[#This Row],[Kész2020_2]]&lt;0,0,Táblázat1[[#This Row],[Karb./akt.év]]-Táblázat1[[#This Row],[Kész2020_2]])</f>
        <v>1</v>
      </c>
    </row>
    <row r="1263" spans="1:14" hidden="1" x14ac:dyDescent="0.25">
      <c r="A1263" s="17" t="s">
        <v>7299</v>
      </c>
      <c r="B1263" s="17" t="s">
        <v>7717</v>
      </c>
      <c r="C1263" s="17" t="s">
        <v>1753</v>
      </c>
      <c r="D1263" s="17" t="s">
        <v>7821</v>
      </c>
      <c r="E1263" s="17" t="s">
        <v>7934</v>
      </c>
      <c r="F1263" s="17" t="s">
        <v>7935</v>
      </c>
      <c r="G1263" s="17" t="s">
        <v>8044</v>
      </c>
      <c r="H1263" t="s">
        <v>7476</v>
      </c>
      <c r="I1263" s="1">
        <v>2</v>
      </c>
      <c r="J1263" s="1">
        <v>2</v>
      </c>
      <c r="K1263" t="s">
        <v>6638</v>
      </c>
      <c r="L1263" s="5">
        <f>VLOOKUP(D:D,[1]Munka2!$A:$B,2,FALSE)</f>
        <v>1</v>
      </c>
      <c r="M1263" s="5">
        <f>_xlfn.IFNA(Táblázat1[[#This Row],[Kész2020]],0)</f>
        <v>1</v>
      </c>
      <c r="N1263" s="5">
        <f>IF(Táblázat1[[#This Row],[Karb./akt.év]]-Táblázat1[[#This Row],[Kész2020_2]]&lt;0,0,Táblázat1[[#This Row],[Karb./akt.év]]-Táblázat1[[#This Row],[Kész2020_2]])</f>
        <v>1</v>
      </c>
    </row>
    <row r="1264" spans="1:14" hidden="1" x14ac:dyDescent="0.25">
      <c r="A1264" s="17" t="s">
        <v>7299</v>
      </c>
      <c r="B1264" s="17" t="s">
        <v>1066</v>
      </c>
      <c r="C1264" s="17" t="s">
        <v>1757</v>
      </c>
      <c r="D1264" s="17" t="s">
        <v>2854</v>
      </c>
      <c r="E1264" s="17" t="s">
        <v>4606</v>
      </c>
      <c r="F1264" s="17" t="s">
        <v>4607</v>
      </c>
      <c r="G1264" s="17" t="s">
        <v>7630</v>
      </c>
      <c r="H1264" t="s">
        <v>7476</v>
      </c>
      <c r="I1264" s="1">
        <v>2</v>
      </c>
      <c r="J1264" s="1">
        <v>2</v>
      </c>
      <c r="K1264" t="s">
        <v>6638</v>
      </c>
      <c r="L1264" s="5">
        <f>VLOOKUP(D:D,[1]Munka2!$A:$B,2,FALSE)</f>
        <v>1</v>
      </c>
      <c r="M1264" s="5">
        <f>_xlfn.IFNA(Táblázat1[[#This Row],[Kész2020]],0)</f>
        <v>1</v>
      </c>
      <c r="N1264" s="5">
        <f>IF(Táblázat1[[#This Row],[Karb./akt.év]]-Táblázat1[[#This Row],[Kész2020_2]]&lt;0,0,Táblázat1[[#This Row],[Karb./akt.év]]-Táblázat1[[#This Row],[Kész2020_2]])</f>
        <v>1</v>
      </c>
    </row>
    <row r="1265" spans="1:14" hidden="1" x14ac:dyDescent="0.25">
      <c r="A1265" s="17" t="s">
        <v>7299</v>
      </c>
      <c r="B1265" s="17" t="s">
        <v>811</v>
      </c>
      <c r="C1265" s="17" t="s">
        <v>1753</v>
      </c>
      <c r="D1265" s="17" t="s">
        <v>2588</v>
      </c>
      <c r="E1265" s="17" t="s">
        <v>4384</v>
      </c>
      <c r="F1265" s="17" t="s">
        <v>4385</v>
      </c>
      <c r="G1265" s="17" t="s">
        <v>7631</v>
      </c>
      <c r="H1265" t="s">
        <v>7476</v>
      </c>
      <c r="I1265" s="1">
        <v>2</v>
      </c>
      <c r="J1265" s="1">
        <v>2</v>
      </c>
      <c r="K1265" t="s">
        <v>6638</v>
      </c>
      <c r="L1265" s="5">
        <f>VLOOKUP(D:D,[1]Munka2!$A:$B,2,FALSE)</f>
        <v>1</v>
      </c>
      <c r="M1265" s="5">
        <f>_xlfn.IFNA(Táblázat1[[#This Row],[Kész2020]],0)</f>
        <v>1</v>
      </c>
      <c r="N1265" s="5">
        <f>IF(Táblázat1[[#This Row],[Karb./akt.év]]-Táblázat1[[#This Row],[Kész2020_2]]&lt;0,0,Táblázat1[[#This Row],[Karb./akt.év]]-Táblázat1[[#This Row],[Kész2020_2]])</f>
        <v>1</v>
      </c>
    </row>
    <row r="1266" spans="1:14" x14ac:dyDescent="0.25">
      <c r="A1266" s="17" t="s">
        <v>7299</v>
      </c>
      <c r="B1266" s="17" t="s">
        <v>7285</v>
      </c>
      <c r="C1266" s="17" t="s">
        <v>1735</v>
      </c>
      <c r="D1266" s="17" t="s">
        <v>7315</v>
      </c>
      <c r="E1266" s="17" t="s">
        <v>7256</v>
      </c>
      <c r="F1266" s="17" t="s">
        <v>3664</v>
      </c>
      <c r="G1266" s="17" t="s">
        <v>7346</v>
      </c>
      <c r="H1266" t="s">
        <v>7476</v>
      </c>
      <c r="I1266" s="1">
        <v>2</v>
      </c>
      <c r="J1266" s="1">
        <v>2</v>
      </c>
      <c r="K1266" t="s">
        <v>6638</v>
      </c>
      <c r="L1266" s="5" t="e">
        <f>VLOOKUP(D:D,[1]Munka2!$A:$B,2,FALSE)</f>
        <v>#N/A</v>
      </c>
      <c r="M1266" s="5">
        <f>_xlfn.IFNA(Táblázat1[[#This Row],[Kész2020]],0)</f>
        <v>0</v>
      </c>
      <c r="N1266" s="5">
        <f>IF(Táblázat1[[#This Row],[Karb./akt.év]]-Táblázat1[[#This Row],[Kész2020_2]]&lt;0,0,Táblázat1[[#This Row],[Karb./akt.év]]-Táblázat1[[#This Row],[Kész2020_2]])</f>
        <v>2</v>
      </c>
    </row>
    <row r="1267" spans="1:14" hidden="1" x14ac:dyDescent="0.25">
      <c r="A1267" s="17" t="s">
        <v>7299</v>
      </c>
      <c r="B1267" s="17" t="s">
        <v>7539</v>
      </c>
      <c r="C1267" s="17" t="s">
        <v>1757</v>
      </c>
      <c r="D1267" s="17" t="s">
        <v>2710</v>
      </c>
      <c r="E1267" s="17" t="s">
        <v>4515</v>
      </c>
      <c r="F1267" s="17" t="s">
        <v>4516</v>
      </c>
      <c r="G1267" s="17" t="s">
        <v>5852</v>
      </c>
      <c r="H1267" t="s">
        <v>7476</v>
      </c>
      <c r="I1267" s="1">
        <v>2</v>
      </c>
      <c r="J1267" s="1">
        <v>2</v>
      </c>
      <c r="K1267" t="s">
        <v>6638</v>
      </c>
      <c r="L1267" s="5">
        <f>VLOOKUP(D:D,[1]Munka2!$A:$B,2,FALSE)</f>
        <v>1</v>
      </c>
      <c r="M1267" s="5">
        <f>_xlfn.IFNA(Táblázat1[[#This Row],[Kész2020]],0)</f>
        <v>1</v>
      </c>
      <c r="N1267" s="5">
        <f>IF(Táblázat1[[#This Row],[Karb./akt.év]]-Táblázat1[[#This Row],[Kész2020_2]]&lt;0,0,Táblázat1[[#This Row],[Karb./akt.év]]-Táblázat1[[#This Row],[Kész2020_2]])</f>
        <v>1</v>
      </c>
    </row>
    <row r="1268" spans="1:14" x14ac:dyDescent="0.25">
      <c r="A1268" s="17" t="s">
        <v>7299</v>
      </c>
      <c r="B1268" s="17" t="s">
        <v>541</v>
      </c>
      <c r="C1268" s="17" t="s">
        <v>1757</v>
      </c>
      <c r="D1268" s="17" t="s">
        <v>2307</v>
      </c>
      <c r="E1268" s="17" t="s">
        <v>4157</v>
      </c>
      <c r="F1268" s="17" t="s">
        <v>4158</v>
      </c>
      <c r="G1268" s="17" t="s">
        <v>5499</v>
      </c>
      <c r="H1268" t="s">
        <v>7476</v>
      </c>
      <c r="I1268" s="1">
        <v>2</v>
      </c>
      <c r="J1268" s="1">
        <v>2</v>
      </c>
      <c r="K1268" t="s">
        <v>6638</v>
      </c>
      <c r="L1268" s="5" t="e">
        <f>VLOOKUP(D:D,[1]Munka2!$A:$B,2,FALSE)</f>
        <v>#N/A</v>
      </c>
      <c r="M1268" s="5">
        <f>_xlfn.IFNA(Táblázat1[[#This Row],[Kész2020]],0)</f>
        <v>0</v>
      </c>
      <c r="N1268" s="5">
        <f>IF(Táblázat1[[#This Row],[Karb./akt.év]]-Táblázat1[[#This Row],[Kész2020_2]]&lt;0,0,Táblázat1[[#This Row],[Karb./akt.év]]-Táblázat1[[#This Row],[Kész2020_2]])</f>
        <v>2</v>
      </c>
    </row>
    <row r="1269" spans="1:14" hidden="1" x14ac:dyDescent="0.25">
      <c r="A1269" s="17" t="s">
        <v>7299</v>
      </c>
      <c r="B1269" s="17" t="s">
        <v>7540</v>
      </c>
      <c r="C1269" s="17" t="s">
        <v>1757</v>
      </c>
      <c r="D1269" s="17" t="s">
        <v>3088</v>
      </c>
      <c r="E1269" s="17" t="s">
        <v>4775</v>
      </c>
      <c r="F1269" s="17" t="s">
        <v>4776</v>
      </c>
      <c r="G1269" s="17" t="s">
        <v>7632</v>
      </c>
      <c r="H1269" t="s">
        <v>7476</v>
      </c>
      <c r="I1269" s="1">
        <v>2</v>
      </c>
      <c r="J1269" s="1">
        <v>2</v>
      </c>
      <c r="K1269" t="s">
        <v>6638</v>
      </c>
      <c r="L1269" s="5">
        <f>VLOOKUP(D:D,[1]Munka2!$A:$B,2,FALSE)</f>
        <v>1</v>
      </c>
      <c r="M1269" s="5">
        <f>_xlfn.IFNA(Táblázat1[[#This Row],[Kész2020]],0)</f>
        <v>1</v>
      </c>
      <c r="N1269" s="5">
        <f>IF(Táblázat1[[#This Row],[Karb./akt.év]]-Táblázat1[[#This Row],[Kész2020_2]]&lt;0,0,Táblázat1[[#This Row],[Karb./akt.év]]-Táblázat1[[#This Row],[Kész2020_2]])</f>
        <v>1</v>
      </c>
    </row>
    <row r="1270" spans="1:14" hidden="1" x14ac:dyDescent="0.25">
      <c r="A1270" s="17" t="s">
        <v>7299</v>
      </c>
      <c r="B1270" s="17" t="s">
        <v>7541</v>
      </c>
      <c r="C1270" s="17" t="s">
        <v>1759</v>
      </c>
      <c r="D1270" s="17" t="s">
        <v>2989</v>
      </c>
      <c r="E1270" s="17" t="s">
        <v>4706</v>
      </c>
      <c r="F1270" s="17" t="s">
        <v>4707</v>
      </c>
      <c r="G1270" s="17" t="s">
        <v>6113</v>
      </c>
      <c r="H1270" t="s">
        <v>7476</v>
      </c>
      <c r="I1270" s="1">
        <v>2</v>
      </c>
      <c r="J1270" s="1">
        <v>2</v>
      </c>
      <c r="K1270" t="s">
        <v>6638</v>
      </c>
      <c r="L1270" s="5">
        <f>VLOOKUP(D:D,[1]Munka2!$A:$B,2,FALSE)</f>
        <v>1</v>
      </c>
      <c r="M1270" s="5">
        <f>_xlfn.IFNA(Táblázat1[[#This Row],[Kész2020]],0)</f>
        <v>1</v>
      </c>
      <c r="N1270" s="5">
        <f>IF(Táblázat1[[#This Row],[Karb./akt.év]]-Táblázat1[[#This Row],[Kész2020_2]]&lt;0,0,Táblázat1[[#This Row],[Karb./akt.év]]-Táblázat1[[#This Row],[Kész2020_2]])</f>
        <v>1</v>
      </c>
    </row>
    <row r="1271" spans="1:14" hidden="1" x14ac:dyDescent="0.25">
      <c r="A1271" s="17" t="s">
        <v>7299</v>
      </c>
      <c r="B1271" s="17" t="s">
        <v>7542</v>
      </c>
      <c r="C1271" s="17" t="s">
        <v>1757</v>
      </c>
      <c r="D1271" s="17" t="s">
        <v>2314</v>
      </c>
      <c r="E1271" s="17" t="s">
        <v>4167</v>
      </c>
      <c r="F1271" s="17" t="s">
        <v>4168</v>
      </c>
      <c r="G1271" s="17" t="s">
        <v>5507</v>
      </c>
      <c r="H1271" t="s">
        <v>7476</v>
      </c>
      <c r="I1271" s="1">
        <v>2</v>
      </c>
      <c r="J1271" s="1">
        <v>2</v>
      </c>
      <c r="K1271" t="s">
        <v>6638</v>
      </c>
      <c r="L1271" s="5">
        <f>VLOOKUP(D:D,[1]Munka2!$A:$B,2,FALSE)</f>
        <v>1</v>
      </c>
      <c r="M1271" s="5">
        <f>_xlfn.IFNA(Táblázat1[[#This Row],[Kész2020]],0)</f>
        <v>1</v>
      </c>
      <c r="N1271" s="5">
        <f>IF(Táblázat1[[#This Row],[Karb./akt.év]]-Táblázat1[[#This Row],[Kész2020_2]]&lt;0,0,Táblázat1[[#This Row],[Karb./akt.év]]-Táblázat1[[#This Row],[Kész2020_2]])</f>
        <v>1</v>
      </c>
    </row>
    <row r="1272" spans="1:14" hidden="1" x14ac:dyDescent="0.25">
      <c r="A1272" s="17" t="s">
        <v>7299</v>
      </c>
      <c r="B1272" s="17" t="s">
        <v>7543</v>
      </c>
      <c r="C1272" s="17" t="s">
        <v>1757</v>
      </c>
      <c r="D1272" s="17" t="s">
        <v>1935</v>
      </c>
      <c r="E1272" s="17" t="s">
        <v>3814</v>
      </c>
      <c r="F1272" s="17" t="s">
        <v>3815</v>
      </c>
      <c r="G1272" s="17" t="s">
        <v>5164</v>
      </c>
      <c r="H1272" t="s">
        <v>7476</v>
      </c>
      <c r="I1272" s="1">
        <v>2</v>
      </c>
      <c r="J1272" s="1">
        <v>2</v>
      </c>
      <c r="K1272" t="s">
        <v>6638</v>
      </c>
      <c r="L1272" s="5">
        <f>VLOOKUP(D:D,[1]Munka2!$A:$B,2,FALSE)</f>
        <v>1</v>
      </c>
      <c r="M1272" s="5">
        <f>_xlfn.IFNA(Táblázat1[[#This Row],[Kész2020]],0)</f>
        <v>1</v>
      </c>
      <c r="N1272" s="5">
        <f>IF(Táblázat1[[#This Row],[Karb./akt.év]]-Táblázat1[[#This Row],[Kész2020_2]]&lt;0,0,Táblázat1[[#This Row],[Karb./akt.év]]-Táblázat1[[#This Row],[Kész2020_2]])</f>
        <v>1</v>
      </c>
    </row>
    <row r="1273" spans="1:14" hidden="1" x14ac:dyDescent="0.25">
      <c r="A1273" s="17" t="s">
        <v>7299</v>
      </c>
      <c r="B1273" s="17" t="s">
        <v>7544</v>
      </c>
      <c r="C1273" s="17" t="s">
        <v>1759</v>
      </c>
      <c r="D1273" s="17" t="s">
        <v>2095</v>
      </c>
      <c r="E1273" s="17" t="s">
        <v>3966</v>
      </c>
      <c r="F1273" s="17" t="s">
        <v>3967</v>
      </c>
      <c r="G1273" s="17" t="s">
        <v>5307</v>
      </c>
      <c r="H1273" t="s">
        <v>7476</v>
      </c>
      <c r="I1273" s="1">
        <v>2</v>
      </c>
      <c r="J1273" s="1">
        <v>2</v>
      </c>
      <c r="K1273" t="s">
        <v>6638</v>
      </c>
      <c r="L1273" s="5">
        <f>VLOOKUP(D:D,[1]Munka2!$A:$B,2,FALSE)</f>
        <v>1</v>
      </c>
      <c r="M1273" s="5">
        <f>_xlfn.IFNA(Táblázat1[[#This Row],[Kész2020]],0)</f>
        <v>1</v>
      </c>
      <c r="N1273" s="5">
        <f>IF(Táblázat1[[#This Row],[Karb./akt.év]]-Táblázat1[[#This Row],[Kész2020_2]]&lt;0,0,Táblázat1[[#This Row],[Karb./akt.év]]-Táblázat1[[#This Row],[Kész2020_2]])</f>
        <v>1</v>
      </c>
    </row>
    <row r="1274" spans="1:14" hidden="1" x14ac:dyDescent="0.25">
      <c r="A1274" s="17" t="s">
        <v>7299</v>
      </c>
      <c r="B1274" s="17" t="s">
        <v>7545</v>
      </c>
      <c r="C1274" s="17" t="s">
        <v>1757</v>
      </c>
      <c r="D1274" s="17" t="s">
        <v>2963</v>
      </c>
      <c r="E1274" s="17" t="s">
        <v>3770</v>
      </c>
      <c r="F1274" s="17" t="s">
        <v>3771</v>
      </c>
      <c r="G1274" s="17" t="s">
        <v>6091</v>
      </c>
      <c r="H1274" t="s">
        <v>7476</v>
      </c>
      <c r="I1274" s="1">
        <v>2</v>
      </c>
      <c r="J1274" s="1">
        <v>2</v>
      </c>
      <c r="K1274" t="s">
        <v>6638</v>
      </c>
      <c r="L1274" s="5">
        <f>VLOOKUP(D:D,[1]Munka2!$A:$B,2,FALSE)</f>
        <v>1</v>
      </c>
      <c r="M1274" s="5">
        <f>_xlfn.IFNA(Táblázat1[[#This Row],[Kész2020]],0)</f>
        <v>1</v>
      </c>
      <c r="N1274" s="5">
        <f>IF(Táblázat1[[#This Row],[Karb./akt.év]]-Táblázat1[[#This Row],[Kész2020_2]]&lt;0,0,Táblázat1[[#This Row],[Karb./akt.év]]-Táblázat1[[#This Row],[Kész2020_2]])</f>
        <v>1</v>
      </c>
    </row>
    <row r="1275" spans="1:14" hidden="1" x14ac:dyDescent="0.25">
      <c r="A1275" s="17" t="s">
        <v>7299</v>
      </c>
      <c r="B1275" s="17" t="s">
        <v>925</v>
      </c>
      <c r="C1275" s="17" t="s">
        <v>1757</v>
      </c>
      <c r="D1275" s="17" t="s">
        <v>2707</v>
      </c>
      <c r="E1275" s="17" t="s">
        <v>4509</v>
      </c>
      <c r="F1275" s="17" t="s">
        <v>4510</v>
      </c>
      <c r="G1275" s="17" t="s">
        <v>5850</v>
      </c>
      <c r="H1275" t="s">
        <v>7476</v>
      </c>
      <c r="I1275" s="1">
        <v>2</v>
      </c>
      <c r="J1275" s="1">
        <v>2</v>
      </c>
      <c r="K1275" t="s">
        <v>6638</v>
      </c>
      <c r="L1275" s="5">
        <f>VLOOKUP(D:D,[1]Munka2!$A:$B,2,FALSE)</f>
        <v>1</v>
      </c>
      <c r="M1275" s="5">
        <f>_xlfn.IFNA(Táblázat1[[#This Row],[Kész2020]],0)</f>
        <v>1</v>
      </c>
      <c r="N1275" s="5">
        <f>IF(Táblázat1[[#This Row],[Karb./akt.év]]-Táblázat1[[#This Row],[Kész2020_2]]&lt;0,0,Táblázat1[[#This Row],[Karb./akt.év]]-Táblázat1[[#This Row],[Kész2020_2]])</f>
        <v>1</v>
      </c>
    </row>
    <row r="1276" spans="1:14" hidden="1" x14ac:dyDescent="0.25">
      <c r="A1276" s="17" t="s">
        <v>7299</v>
      </c>
      <c r="B1276" s="17" t="s">
        <v>7546</v>
      </c>
      <c r="C1276" s="17" t="s">
        <v>1757</v>
      </c>
      <c r="D1276" s="17" t="s">
        <v>2476</v>
      </c>
      <c r="E1276" s="17" t="s">
        <v>4304</v>
      </c>
      <c r="F1276" s="17" t="s">
        <v>4305</v>
      </c>
      <c r="G1276" s="17" t="s">
        <v>5654</v>
      </c>
      <c r="H1276" t="s">
        <v>7476</v>
      </c>
      <c r="I1276" s="1">
        <v>2</v>
      </c>
      <c r="J1276" s="1">
        <v>2</v>
      </c>
      <c r="K1276" t="s">
        <v>6638</v>
      </c>
      <c r="L1276" s="5">
        <f>VLOOKUP(D:D,[1]Munka2!$A:$B,2,FALSE)</f>
        <v>1</v>
      </c>
      <c r="M1276" s="5">
        <f>_xlfn.IFNA(Táblázat1[[#This Row],[Kész2020]],0)</f>
        <v>1</v>
      </c>
      <c r="N1276" s="5">
        <f>IF(Táblázat1[[#This Row],[Karb./akt.év]]-Táblázat1[[#This Row],[Kész2020_2]]&lt;0,0,Táblázat1[[#This Row],[Karb./akt.év]]-Táblázat1[[#This Row],[Kész2020_2]])</f>
        <v>1</v>
      </c>
    </row>
    <row r="1277" spans="1:14" hidden="1" x14ac:dyDescent="0.25">
      <c r="A1277" s="17" t="s">
        <v>7299</v>
      </c>
      <c r="B1277" s="17" t="s">
        <v>7547</v>
      </c>
      <c r="C1277" s="17" t="s">
        <v>1757</v>
      </c>
      <c r="D1277" s="17" t="s">
        <v>2616</v>
      </c>
      <c r="E1277" s="17" t="s">
        <v>4407</v>
      </c>
      <c r="F1277" s="17" t="s">
        <v>4408</v>
      </c>
      <c r="G1277" s="17" t="s">
        <v>5779</v>
      </c>
      <c r="H1277" t="s">
        <v>7476</v>
      </c>
      <c r="I1277" s="1">
        <v>2</v>
      </c>
      <c r="J1277" s="1">
        <v>2</v>
      </c>
      <c r="K1277" t="s">
        <v>6638</v>
      </c>
      <c r="L1277" s="5">
        <f>VLOOKUP(D:D,[1]Munka2!$A:$B,2,FALSE)</f>
        <v>1</v>
      </c>
      <c r="M1277" s="5">
        <f>_xlfn.IFNA(Táblázat1[[#This Row],[Kész2020]],0)</f>
        <v>1</v>
      </c>
      <c r="N1277" s="5">
        <f>IF(Táblázat1[[#This Row],[Karb./akt.év]]-Táblázat1[[#This Row],[Kész2020_2]]&lt;0,0,Táblázat1[[#This Row],[Karb./akt.év]]-Táblázat1[[#This Row],[Kész2020_2]])</f>
        <v>1</v>
      </c>
    </row>
    <row r="1278" spans="1:14" hidden="1" x14ac:dyDescent="0.25">
      <c r="A1278" s="17" t="s">
        <v>7299</v>
      </c>
      <c r="B1278" s="17" t="s">
        <v>7548</v>
      </c>
      <c r="C1278" s="17" t="s">
        <v>1757</v>
      </c>
      <c r="D1278" s="17" t="s">
        <v>2964</v>
      </c>
      <c r="E1278" s="17" t="s">
        <v>4674</v>
      </c>
      <c r="F1278" s="17" t="s">
        <v>4675</v>
      </c>
      <c r="G1278" s="17" t="s">
        <v>6092</v>
      </c>
      <c r="H1278" t="s">
        <v>7476</v>
      </c>
      <c r="I1278" s="1">
        <v>2</v>
      </c>
      <c r="J1278" s="1">
        <v>2</v>
      </c>
      <c r="K1278" t="s">
        <v>6638</v>
      </c>
      <c r="L1278" s="5">
        <f>VLOOKUP(D:D,[1]Munka2!$A:$B,2,FALSE)</f>
        <v>1</v>
      </c>
      <c r="M1278" s="5">
        <f>_xlfn.IFNA(Táblázat1[[#This Row],[Kész2020]],0)</f>
        <v>1</v>
      </c>
      <c r="N1278" s="5">
        <f>IF(Táblázat1[[#This Row],[Karb./akt.év]]-Táblázat1[[#This Row],[Kész2020_2]]&lt;0,0,Táblázat1[[#This Row],[Karb./akt.év]]-Táblázat1[[#This Row],[Kész2020_2]])</f>
        <v>1</v>
      </c>
    </row>
    <row r="1279" spans="1:14" hidden="1" x14ac:dyDescent="0.25">
      <c r="A1279" s="17" t="s">
        <v>7299</v>
      </c>
      <c r="B1279" s="17" t="s">
        <v>7549</v>
      </c>
      <c r="C1279" s="17" t="s">
        <v>1735</v>
      </c>
      <c r="D1279" s="17" t="s">
        <v>2313</v>
      </c>
      <c r="E1279" s="17" t="s">
        <v>4165</v>
      </c>
      <c r="F1279" s="17" t="s">
        <v>4166</v>
      </c>
      <c r="G1279" s="17" t="s">
        <v>5506</v>
      </c>
      <c r="H1279" t="s">
        <v>7476</v>
      </c>
      <c r="I1279" s="1">
        <v>2</v>
      </c>
      <c r="J1279" s="1">
        <v>2</v>
      </c>
      <c r="K1279" t="s">
        <v>6639</v>
      </c>
      <c r="L1279" s="5">
        <f>VLOOKUP(D:D,[1]Munka2!$A:$B,2,FALSE)</f>
        <v>1</v>
      </c>
      <c r="M1279" s="5">
        <f>_xlfn.IFNA(Táblázat1[[#This Row],[Kész2020]],0)</f>
        <v>1</v>
      </c>
      <c r="N1279" s="5">
        <f>IF(Táblázat1[[#This Row],[Karb./akt.év]]-Táblázat1[[#This Row],[Kész2020_2]]&lt;0,0,Táblázat1[[#This Row],[Karb./akt.év]]-Táblázat1[[#This Row],[Kész2020_2]])</f>
        <v>1</v>
      </c>
    </row>
    <row r="1280" spans="1:14" hidden="1" x14ac:dyDescent="0.25">
      <c r="A1280" s="17" t="s">
        <v>7299</v>
      </c>
      <c r="B1280" s="17" t="s">
        <v>7550</v>
      </c>
      <c r="C1280" s="17" t="s">
        <v>1735</v>
      </c>
      <c r="D1280" s="17" t="s">
        <v>3420</v>
      </c>
      <c r="E1280" s="17" t="s">
        <v>4953</v>
      </c>
      <c r="F1280" s="17" t="s">
        <v>4954</v>
      </c>
      <c r="G1280" s="17" t="s">
        <v>6475</v>
      </c>
      <c r="H1280" t="s">
        <v>7476</v>
      </c>
      <c r="I1280" s="1">
        <v>2</v>
      </c>
      <c r="J1280" s="1">
        <v>0</v>
      </c>
      <c r="K1280" t="s">
        <v>6639</v>
      </c>
      <c r="L1280" s="5" t="e">
        <f>VLOOKUP(D:D,[1]Munka2!$A:$B,2,FALSE)</f>
        <v>#N/A</v>
      </c>
      <c r="M1280" s="5">
        <f>_xlfn.IFNA(Táblázat1[[#This Row],[Kész2020]],0)</f>
        <v>0</v>
      </c>
      <c r="N1280" s="5">
        <f>IF(Táblázat1[[#This Row],[Karb./akt.év]]-Táblázat1[[#This Row],[Kész2020_2]]&lt;0,0,Táblázat1[[#This Row],[Karb./akt.év]]-Táblázat1[[#This Row],[Kész2020_2]])</f>
        <v>0</v>
      </c>
    </row>
    <row r="1281" spans="1:14" hidden="1" x14ac:dyDescent="0.25">
      <c r="A1281" s="17" t="s">
        <v>7299</v>
      </c>
      <c r="B1281" s="17" t="s">
        <v>7551</v>
      </c>
      <c r="C1281" s="17" t="s">
        <v>1735</v>
      </c>
      <c r="D1281" s="17" t="s">
        <v>2662</v>
      </c>
      <c r="E1281" s="17" t="s">
        <v>4458</v>
      </c>
      <c r="F1281" s="17" t="s">
        <v>4459</v>
      </c>
      <c r="G1281" s="17" t="s">
        <v>5814</v>
      </c>
      <c r="H1281" t="s">
        <v>7476</v>
      </c>
      <c r="I1281" s="1">
        <v>2</v>
      </c>
      <c r="J1281" s="1">
        <v>2</v>
      </c>
      <c r="K1281" t="s">
        <v>6639</v>
      </c>
      <c r="L1281" s="5">
        <f>VLOOKUP(D:D,[1]Munka2!$A:$B,2,FALSE)</f>
        <v>1</v>
      </c>
      <c r="M1281" s="5">
        <f>_xlfn.IFNA(Táblázat1[[#This Row],[Kész2020]],0)</f>
        <v>1</v>
      </c>
      <c r="N1281" s="5">
        <f>IF(Táblázat1[[#This Row],[Karb./akt.év]]-Táblázat1[[#This Row],[Kész2020_2]]&lt;0,0,Táblázat1[[#This Row],[Karb./akt.év]]-Táblázat1[[#This Row],[Kész2020_2]])</f>
        <v>1</v>
      </c>
    </row>
    <row r="1282" spans="1:14" hidden="1" x14ac:dyDescent="0.25">
      <c r="A1282" s="17" t="s">
        <v>7299</v>
      </c>
      <c r="B1282" s="17" t="s">
        <v>7552</v>
      </c>
      <c r="C1282" s="17" t="s">
        <v>1735</v>
      </c>
      <c r="D1282" s="17" t="s">
        <v>3272</v>
      </c>
      <c r="E1282" s="17" t="s">
        <v>4888</v>
      </c>
      <c r="F1282" s="17" t="s">
        <v>4889</v>
      </c>
      <c r="G1282" s="17" t="s">
        <v>6347</v>
      </c>
      <c r="H1282" t="s">
        <v>7476</v>
      </c>
      <c r="I1282" s="1">
        <v>2</v>
      </c>
      <c r="J1282" s="1">
        <v>2</v>
      </c>
      <c r="K1282" t="s">
        <v>6639</v>
      </c>
      <c r="L1282" s="5">
        <f>VLOOKUP(D:D,[1]Munka2!$A:$B,2,FALSE)</f>
        <v>1</v>
      </c>
      <c r="M1282" s="5">
        <f>_xlfn.IFNA(Táblázat1[[#This Row],[Kész2020]],0)</f>
        <v>1</v>
      </c>
      <c r="N1282" s="5">
        <f>IF(Táblázat1[[#This Row],[Karb./akt.év]]-Táblázat1[[#This Row],[Kész2020_2]]&lt;0,0,Táblázat1[[#This Row],[Karb./akt.év]]-Táblázat1[[#This Row],[Kész2020_2]])</f>
        <v>1</v>
      </c>
    </row>
    <row r="1283" spans="1:14" hidden="1" x14ac:dyDescent="0.25">
      <c r="A1283" s="17" t="s">
        <v>7299</v>
      </c>
      <c r="B1283" s="17" t="s">
        <v>7553</v>
      </c>
      <c r="C1283" s="17" t="s">
        <v>1735</v>
      </c>
      <c r="D1283" s="17" t="s">
        <v>2121</v>
      </c>
      <c r="E1283" s="17" t="s">
        <v>3997</v>
      </c>
      <c r="F1283" s="17" t="s">
        <v>3998</v>
      </c>
      <c r="G1283" s="17" t="s">
        <v>5333</v>
      </c>
      <c r="H1283" t="s">
        <v>7476</v>
      </c>
      <c r="I1283" s="1">
        <v>2</v>
      </c>
      <c r="J1283" s="1">
        <v>2</v>
      </c>
      <c r="K1283" t="s">
        <v>6639</v>
      </c>
      <c r="L1283" s="5">
        <f>VLOOKUP(D:D,[1]Munka2!$A:$B,2,FALSE)</f>
        <v>1</v>
      </c>
      <c r="M1283" s="5">
        <f>_xlfn.IFNA(Táblázat1[[#This Row],[Kész2020]],0)</f>
        <v>1</v>
      </c>
      <c r="N1283" s="5">
        <f>IF(Táblázat1[[#This Row],[Karb./akt.év]]-Táblázat1[[#This Row],[Kész2020_2]]&lt;0,0,Táblázat1[[#This Row],[Karb./akt.év]]-Táblázat1[[#This Row],[Kész2020_2]])</f>
        <v>1</v>
      </c>
    </row>
    <row r="1284" spans="1:14" hidden="1" x14ac:dyDescent="0.25">
      <c r="A1284" s="17" t="s">
        <v>7299</v>
      </c>
      <c r="B1284" s="17" t="s">
        <v>1363</v>
      </c>
      <c r="C1284" s="17" t="s">
        <v>1735</v>
      </c>
      <c r="D1284" s="17" t="s">
        <v>3182</v>
      </c>
      <c r="E1284" s="17" t="s">
        <v>4843</v>
      </c>
      <c r="F1284" s="17" t="s">
        <v>4844</v>
      </c>
      <c r="G1284" s="17" t="s">
        <v>6273</v>
      </c>
      <c r="H1284" t="s">
        <v>7476</v>
      </c>
      <c r="I1284" s="1">
        <v>2</v>
      </c>
      <c r="J1284" s="1">
        <v>2</v>
      </c>
      <c r="K1284" t="s">
        <v>6639</v>
      </c>
      <c r="L1284" s="5">
        <f>VLOOKUP(D:D,[1]Munka2!$A:$B,2,FALSE)</f>
        <v>1</v>
      </c>
      <c r="M1284" s="5">
        <f>_xlfn.IFNA(Táblázat1[[#This Row],[Kész2020]],0)</f>
        <v>1</v>
      </c>
      <c r="N1284" s="5">
        <f>IF(Táblázat1[[#This Row],[Karb./akt.év]]-Táblázat1[[#This Row],[Kész2020_2]]&lt;0,0,Táblázat1[[#This Row],[Karb./akt.év]]-Táblázat1[[#This Row],[Kész2020_2]])</f>
        <v>1</v>
      </c>
    </row>
    <row r="1285" spans="1:14" hidden="1" x14ac:dyDescent="0.25">
      <c r="A1285" s="17" t="s">
        <v>7299</v>
      </c>
      <c r="B1285" s="17" t="s">
        <v>7554</v>
      </c>
      <c r="C1285" s="17" t="s">
        <v>1735</v>
      </c>
      <c r="D1285" s="17" t="s">
        <v>2891</v>
      </c>
      <c r="E1285" s="17" t="s">
        <v>4619</v>
      </c>
      <c r="F1285" s="17" t="s">
        <v>4620</v>
      </c>
      <c r="G1285" s="17" t="s">
        <v>6027</v>
      </c>
      <c r="H1285" t="s">
        <v>7476</v>
      </c>
      <c r="I1285" s="1">
        <v>2</v>
      </c>
      <c r="J1285" s="1">
        <v>2</v>
      </c>
      <c r="K1285" t="s">
        <v>6639</v>
      </c>
      <c r="L1285" s="5">
        <f>VLOOKUP(D:D,[1]Munka2!$A:$B,2,FALSE)</f>
        <v>1</v>
      </c>
      <c r="M1285" s="5">
        <f>_xlfn.IFNA(Táblázat1[[#This Row],[Kész2020]],0)</f>
        <v>1</v>
      </c>
      <c r="N1285" s="5">
        <f>IF(Táblázat1[[#This Row],[Karb./akt.év]]-Táblázat1[[#This Row],[Kész2020_2]]&lt;0,0,Táblázat1[[#This Row],[Karb./akt.év]]-Táblázat1[[#This Row],[Kész2020_2]])</f>
        <v>1</v>
      </c>
    </row>
    <row r="1286" spans="1:14" hidden="1" x14ac:dyDescent="0.25">
      <c r="A1286" s="17" t="s">
        <v>7299</v>
      </c>
      <c r="B1286" s="17" t="s">
        <v>7555</v>
      </c>
      <c r="C1286" s="17" t="s">
        <v>1735</v>
      </c>
      <c r="D1286" s="17" t="s">
        <v>3210</v>
      </c>
      <c r="E1286" s="17" t="s">
        <v>4861</v>
      </c>
      <c r="F1286" s="17" t="s">
        <v>4862</v>
      </c>
      <c r="G1286" s="17" t="s">
        <v>6291</v>
      </c>
      <c r="H1286" t="s">
        <v>7476</v>
      </c>
      <c r="I1286" s="1">
        <v>2</v>
      </c>
      <c r="J1286" s="1">
        <v>2</v>
      </c>
      <c r="K1286" t="s">
        <v>6639</v>
      </c>
      <c r="L1286" s="5">
        <f>VLOOKUP(D:D,[1]Munka2!$A:$B,2,FALSE)</f>
        <v>1</v>
      </c>
      <c r="M1286" s="5">
        <f>_xlfn.IFNA(Táblázat1[[#This Row],[Kész2020]],0)</f>
        <v>1</v>
      </c>
      <c r="N1286" s="5">
        <f>IF(Táblázat1[[#This Row],[Karb./akt.év]]-Táblázat1[[#This Row],[Kész2020_2]]&lt;0,0,Táblázat1[[#This Row],[Karb./akt.év]]-Táblázat1[[#This Row],[Kész2020_2]])</f>
        <v>1</v>
      </c>
    </row>
    <row r="1287" spans="1:14" hidden="1" x14ac:dyDescent="0.25">
      <c r="A1287" s="17" t="s">
        <v>7299</v>
      </c>
      <c r="B1287" s="17" t="s">
        <v>7556</v>
      </c>
      <c r="C1287" s="17" t="s">
        <v>1735</v>
      </c>
      <c r="D1287" s="17" t="s">
        <v>2708</v>
      </c>
      <c r="E1287" s="17" t="s">
        <v>4511</v>
      </c>
      <c r="F1287" s="17" t="s">
        <v>4512</v>
      </c>
      <c r="G1287" s="17" t="s">
        <v>7633</v>
      </c>
      <c r="H1287" t="s">
        <v>7476</v>
      </c>
      <c r="I1287" s="1">
        <v>2</v>
      </c>
      <c r="J1287" s="1">
        <v>2</v>
      </c>
      <c r="K1287" t="s">
        <v>6639</v>
      </c>
      <c r="L1287" s="5">
        <f>VLOOKUP(D:D,[1]Munka2!$A:$B,2,FALSE)</f>
        <v>1</v>
      </c>
      <c r="M1287" s="5">
        <f>_xlfn.IFNA(Táblázat1[[#This Row],[Kész2020]],0)</f>
        <v>1</v>
      </c>
      <c r="N1287" s="5">
        <f>IF(Táblázat1[[#This Row],[Karb./akt.év]]-Táblázat1[[#This Row],[Kész2020_2]]&lt;0,0,Táblázat1[[#This Row],[Karb./akt.év]]-Táblázat1[[#This Row],[Kész2020_2]])</f>
        <v>1</v>
      </c>
    </row>
    <row r="1288" spans="1:14" hidden="1" x14ac:dyDescent="0.25">
      <c r="A1288" s="17" t="s">
        <v>7299</v>
      </c>
      <c r="B1288" s="17" t="s">
        <v>7557</v>
      </c>
      <c r="C1288" s="17" t="s">
        <v>1748</v>
      </c>
      <c r="D1288" s="17" t="s">
        <v>3422</v>
      </c>
      <c r="E1288" s="17" t="s">
        <v>3824</v>
      </c>
      <c r="F1288" s="17" t="s">
        <v>3598</v>
      </c>
      <c r="G1288" s="17" t="s">
        <v>6477</v>
      </c>
      <c r="H1288" t="s">
        <v>7476</v>
      </c>
      <c r="I1288" s="1">
        <v>2</v>
      </c>
      <c r="J1288" s="1">
        <v>2</v>
      </c>
      <c r="K1288" t="s">
        <v>6785</v>
      </c>
      <c r="L1288" s="5">
        <f>VLOOKUP(D:D,[1]Munka2!$A:$B,2,FALSE)</f>
        <v>1</v>
      </c>
      <c r="M1288" s="5">
        <f>_xlfn.IFNA(Táblázat1[[#This Row],[Kész2020]],0)</f>
        <v>1</v>
      </c>
      <c r="N1288" s="5">
        <f>IF(Táblázat1[[#This Row],[Karb./akt.év]]-Táblázat1[[#This Row],[Kész2020_2]]&lt;0,0,Táblázat1[[#This Row],[Karb./akt.év]]-Táblázat1[[#This Row],[Kész2020_2]])</f>
        <v>1</v>
      </c>
    </row>
    <row r="1289" spans="1:14" hidden="1" x14ac:dyDescent="0.25">
      <c r="A1289" s="17" t="s">
        <v>7299</v>
      </c>
      <c r="B1289" s="17" t="s">
        <v>7558</v>
      </c>
      <c r="C1289" s="17" t="s">
        <v>1748</v>
      </c>
      <c r="D1289" s="17" t="s">
        <v>2109</v>
      </c>
      <c r="E1289" s="17" t="s">
        <v>3986</v>
      </c>
      <c r="F1289" s="17" t="s">
        <v>3987</v>
      </c>
      <c r="G1289" s="17" t="s">
        <v>5321</v>
      </c>
      <c r="H1289" t="s">
        <v>7476</v>
      </c>
      <c r="I1289" s="1">
        <v>2</v>
      </c>
      <c r="J1289" s="1">
        <v>2</v>
      </c>
      <c r="K1289" t="s">
        <v>6639</v>
      </c>
      <c r="L1289" s="5">
        <f>VLOOKUP(D:D,[1]Munka2!$A:$B,2,FALSE)</f>
        <v>1</v>
      </c>
      <c r="M1289" s="5">
        <f>_xlfn.IFNA(Táblázat1[[#This Row],[Kész2020]],0)</f>
        <v>1</v>
      </c>
      <c r="N1289" s="5">
        <f>IF(Táblázat1[[#This Row],[Karb./akt.év]]-Táblázat1[[#This Row],[Kész2020_2]]&lt;0,0,Táblázat1[[#This Row],[Karb./akt.év]]-Táblázat1[[#This Row],[Kész2020_2]])</f>
        <v>1</v>
      </c>
    </row>
    <row r="1290" spans="1:14" hidden="1" x14ac:dyDescent="0.25">
      <c r="A1290" s="17" t="s">
        <v>7299</v>
      </c>
      <c r="B1290" s="17" t="s">
        <v>7559</v>
      </c>
      <c r="C1290" s="17" t="s">
        <v>1735</v>
      </c>
      <c r="D1290" s="17" t="s">
        <v>1998</v>
      </c>
      <c r="E1290" s="17" t="s">
        <v>3873</v>
      </c>
      <c r="F1290" s="17" t="s">
        <v>3874</v>
      </c>
      <c r="G1290" s="17" t="s">
        <v>5220</v>
      </c>
      <c r="H1290" t="s">
        <v>7476</v>
      </c>
      <c r="I1290" s="1">
        <v>2</v>
      </c>
      <c r="J1290" s="1">
        <v>2</v>
      </c>
      <c r="K1290" t="s">
        <v>6639</v>
      </c>
      <c r="L1290" s="5">
        <f>VLOOKUP(D:D,[1]Munka2!$A:$B,2,FALSE)</f>
        <v>1</v>
      </c>
      <c r="M1290" s="5">
        <f>_xlfn.IFNA(Táblázat1[[#This Row],[Kész2020]],0)</f>
        <v>1</v>
      </c>
      <c r="N1290" s="5">
        <f>IF(Táblázat1[[#This Row],[Karb./akt.év]]-Táblázat1[[#This Row],[Kész2020_2]]&lt;0,0,Táblázat1[[#This Row],[Karb./akt.év]]-Táblázat1[[#This Row],[Kész2020_2]])</f>
        <v>1</v>
      </c>
    </row>
    <row r="1291" spans="1:14" hidden="1" x14ac:dyDescent="0.25">
      <c r="A1291" s="17" t="s">
        <v>7299</v>
      </c>
      <c r="B1291" s="17" t="s">
        <v>1060</v>
      </c>
      <c r="C1291" s="17" t="s">
        <v>1737</v>
      </c>
      <c r="D1291" s="17" t="s">
        <v>2848</v>
      </c>
      <c r="E1291" s="17" t="s">
        <v>4009</v>
      </c>
      <c r="F1291" s="17" t="s">
        <v>4010</v>
      </c>
      <c r="G1291" s="17" t="s">
        <v>7634</v>
      </c>
      <c r="H1291" t="s">
        <v>7476</v>
      </c>
      <c r="I1291" s="1">
        <v>2</v>
      </c>
      <c r="J1291" s="1">
        <v>2</v>
      </c>
      <c r="K1291" t="s">
        <v>6638</v>
      </c>
      <c r="L1291" s="5">
        <f>VLOOKUP(D:D,[1]Munka2!$A:$B,2,FALSE)</f>
        <v>1</v>
      </c>
      <c r="M1291" s="5">
        <f>_xlfn.IFNA(Táblázat1[[#This Row],[Kész2020]],0)</f>
        <v>1</v>
      </c>
      <c r="N1291" s="5">
        <f>IF(Táblázat1[[#This Row],[Karb./akt.év]]-Táblázat1[[#This Row],[Kész2020_2]]&lt;0,0,Táblázat1[[#This Row],[Karb./akt.év]]-Táblázat1[[#This Row],[Kész2020_2]])</f>
        <v>1</v>
      </c>
    </row>
    <row r="1292" spans="1:14" hidden="1" x14ac:dyDescent="0.25">
      <c r="A1292" s="17" t="s">
        <v>7299</v>
      </c>
      <c r="B1292" s="17" t="s">
        <v>339</v>
      </c>
      <c r="C1292" s="17" t="s">
        <v>1735</v>
      </c>
      <c r="D1292" s="17" t="s">
        <v>2089</v>
      </c>
      <c r="E1292" s="17" t="s">
        <v>3961</v>
      </c>
      <c r="F1292" s="17" t="s">
        <v>3962</v>
      </c>
      <c r="G1292" s="17" t="s">
        <v>5302</v>
      </c>
      <c r="H1292" t="s">
        <v>7476</v>
      </c>
      <c r="I1292" s="1">
        <v>2</v>
      </c>
      <c r="J1292" s="1">
        <v>2</v>
      </c>
      <c r="K1292" t="s">
        <v>6638</v>
      </c>
      <c r="L1292" s="5">
        <f>VLOOKUP(D:D,[1]Munka2!$A:$B,2,FALSE)</f>
        <v>1</v>
      </c>
      <c r="M1292" s="5">
        <f>_xlfn.IFNA(Táblázat1[[#This Row],[Kész2020]],0)</f>
        <v>1</v>
      </c>
      <c r="N1292" s="5">
        <f>IF(Táblázat1[[#This Row],[Karb./akt.év]]-Táblázat1[[#This Row],[Kész2020_2]]&lt;0,0,Táblázat1[[#This Row],[Karb./akt.év]]-Táblázat1[[#This Row],[Kész2020_2]])</f>
        <v>1</v>
      </c>
    </row>
    <row r="1293" spans="1:14" hidden="1" x14ac:dyDescent="0.25">
      <c r="A1293" s="17" t="s">
        <v>7299</v>
      </c>
      <c r="B1293" s="17" t="s">
        <v>489</v>
      </c>
      <c r="C1293" s="17" t="s">
        <v>1759</v>
      </c>
      <c r="D1293" s="17" t="s">
        <v>2249</v>
      </c>
      <c r="E1293" s="17" t="s">
        <v>4093</v>
      </c>
      <c r="F1293" s="17" t="s">
        <v>4094</v>
      </c>
      <c r="G1293" s="17" t="s">
        <v>5450</v>
      </c>
      <c r="H1293" t="s">
        <v>7476</v>
      </c>
      <c r="I1293" s="1">
        <v>2</v>
      </c>
      <c r="J1293" s="1">
        <v>2</v>
      </c>
      <c r="K1293" t="s">
        <v>6638</v>
      </c>
      <c r="L1293" s="5">
        <f>VLOOKUP(D:D,[1]Munka2!$A:$B,2,FALSE)</f>
        <v>1</v>
      </c>
      <c r="M1293" s="5">
        <f>_xlfn.IFNA(Táblázat1[[#This Row],[Kész2020]],0)</f>
        <v>1</v>
      </c>
      <c r="N1293" s="5">
        <f>IF(Táblázat1[[#This Row],[Karb./akt.év]]-Táblázat1[[#This Row],[Kész2020_2]]&lt;0,0,Táblázat1[[#This Row],[Karb./akt.év]]-Táblázat1[[#This Row],[Kész2020_2]])</f>
        <v>1</v>
      </c>
    </row>
    <row r="1294" spans="1:14" hidden="1" x14ac:dyDescent="0.25">
      <c r="A1294" s="17" t="s">
        <v>7299</v>
      </c>
      <c r="B1294" s="17" t="s">
        <v>1666</v>
      </c>
      <c r="C1294" s="17" t="s">
        <v>1737</v>
      </c>
      <c r="D1294" s="17" t="s">
        <v>3523</v>
      </c>
      <c r="E1294" s="17" t="s">
        <v>3893</v>
      </c>
      <c r="F1294" s="17" t="s">
        <v>3664</v>
      </c>
      <c r="G1294" s="17" t="s">
        <v>7635</v>
      </c>
      <c r="H1294" t="s">
        <v>7476</v>
      </c>
      <c r="I1294" s="1">
        <v>2</v>
      </c>
      <c r="J1294" s="1">
        <v>2</v>
      </c>
      <c r="K1294" t="s">
        <v>6638</v>
      </c>
      <c r="L1294" s="5">
        <f>VLOOKUP(D:D,[1]Munka2!$A:$B,2,FALSE)</f>
        <v>1</v>
      </c>
      <c r="M1294" s="5">
        <f>_xlfn.IFNA(Táblázat1[[#This Row],[Kész2020]],0)</f>
        <v>1</v>
      </c>
      <c r="N1294" s="5">
        <f>IF(Táblázat1[[#This Row],[Karb./akt.év]]-Táblázat1[[#This Row],[Kész2020_2]]&lt;0,0,Táblázat1[[#This Row],[Karb./akt.év]]-Táblázat1[[#This Row],[Kész2020_2]])</f>
        <v>1</v>
      </c>
    </row>
    <row r="1295" spans="1:14" hidden="1" x14ac:dyDescent="0.25">
      <c r="A1295" s="17" t="s">
        <v>7299</v>
      </c>
      <c r="B1295" s="17" t="s">
        <v>1057</v>
      </c>
      <c r="C1295" s="17" t="s">
        <v>1759</v>
      </c>
      <c r="D1295" s="17" t="s">
        <v>2845</v>
      </c>
      <c r="E1295" s="17" t="s">
        <v>3601</v>
      </c>
      <c r="F1295" s="17" t="s">
        <v>3602</v>
      </c>
      <c r="G1295" s="17" t="s">
        <v>5987</v>
      </c>
      <c r="H1295" t="s">
        <v>7476</v>
      </c>
      <c r="I1295" s="1">
        <v>2</v>
      </c>
      <c r="J1295" s="1">
        <v>2</v>
      </c>
      <c r="K1295" t="s">
        <v>6638</v>
      </c>
      <c r="L1295" s="5">
        <f>VLOOKUP(D:D,[1]Munka2!$A:$B,2,FALSE)</f>
        <v>1</v>
      </c>
      <c r="M1295" s="5">
        <f>_xlfn.IFNA(Táblázat1[[#This Row],[Kész2020]],0)</f>
        <v>1</v>
      </c>
      <c r="N1295" s="5">
        <f>IF(Táblázat1[[#This Row],[Karb./akt.év]]-Táblázat1[[#This Row],[Kész2020_2]]&lt;0,0,Táblázat1[[#This Row],[Karb./akt.év]]-Táblázat1[[#This Row],[Kész2020_2]])</f>
        <v>1</v>
      </c>
    </row>
    <row r="1296" spans="1:14" hidden="1" x14ac:dyDescent="0.25">
      <c r="A1296" s="17" t="s">
        <v>7299</v>
      </c>
      <c r="B1296" s="17" t="s">
        <v>1512</v>
      </c>
      <c r="C1296" s="17" t="s">
        <v>1735</v>
      </c>
      <c r="D1296" s="17" t="s">
        <v>3353</v>
      </c>
      <c r="E1296" s="17" t="s">
        <v>4912</v>
      </c>
      <c r="F1296" s="17" t="s">
        <v>4913</v>
      </c>
      <c r="G1296" s="17" t="s">
        <v>6418</v>
      </c>
      <c r="H1296" t="s">
        <v>7476</v>
      </c>
      <c r="I1296" s="1">
        <v>2</v>
      </c>
      <c r="J1296" s="1">
        <v>2</v>
      </c>
      <c r="K1296" t="s">
        <v>6638</v>
      </c>
      <c r="L1296" s="5">
        <f>VLOOKUP(D:D,[1]Munka2!$A:$B,2,FALSE)</f>
        <v>1</v>
      </c>
      <c r="M1296" s="5">
        <f>_xlfn.IFNA(Táblázat1[[#This Row],[Kész2020]],0)</f>
        <v>1</v>
      </c>
      <c r="N1296" s="5">
        <f>IF(Táblázat1[[#This Row],[Karb./akt.év]]-Táblázat1[[#This Row],[Kész2020_2]]&lt;0,0,Táblázat1[[#This Row],[Karb./akt.év]]-Táblázat1[[#This Row],[Kész2020_2]])</f>
        <v>1</v>
      </c>
    </row>
    <row r="1297" spans="1:14" x14ac:dyDescent="0.25">
      <c r="A1297" s="17" t="s">
        <v>7299</v>
      </c>
      <c r="B1297" s="17" t="s">
        <v>1381</v>
      </c>
      <c r="C1297" s="17" t="s">
        <v>1759</v>
      </c>
      <c r="D1297" s="17" t="s">
        <v>3202</v>
      </c>
      <c r="E1297" s="17" t="s">
        <v>4855</v>
      </c>
      <c r="F1297" s="17" t="s">
        <v>4856</v>
      </c>
      <c r="G1297" s="17" t="s">
        <v>6286</v>
      </c>
      <c r="H1297" t="s">
        <v>7476</v>
      </c>
      <c r="I1297" s="1">
        <v>2</v>
      </c>
      <c r="J1297" s="1">
        <v>2</v>
      </c>
      <c r="K1297" t="s">
        <v>6638</v>
      </c>
      <c r="L1297" s="5" t="e">
        <f>VLOOKUP(D:D,[1]Munka2!$A:$B,2,FALSE)</f>
        <v>#N/A</v>
      </c>
      <c r="M1297" s="5">
        <f>_xlfn.IFNA(Táblázat1[[#This Row],[Kész2020]],0)</f>
        <v>0</v>
      </c>
      <c r="N1297" s="5">
        <f>IF(Táblázat1[[#This Row],[Karb./akt.év]]-Táblázat1[[#This Row],[Kész2020_2]]&lt;0,0,Táblázat1[[#This Row],[Karb./akt.év]]-Táblázat1[[#This Row],[Kész2020_2]])</f>
        <v>2</v>
      </c>
    </row>
    <row r="1298" spans="1:14" hidden="1" x14ac:dyDescent="0.25">
      <c r="A1298" s="17" t="s">
        <v>7299</v>
      </c>
      <c r="B1298" s="17" t="s">
        <v>1408</v>
      </c>
      <c r="C1298" s="17" t="s">
        <v>1737</v>
      </c>
      <c r="D1298" s="17" t="s">
        <v>3235</v>
      </c>
      <c r="E1298" s="17" t="s">
        <v>4875</v>
      </c>
      <c r="F1298" s="17" t="s">
        <v>4876</v>
      </c>
      <c r="G1298" s="17" t="s">
        <v>6313</v>
      </c>
      <c r="H1298" t="s">
        <v>7476</v>
      </c>
      <c r="I1298" s="1">
        <v>2</v>
      </c>
      <c r="J1298" s="1">
        <v>2</v>
      </c>
      <c r="K1298" t="s">
        <v>6638</v>
      </c>
      <c r="L1298" s="5">
        <f>VLOOKUP(D:D,[1]Munka2!$A:$B,2,FALSE)</f>
        <v>1</v>
      </c>
      <c r="M1298" s="5">
        <f>_xlfn.IFNA(Táblázat1[[#This Row],[Kész2020]],0)</f>
        <v>1</v>
      </c>
      <c r="N1298" s="5">
        <f>IF(Táblázat1[[#This Row],[Karb./akt.év]]-Táblázat1[[#This Row],[Kész2020_2]]&lt;0,0,Táblázat1[[#This Row],[Karb./akt.év]]-Táblázat1[[#This Row],[Kész2020_2]])</f>
        <v>1</v>
      </c>
    </row>
    <row r="1299" spans="1:14" hidden="1" x14ac:dyDescent="0.25">
      <c r="A1299" s="17" t="s">
        <v>7299</v>
      </c>
      <c r="B1299" s="17" t="s">
        <v>1439</v>
      </c>
      <c r="C1299" s="17" t="s">
        <v>1735</v>
      </c>
      <c r="D1299" s="17" t="s">
        <v>3269</v>
      </c>
      <c r="E1299" s="17" t="s">
        <v>3794</v>
      </c>
      <c r="F1299" s="17" t="s">
        <v>3795</v>
      </c>
      <c r="G1299" s="17" t="s">
        <v>6344</v>
      </c>
      <c r="H1299" t="s">
        <v>7476</v>
      </c>
      <c r="I1299" s="1">
        <v>2</v>
      </c>
      <c r="J1299" s="1">
        <v>2</v>
      </c>
      <c r="K1299" t="s">
        <v>6638</v>
      </c>
      <c r="L1299" s="5">
        <f>VLOOKUP(D:D,[1]Munka2!$A:$B,2,FALSE)</f>
        <v>1</v>
      </c>
      <c r="M1299" s="5">
        <f>_xlfn.IFNA(Táblázat1[[#This Row],[Kész2020]],0)</f>
        <v>1</v>
      </c>
      <c r="N1299" s="5">
        <f>IF(Táblázat1[[#This Row],[Karb./akt.év]]-Táblázat1[[#This Row],[Kész2020_2]]&lt;0,0,Táblázat1[[#This Row],[Karb./akt.év]]-Táblázat1[[#This Row],[Kész2020_2]])</f>
        <v>1</v>
      </c>
    </row>
    <row r="1300" spans="1:14" hidden="1" x14ac:dyDescent="0.25">
      <c r="A1300" s="17" t="s">
        <v>7299</v>
      </c>
      <c r="B1300" s="17" t="s">
        <v>7223</v>
      </c>
      <c r="C1300" s="17" t="s">
        <v>1757</v>
      </c>
      <c r="D1300" s="17" t="s">
        <v>7241</v>
      </c>
      <c r="E1300" s="17" t="s">
        <v>7256</v>
      </c>
      <c r="F1300" s="17" t="s">
        <v>3664</v>
      </c>
      <c r="G1300" s="17" t="s">
        <v>7264</v>
      </c>
      <c r="H1300" t="s">
        <v>7476</v>
      </c>
      <c r="I1300" s="1">
        <v>2</v>
      </c>
      <c r="J1300" s="1">
        <v>2</v>
      </c>
      <c r="K1300" t="s">
        <v>6638</v>
      </c>
      <c r="L1300" s="5">
        <f>VLOOKUP(D:D,[1]Munka2!$A:$B,2,FALSE)</f>
        <v>1</v>
      </c>
      <c r="M1300" s="5">
        <f>_xlfn.IFNA(Táblázat1[[#This Row],[Kész2020]],0)</f>
        <v>1</v>
      </c>
      <c r="N1300" s="5">
        <f>IF(Táblázat1[[#This Row],[Karb./akt.év]]-Táblázat1[[#This Row],[Kész2020_2]]&lt;0,0,Táblázat1[[#This Row],[Karb./akt.év]]-Táblázat1[[#This Row],[Kész2020_2]])</f>
        <v>1</v>
      </c>
    </row>
    <row r="1301" spans="1:14" x14ac:dyDescent="0.25">
      <c r="A1301" s="17" t="s">
        <v>7299</v>
      </c>
      <c r="B1301" s="17" t="s">
        <v>7718</v>
      </c>
      <c r="C1301" s="17" t="s">
        <v>1738</v>
      </c>
      <c r="D1301" s="17" t="s">
        <v>7822</v>
      </c>
      <c r="E1301" s="17" t="s">
        <v>3820</v>
      </c>
      <c r="F1301" s="17" t="s">
        <v>3821</v>
      </c>
      <c r="G1301" s="17" t="s">
        <v>8045</v>
      </c>
      <c r="H1301" t="s">
        <v>7476</v>
      </c>
      <c r="I1301" s="1">
        <v>2</v>
      </c>
      <c r="J1301" s="1">
        <v>2</v>
      </c>
      <c r="K1301" t="s">
        <v>6638</v>
      </c>
      <c r="L1301" s="5" t="e">
        <f>VLOOKUP(D:D,[1]Munka2!$A:$B,2,FALSE)</f>
        <v>#N/A</v>
      </c>
      <c r="M1301" s="5">
        <f>_xlfn.IFNA(Táblázat1[[#This Row],[Kész2020]],0)</f>
        <v>0</v>
      </c>
      <c r="N1301" s="5">
        <f>IF(Táblázat1[[#This Row],[Karb./akt.év]]-Táblázat1[[#This Row],[Kész2020_2]]&lt;0,0,Táblázat1[[#This Row],[Karb./akt.év]]-Táblázat1[[#This Row],[Kész2020_2]])</f>
        <v>2</v>
      </c>
    </row>
    <row r="1302" spans="1:14" hidden="1" x14ac:dyDescent="0.25">
      <c r="A1302" s="17" t="s">
        <v>7299</v>
      </c>
      <c r="B1302" s="17" t="s">
        <v>7719</v>
      </c>
      <c r="C1302" s="17" t="s">
        <v>1753</v>
      </c>
      <c r="D1302" s="17" t="s">
        <v>7823</v>
      </c>
      <c r="E1302" s="17" t="s">
        <v>4485</v>
      </c>
      <c r="F1302" s="17" t="s">
        <v>4486</v>
      </c>
      <c r="G1302" s="17" t="s">
        <v>8046</v>
      </c>
      <c r="H1302" t="s">
        <v>7476</v>
      </c>
      <c r="I1302" s="1">
        <v>2</v>
      </c>
      <c r="J1302" s="1">
        <v>2</v>
      </c>
      <c r="K1302" t="s">
        <v>6638</v>
      </c>
      <c r="L1302" s="5">
        <f>VLOOKUP(D:D,[1]Munka2!$A:$B,2,FALSE)</f>
        <v>1</v>
      </c>
      <c r="M1302" s="5">
        <f>_xlfn.IFNA(Táblázat1[[#This Row],[Kész2020]],0)</f>
        <v>1</v>
      </c>
      <c r="N1302" s="5">
        <f>IF(Táblázat1[[#This Row],[Karb./akt.év]]-Táblázat1[[#This Row],[Kész2020_2]]&lt;0,0,Táblázat1[[#This Row],[Karb./akt.év]]-Táblázat1[[#This Row],[Kész2020_2]])</f>
        <v>1</v>
      </c>
    </row>
    <row r="1303" spans="1:14" hidden="1" x14ac:dyDescent="0.25">
      <c r="A1303" s="17" t="s">
        <v>7299</v>
      </c>
      <c r="B1303" s="17" t="s">
        <v>7720</v>
      </c>
      <c r="C1303" s="17" t="s">
        <v>1759</v>
      </c>
      <c r="D1303" s="17" t="s">
        <v>7824</v>
      </c>
      <c r="E1303" s="17" t="s">
        <v>7936</v>
      </c>
      <c r="F1303" s="17" t="s">
        <v>7937</v>
      </c>
      <c r="G1303" s="17" t="s">
        <v>8047</v>
      </c>
      <c r="H1303" t="s">
        <v>7476</v>
      </c>
      <c r="I1303" s="1">
        <v>2</v>
      </c>
      <c r="J1303" s="1">
        <v>2</v>
      </c>
      <c r="K1303" t="s">
        <v>6638</v>
      </c>
      <c r="L1303" s="5">
        <f>VLOOKUP(D:D,[1]Munka2!$A:$B,2,FALSE)</f>
        <v>1</v>
      </c>
      <c r="M1303" s="5">
        <f>_xlfn.IFNA(Táblázat1[[#This Row],[Kész2020]],0)</f>
        <v>1</v>
      </c>
      <c r="N1303" s="5">
        <f>IF(Táblázat1[[#This Row],[Karb./akt.év]]-Táblázat1[[#This Row],[Kész2020_2]]&lt;0,0,Táblázat1[[#This Row],[Karb./akt.év]]-Táblázat1[[#This Row],[Kész2020_2]])</f>
        <v>1</v>
      </c>
    </row>
    <row r="1304" spans="1:14" hidden="1" x14ac:dyDescent="0.25">
      <c r="A1304" s="17" t="s">
        <v>7299</v>
      </c>
      <c r="B1304" s="17" t="s">
        <v>7721</v>
      </c>
      <c r="C1304" s="17" t="s">
        <v>1753</v>
      </c>
      <c r="D1304" s="17" t="s">
        <v>7825</v>
      </c>
      <c r="E1304" s="17" t="s">
        <v>3663</v>
      </c>
      <c r="F1304" s="17" t="s">
        <v>3664</v>
      </c>
      <c r="G1304" s="17" t="s">
        <v>8048</v>
      </c>
      <c r="H1304" t="s">
        <v>7476</v>
      </c>
      <c r="I1304" s="1">
        <v>2</v>
      </c>
      <c r="J1304" s="1">
        <v>2</v>
      </c>
      <c r="K1304" t="s">
        <v>6638</v>
      </c>
      <c r="L1304" s="5">
        <f>VLOOKUP(D:D,[1]Munka2!$A:$B,2,FALSE)</f>
        <v>1</v>
      </c>
      <c r="M1304" s="5">
        <f>_xlfn.IFNA(Táblázat1[[#This Row],[Kész2020]],0)</f>
        <v>1</v>
      </c>
      <c r="N1304" s="5">
        <f>IF(Táblázat1[[#This Row],[Karb./akt.év]]-Táblázat1[[#This Row],[Kész2020_2]]&lt;0,0,Táblázat1[[#This Row],[Karb./akt.év]]-Táblázat1[[#This Row],[Kész2020_2]])</f>
        <v>1</v>
      </c>
    </row>
    <row r="1305" spans="1:14" hidden="1" x14ac:dyDescent="0.25">
      <c r="A1305" s="17" t="s">
        <v>7299</v>
      </c>
      <c r="B1305" s="17" t="s">
        <v>7722</v>
      </c>
      <c r="C1305" s="17" t="s">
        <v>1753</v>
      </c>
      <c r="D1305" s="17" t="s">
        <v>7826</v>
      </c>
      <c r="E1305" s="17" t="s">
        <v>7938</v>
      </c>
      <c r="F1305" s="17" t="s">
        <v>7939</v>
      </c>
      <c r="G1305" s="17" t="s">
        <v>8049</v>
      </c>
      <c r="H1305" t="s">
        <v>7476</v>
      </c>
      <c r="I1305" s="1">
        <v>2</v>
      </c>
      <c r="J1305" s="1">
        <v>2</v>
      </c>
      <c r="K1305" t="s">
        <v>7014</v>
      </c>
      <c r="L1305" s="5">
        <f>VLOOKUP(D:D,[1]Munka2!$A:$B,2,FALSE)</f>
        <v>1</v>
      </c>
      <c r="M1305" s="5">
        <f>_xlfn.IFNA(Táblázat1[[#This Row],[Kész2020]],0)</f>
        <v>1</v>
      </c>
      <c r="N1305" s="5">
        <f>IF(Táblázat1[[#This Row],[Karb./akt.év]]-Táblázat1[[#This Row],[Kész2020_2]]&lt;0,0,Táblázat1[[#This Row],[Karb./akt.év]]-Táblázat1[[#This Row],[Kész2020_2]])</f>
        <v>1</v>
      </c>
    </row>
    <row r="1306" spans="1:14" hidden="1" x14ac:dyDescent="0.25">
      <c r="A1306" s="17" t="s">
        <v>7299</v>
      </c>
      <c r="B1306" s="17" t="s">
        <v>7723</v>
      </c>
      <c r="C1306" s="17" t="s">
        <v>1753</v>
      </c>
      <c r="D1306" s="17" t="s">
        <v>7827</v>
      </c>
      <c r="E1306" s="17" t="s">
        <v>7940</v>
      </c>
      <c r="F1306" s="17" t="s">
        <v>7941</v>
      </c>
      <c r="G1306" s="17" t="s">
        <v>8050</v>
      </c>
      <c r="H1306" t="s">
        <v>7476</v>
      </c>
      <c r="I1306" s="1">
        <v>2</v>
      </c>
      <c r="J1306" s="1">
        <v>2</v>
      </c>
      <c r="K1306" t="s">
        <v>7014</v>
      </c>
      <c r="L1306" s="5">
        <f>VLOOKUP(D:D,[1]Munka2!$A:$B,2,FALSE)</f>
        <v>1</v>
      </c>
      <c r="M1306" s="5">
        <f>_xlfn.IFNA(Táblázat1[[#This Row],[Kész2020]],0)</f>
        <v>1</v>
      </c>
      <c r="N1306" s="5">
        <f>IF(Táblázat1[[#This Row],[Karb./akt.év]]-Táblázat1[[#This Row],[Kész2020_2]]&lt;0,0,Táblázat1[[#This Row],[Karb./akt.év]]-Táblázat1[[#This Row],[Kész2020_2]])</f>
        <v>1</v>
      </c>
    </row>
    <row r="1307" spans="1:14" x14ac:dyDescent="0.25">
      <c r="A1307" s="17" t="s">
        <v>7299</v>
      </c>
      <c r="B1307" s="17" t="s">
        <v>7724</v>
      </c>
      <c r="C1307" s="17" t="s">
        <v>1753</v>
      </c>
      <c r="D1307" s="17" t="s">
        <v>7828</v>
      </c>
      <c r="E1307" s="17" t="s">
        <v>3773</v>
      </c>
      <c r="F1307" s="17" t="s">
        <v>3774</v>
      </c>
      <c r="G1307" s="17" t="s">
        <v>8051</v>
      </c>
      <c r="H1307" t="s">
        <v>7476</v>
      </c>
      <c r="I1307" s="1">
        <v>2</v>
      </c>
      <c r="J1307" s="1">
        <v>2</v>
      </c>
      <c r="K1307" t="s">
        <v>7014</v>
      </c>
      <c r="L1307" s="5" t="e">
        <f>VLOOKUP(D:D,[1]Munka2!$A:$B,2,FALSE)</f>
        <v>#N/A</v>
      </c>
      <c r="M1307" s="5">
        <f>_xlfn.IFNA(Táblázat1[[#This Row],[Kész2020]],0)</f>
        <v>0</v>
      </c>
      <c r="N1307" s="5">
        <f>IF(Táblázat1[[#This Row],[Karb./akt.év]]-Táblázat1[[#This Row],[Kész2020_2]]&lt;0,0,Táblázat1[[#This Row],[Karb./akt.év]]-Táblázat1[[#This Row],[Kész2020_2]])</f>
        <v>2</v>
      </c>
    </row>
    <row r="1308" spans="1:14" hidden="1" x14ac:dyDescent="0.25">
      <c r="A1308" s="17" t="s">
        <v>7299</v>
      </c>
      <c r="B1308" s="17" t="s">
        <v>7725</v>
      </c>
      <c r="C1308" s="17" t="s">
        <v>1753</v>
      </c>
      <c r="D1308" s="17" t="s">
        <v>7829</v>
      </c>
      <c r="E1308" s="17" t="s">
        <v>7942</v>
      </c>
      <c r="F1308" s="17" t="s">
        <v>7943</v>
      </c>
      <c r="G1308" s="17" t="s">
        <v>6218</v>
      </c>
      <c r="H1308" t="s">
        <v>7476</v>
      </c>
      <c r="I1308" s="1">
        <v>2</v>
      </c>
      <c r="J1308" s="1">
        <v>2</v>
      </c>
      <c r="K1308" t="s">
        <v>7014</v>
      </c>
      <c r="L1308" s="5">
        <f>VLOOKUP(D:D,[1]Munka2!$A:$B,2,FALSE)</f>
        <v>1</v>
      </c>
      <c r="M1308" s="5">
        <f>_xlfn.IFNA(Táblázat1[[#This Row],[Kész2020]],0)</f>
        <v>1</v>
      </c>
      <c r="N1308" s="5">
        <f>IF(Táblázat1[[#This Row],[Karb./akt.év]]-Táblázat1[[#This Row],[Kész2020_2]]&lt;0,0,Táblázat1[[#This Row],[Karb./akt.év]]-Táblázat1[[#This Row],[Kész2020_2]])</f>
        <v>1</v>
      </c>
    </row>
    <row r="1309" spans="1:14" hidden="1" x14ac:dyDescent="0.25">
      <c r="A1309" s="17" t="s">
        <v>7299</v>
      </c>
      <c r="B1309" s="17" t="s">
        <v>7726</v>
      </c>
      <c r="C1309" s="17" t="s">
        <v>1746</v>
      </c>
      <c r="D1309" s="17" t="s">
        <v>7830</v>
      </c>
      <c r="E1309" s="17" t="s">
        <v>7944</v>
      </c>
      <c r="F1309" s="17" t="s">
        <v>7945</v>
      </c>
      <c r="G1309" s="17" t="s">
        <v>8052</v>
      </c>
      <c r="H1309" t="s">
        <v>7476</v>
      </c>
      <c r="I1309" s="1">
        <v>2</v>
      </c>
      <c r="J1309" s="1">
        <v>2</v>
      </c>
      <c r="K1309" t="s">
        <v>6643</v>
      </c>
      <c r="L1309" s="5">
        <f>VLOOKUP(D:D,[1]Munka2!$A:$B,2,FALSE)</f>
        <v>1</v>
      </c>
      <c r="M1309" s="5">
        <f>_xlfn.IFNA(Táblázat1[[#This Row],[Kész2020]],0)</f>
        <v>1</v>
      </c>
      <c r="N1309" s="5">
        <f>IF(Táblázat1[[#This Row],[Karb./akt.év]]-Táblázat1[[#This Row],[Kész2020_2]]&lt;0,0,Táblázat1[[#This Row],[Karb./akt.év]]-Táblázat1[[#This Row],[Kész2020_2]])</f>
        <v>1</v>
      </c>
    </row>
    <row r="1310" spans="1:14" x14ac:dyDescent="0.25">
      <c r="A1310" s="17" t="s">
        <v>7299</v>
      </c>
      <c r="B1310" s="17" t="s">
        <v>7727</v>
      </c>
      <c r="C1310" s="17" t="s">
        <v>1746</v>
      </c>
      <c r="D1310" s="17" t="s">
        <v>7831</v>
      </c>
      <c r="E1310" s="17" t="s">
        <v>7946</v>
      </c>
      <c r="F1310" s="17" t="s">
        <v>7947</v>
      </c>
      <c r="G1310" s="17" t="s">
        <v>8053</v>
      </c>
      <c r="H1310" t="s">
        <v>7476</v>
      </c>
      <c r="I1310" s="1">
        <v>2</v>
      </c>
      <c r="J1310" s="1">
        <v>2</v>
      </c>
      <c r="K1310" t="s">
        <v>6638</v>
      </c>
      <c r="L1310" s="5" t="e">
        <f>VLOOKUP(D:D,[1]Munka2!$A:$B,2,FALSE)</f>
        <v>#N/A</v>
      </c>
      <c r="M1310" s="5">
        <f>_xlfn.IFNA(Táblázat1[[#This Row],[Kész2020]],0)</f>
        <v>0</v>
      </c>
      <c r="N1310" s="5">
        <f>IF(Táblázat1[[#This Row],[Karb./akt.év]]-Táblázat1[[#This Row],[Kész2020_2]]&lt;0,0,Táblázat1[[#This Row],[Karb./akt.év]]-Táblázat1[[#This Row],[Kész2020_2]])</f>
        <v>2</v>
      </c>
    </row>
    <row r="1311" spans="1:14" hidden="1" x14ac:dyDescent="0.25">
      <c r="A1311" s="17" t="s">
        <v>7299</v>
      </c>
      <c r="B1311" s="17" t="s">
        <v>7728</v>
      </c>
      <c r="C1311" s="17" t="s">
        <v>1746</v>
      </c>
      <c r="D1311" s="17" t="s">
        <v>7832</v>
      </c>
      <c r="E1311" s="17" t="s">
        <v>7948</v>
      </c>
      <c r="F1311" s="17" t="s">
        <v>7949</v>
      </c>
      <c r="G1311" s="17" t="s">
        <v>8054</v>
      </c>
      <c r="H1311" t="s">
        <v>7476</v>
      </c>
      <c r="I1311" s="1">
        <v>2</v>
      </c>
      <c r="J1311" s="1">
        <v>2</v>
      </c>
      <c r="K1311" t="s">
        <v>6643</v>
      </c>
      <c r="L1311" s="5">
        <f>VLOOKUP(D:D,[1]Munka2!$A:$B,2,FALSE)</f>
        <v>1</v>
      </c>
      <c r="M1311" s="5">
        <f>_xlfn.IFNA(Táblázat1[[#This Row],[Kész2020]],0)</f>
        <v>1</v>
      </c>
      <c r="N1311" s="5">
        <f>IF(Táblázat1[[#This Row],[Karb./akt.év]]-Táblázat1[[#This Row],[Kész2020_2]]&lt;0,0,Táblázat1[[#This Row],[Karb./akt.év]]-Táblázat1[[#This Row],[Kész2020_2]])</f>
        <v>1</v>
      </c>
    </row>
    <row r="1312" spans="1:14" x14ac:dyDescent="0.25">
      <c r="A1312" s="17" t="s">
        <v>7299</v>
      </c>
      <c r="B1312" s="17" t="s">
        <v>7729</v>
      </c>
      <c r="C1312" s="17" t="s">
        <v>1753</v>
      </c>
      <c r="D1312" s="17" t="s">
        <v>7833</v>
      </c>
      <c r="E1312" s="17" t="s">
        <v>3773</v>
      </c>
      <c r="F1312" s="17" t="s">
        <v>7950</v>
      </c>
      <c r="G1312" s="17" t="s">
        <v>8055</v>
      </c>
      <c r="H1312" t="s">
        <v>7476</v>
      </c>
      <c r="I1312" s="1">
        <v>2</v>
      </c>
      <c r="J1312" s="1">
        <v>2</v>
      </c>
      <c r="K1312" t="s">
        <v>7014</v>
      </c>
      <c r="L1312" s="5" t="e">
        <f>VLOOKUP(D:D,[1]Munka2!$A:$B,2,FALSE)</f>
        <v>#N/A</v>
      </c>
      <c r="M1312" s="5">
        <f>_xlfn.IFNA(Táblázat1[[#This Row],[Kész2020]],0)</f>
        <v>0</v>
      </c>
      <c r="N1312" s="5">
        <f>IF(Táblázat1[[#This Row],[Karb./akt.év]]-Táblázat1[[#This Row],[Kész2020_2]]&lt;0,0,Táblázat1[[#This Row],[Karb./akt.év]]-Táblázat1[[#This Row],[Kész2020_2]])</f>
        <v>2</v>
      </c>
    </row>
    <row r="1313" spans="1:14" x14ac:dyDescent="0.25">
      <c r="A1313" s="17" t="s">
        <v>7299</v>
      </c>
      <c r="B1313" s="17" t="s">
        <v>7730</v>
      </c>
      <c r="C1313" s="17" t="s">
        <v>1753</v>
      </c>
      <c r="D1313" s="17" t="s">
        <v>7834</v>
      </c>
      <c r="E1313" s="17" t="s">
        <v>7951</v>
      </c>
      <c r="F1313" s="17" t="s">
        <v>7952</v>
      </c>
      <c r="G1313" s="17" t="s">
        <v>8056</v>
      </c>
      <c r="H1313" t="s">
        <v>7476</v>
      </c>
      <c r="I1313" s="1">
        <v>2</v>
      </c>
      <c r="J1313" s="1">
        <v>2</v>
      </c>
      <c r="K1313" t="s">
        <v>6638</v>
      </c>
      <c r="L1313" s="5" t="e">
        <f>VLOOKUP(D:D,[1]Munka2!$A:$B,2,FALSE)</f>
        <v>#N/A</v>
      </c>
      <c r="M1313" s="5">
        <f>_xlfn.IFNA(Táblázat1[[#This Row],[Kész2020]],0)</f>
        <v>0</v>
      </c>
      <c r="N1313" s="5">
        <f>IF(Táblázat1[[#This Row],[Karb./akt.év]]-Táblázat1[[#This Row],[Kész2020_2]]&lt;0,0,Táblázat1[[#This Row],[Karb./akt.év]]-Táblázat1[[#This Row],[Kész2020_2]])</f>
        <v>2</v>
      </c>
    </row>
    <row r="1314" spans="1:14" x14ac:dyDescent="0.25">
      <c r="A1314" s="17" t="s">
        <v>7299</v>
      </c>
      <c r="B1314" s="17" t="s">
        <v>636</v>
      </c>
      <c r="C1314" s="17" t="s">
        <v>1748</v>
      </c>
      <c r="D1314" s="17" t="s">
        <v>2410</v>
      </c>
      <c r="E1314" s="17" t="s">
        <v>4250</v>
      </c>
      <c r="F1314" s="17" t="s">
        <v>4251</v>
      </c>
      <c r="G1314" s="17" t="s">
        <v>5596</v>
      </c>
      <c r="H1314" t="s">
        <v>7476</v>
      </c>
      <c r="I1314" s="1">
        <v>2</v>
      </c>
      <c r="J1314" s="1">
        <v>2</v>
      </c>
      <c r="K1314" t="s">
        <v>6638</v>
      </c>
      <c r="L1314" s="5" t="e">
        <f>VLOOKUP(D:D,[1]Munka2!$A:$B,2,FALSE)</f>
        <v>#N/A</v>
      </c>
      <c r="M1314" s="5">
        <f>_xlfn.IFNA(Táblázat1[[#This Row],[Kész2020]],0)</f>
        <v>0</v>
      </c>
      <c r="N1314" s="5">
        <f>IF(Táblázat1[[#This Row],[Karb./akt.év]]-Táblázat1[[#This Row],[Kész2020_2]]&lt;0,0,Táblázat1[[#This Row],[Karb./akt.év]]-Táblázat1[[#This Row],[Kész2020_2]])</f>
        <v>2</v>
      </c>
    </row>
    <row r="1315" spans="1:14" hidden="1" x14ac:dyDescent="0.25">
      <c r="A1315" s="17" t="s">
        <v>7299</v>
      </c>
      <c r="B1315" s="17" t="s">
        <v>61</v>
      </c>
      <c r="C1315" s="17" t="s">
        <v>1748</v>
      </c>
      <c r="D1315" s="17" t="s">
        <v>1800</v>
      </c>
      <c r="E1315" s="17" t="s">
        <v>3646</v>
      </c>
      <c r="F1315" s="17" t="s">
        <v>3647</v>
      </c>
      <c r="G1315" s="17" t="s">
        <v>7636</v>
      </c>
      <c r="H1315" t="s">
        <v>7476</v>
      </c>
      <c r="I1315" s="1">
        <v>2</v>
      </c>
      <c r="J1315" s="1">
        <v>2</v>
      </c>
      <c r="K1315" t="s">
        <v>6638</v>
      </c>
      <c r="L1315" s="5">
        <f>VLOOKUP(D:D,[1]Munka2!$A:$B,2,FALSE)</f>
        <v>1</v>
      </c>
      <c r="M1315" s="5">
        <f>_xlfn.IFNA(Táblázat1[[#This Row],[Kész2020]],0)</f>
        <v>1</v>
      </c>
      <c r="N1315" s="5">
        <f>IF(Táblázat1[[#This Row],[Karb./akt.év]]-Táblázat1[[#This Row],[Kész2020_2]]&lt;0,0,Táblázat1[[#This Row],[Karb./akt.év]]-Táblázat1[[#This Row],[Kész2020_2]])</f>
        <v>1</v>
      </c>
    </row>
    <row r="1316" spans="1:14" hidden="1" x14ac:dyDescent="0.25">
      <c r="A1316" s="17" t="s">
        <v>7299</v>
      </c>
      <c r="B1316" s="17" t="s">
        <v>7731</v>
      </c>
      <c r="C1316" s="17" t="s">
        <v>1753</v>
      </c>
      <c r="D1316" s="17" t="s">
        <v>7835</v>
      </c>
      <c r="E1316" s="17" t="s">
        <v>7953</v>
      </c>
      <c r="F1316" s="17" t="s">
        <v>7954</v>
      </c>
      <c r="G1316" s="17" t="s">
        <v>8057</v>
      </c>
      <c r="H1316" t="s">
        <v>7476</v>
      </c>
      <c r="I1316" s="1">
        <v>2</v>
      </c>
      <c r="J1316" s="1">
        <v>2</v>
      </c>
      <c r="K1316" t="s">
        <v>6639</v>
      </c>
      <c r="L1316" s="5">
        <f>VLOOKUP(D:D,[1]Munka2!$A:$B,2,FALSE)</f>
        <v>1</v>
      </c>
      <c r="M1316" s="5">
        <f>_xlfn.IFNA(Táblázat1[[#This Row],[Kész2020]],0)</f>
        <v>1</v>
      </c>
      <c r="N1316" s="5">
        <f>IF(Táblázat1[[#This Row],[Karb./akt.év]]-Táblázat1[[#This Row],[Kész2020_2]]&lt;0,0,Táblázat1[[#This Row],[Karb./akt.év]]-Táblázat1[[#This Row],[Kész2020_2]])</f>
        <v>1</v>
      </c>
    </row>
    <row r="1317" spans="1:14" x14ac:dyDescent="0.25">
      <c r="A1317" s="17" t="s">
        <v>7299</v>
      </c>
      <c r="B1317" s="17" t="s">
        <v>7732</v>
      </c>
      <c r="C1317" s="17" t="s">
        <v>1753</v>
      </c>
      <c r="D1317" s="17" t="s">
        <v>7836</v>
      </c>
      <c r="E1317" s="17" t="s">
        <v>7955</v>
      </c>
      <c r="F1317" s="17" t="s">
        <v>7956</v>
      </c>
      <c r="G1317" s="17" t="s">
        <v>5501</v>
      </c>
      <c r="H1317" t="s">
        <v>7476</v>
      </c>
      <c r="I1317" s="1">
        <v>2</v>
      </c>
      <c r="J1317" s="1">
        <v>2</v>
      </c>
      <c r="K1317" t="s">
        <v>6639</v>
      </c>
      <c r="L1317" s="5" t="e">
        <f>VLOOKUP(D:D,[1]Munka2!$A:$B,2,FALSE)</f>
        <v>#N/A</v>
      </c>
      <c r="M1317" s="5">
        <f>_xlfn.IFNA(Táblázat1[[#This Row],[Kész2020]],0)</f>
        <v>0</v>
      </c>
      <c r="N1317" s="5">
        <f>IF(Táblázat1[[#This Row],[Karb./akt.év]]-Táblázat1[[#This Row],[Kész2020_2]]&lt;0,0,Táblázat1[[#This Row],[Karb./akt.év]]-Táblázat1[[#This Row],[Kész2020_2]])</f>
        <v>2</v>
      </c>
    </row>
    <row r="1318" spans="1:14" hidden="1" x14ac:dyDescent="0.25">
      <c r="A1318" s="17" t="s">
        <v>7299</v>
      </c>
      <c r="B1318" s="17" t="s">
        <v>7733</v>
      </c>
      <c r="C1318" s="17" t="s">
        <v>1746</v>
      </c>
      <c r="D1318" s="17" t="s">
        <v>7837</v>
      </c>
      <c r="E1318" s="17" t="s">
        <v>4194</v>
      </c>
      <c r="F1318" s="17" t="s">
        <v>4195</v>
      </c>
      <c r="G1318" s="17" t="s">
        <v>8058</v>
      </c>
      <c r="H1318" t="s">
        <v>7476</v>
      </c>
      <c r="I1318" s="1">
        <v>2</v>
      </c>
      <c r="J1318" s="1">
        <v>2</v>
      </c>
      <c r="K1318" t="s">
        <v>6639</v>
      </c>
      <c r="L1318" s="5">
        <f>VLOOKUP(D:D,[1]Munka2!$A:$B,2,FALSE)</f>
        <v>1</v>
      </c>
      <c r="M1318" s="5">
        <f>_xlfn.IFNA(Táblázat1[[#This Row],[Kész2020]],0)</f>
        <v>1</v>
      </c>
      <c r="N1318" s="5">
        <f>IF(Táblázat1[[#This Row],[Karb./akt.év]]-Táblázat1[[#This Row],[Kész2020_2]]&lt;0,0,Táblázat1[[#This Row],[Karb./akt.év]]-Táblázat1[[#This Row],[Kész2020_2]])</f>
        <v>1</v>
      </c>
    </row>
    <row r="1319" spans="1:14" hidden="1" x14ac:dyDescent="0.25">
      <c r="A1319" s="17" t="s">
        <v>7299</v>
      </c>
      <c r="B1319" s="17" t="s">
        <v>678</v>
      </c>
      <c r="C1319" s="17" t="s">
        <v>1757</v>
      </c>
      <c r="D1319" s="17" t="s">
        <v>2453</v>
      </c>
      <c r="E1319" s="17" t="s">
        <v>4288</v>
      </c>
      <c r="F1319" s="17" t="s">
        <v>4289</v>
      </c>
      <c r="G1319" s="17" t="s">
        <v>5635</v>
      </c>
      <c r="H1319" t="s">
        <v>7476</v>
      </c>
      <c r="I1319" s="1">
        <v>2</v>
      </c>
      <c r="J1319" s="1">
        <v>2</v>
      </c>
      <c r="K1319" t="s">
        <v>6637</v>
      </c>
      <c r="L1319" s="5">
        <f>VLOOKUP(D:D,[1]Munka2!$A:$B,2,FALSE)</f>
        <v>1</v>
      </c>
      <c r="M1319" s="5">
        <f>_xlfn.IFNA(Táblázat1[[#This Row],[Kész2020]],0)</f>
        <v>1</v>
      </c>
      <c r="N1319" s="5">
        <f>IF(Táblázat1[[#This Row],[Karb./akt.év]]-Táblázat1[[#This Row],[Kész2020_2]]&lt;0,0,Táblázat1[[#This Row],[Karb./akt.év]]-Táblázat1[[#This Row],[Kész2020_2]])</f>
        <v>1</v>
      </c>
    </row>
    <row r="1320" spans="1:14" hidden="1" x14ac:dyDescent="0.25">
      <c r="A1320" s="17" t="s">
        <v>7299</v>
      </c>
      <c r="B1320" s="17" t="s">
        <v>7560</v>
      </c>
      <c r="C1320" s="17" t="s">
        <v>1749</v>
      </c>
      <c r="D1320" s="17" t="s">
        <v>3577</v>
      </c>
      <c r="E1320" s="17" t="s">
        <v>3897</v>
      </c>
      <c r="F1320" s="17" t="s">
        <v>3898</v>
      </c>
      <c r="G1320" s="17" t="s">
        <v>6613</v>
      </c>
      <c r="H1320" t="s">
        <v>7476</v>
      </c>
      <c r="I1320" s="1">
        <v>2</v>
      </c>
      <c r="J1320" s="1">
        <v>2</v>
      </c>
      <c r="K1320" t="s">
        <v>6637</v>
      </c>
      <c r="L1320" s="5">
        <f>VLOOKUP(D:D,[1]Munka2!$A:$B,2,FALSE)</f>
        <v>1</v>
      </c>
      <c r="M1320" s="5">
        <f>_xlfn.IFNA(Táblázat1[[#This Row],[Kész2020]],0)</f>
        <v>1</v>
      </c>
      <c r="N1320" s="5">
        <f>IF(Táblázat1[[#This Row],[Karb./akt.év]]-Táblázat1[[#This Row],[Kész2020_2]]&lt;0,0,Táblázat1[[#This Row],[Karb./akt.év]]-Táblázat1[[#This Row],[Kész2020_2]])</f>
        <v>1</v>
      </c>
    </row>
    <row r="1321" spans="1:14" hidden="1" x14ac:dyDescent="0.25">
      <c r="A1321" s="17" t="s">
        <v>7299</v>
      </c>
      <c r="B1321" s="17" t="s">
        <v>7561</v>
      </c>
      <c r="C1321" s="17" t="s">
        <v>1736</v>
      </c>
      <c r="D1321" s="17" t="s">
        <v>7056</v>
      </c>
      <c r="E1321" s="17" t="s">
        <v>7092</v>
      </c>
      <c r="F1321" s="17" t="s">
        <v>7093</v>
      </c>
      <c r="G1321" s="17" t="s">
        <v>6255</v>
      </c>
      <c r="H1321" t="s">
        <v>7476</v>
      </c>
      <c r="I1321" s="1">
        <v>2</v>
      </c>
      <c r="J1321" s="1">
        <v>2</v>
      </c>
      <c r="K1321" t="s">
        <v>6637</v>
      </c>
      <c r="L1321" s="5">
        <f>VLOOKUP(D:D,[1]Munka2!$A:$B,2,FALSE)</f>
        <v>1</v>
      </c>
      <c r="M1321" s="5">
        <f>_xlfn.IFNA(Táblázat1[[#This Row],[Kész2020]],0)</f>
        <v>1</v>
      </c>
      <c r="N1321" s="5">
        <f>IF(Táblázat1[[#This Row],[Karb./akt.év]]-Táblázat1[[#This Row],[Kész2020_2]]&lt;0,0,Táblázat1[[#This Row],[Karb./akt.év]]-Táblázat1[[#This Row],[Kész2020_2]])</f>
        <v>1</v>
      </c>
    </row>
    <row r="1322" spans="1:14" hidden="1" x14ac:dyDescent="0.25">
      <c r="A1322" s="17" t="s">
        <v>7299</v>
      </c>
      <c r="B1322" s="17" t="s">
        <v>204</v>
      </c>
      <c r="C1322" s="17" t="s">
        <v>1758</v>
      </c>
      <c r="D1322" s="17" t="s">
        <v>1945</v>
      </c>
      <c r="E1322" s="17" t="s">
        <v>3825</v>
      </c>
      <c r="F1322" s="17" t="s">
        <v>3826</v>
      </c>
      <c r="G1322" s="17" t="s">
        <v>5174</v>
      </c>
      <c r="H1322" t="s">
        <v>7476</v>
      </c>
      <c r="I1322" s="1">
        <v>2</v>
      </c>
      <c r="J1322" s="1">
        <v>2</v>
      </c>
      <c r="K1322" t="s">
        <v>6637</v>
      </c>
      <c r="L1322" s="5">
        <f>VLOOKUP(D:D,[1]Munka2!$A:$B,2,FALSE)</f>
        <v>1</v>
      </c>
      <c r="M1322" s="5">
        <f>_xlfn.IFNA(Táblázat1[[#This Row],[Kész2020]],0)</f>
        <v>1</v>
      </c>
      <c r="N1322" s="5">
        <f>IF(Táblázat1[[#This Row],[Karb./akt.év]]-Táblázat1[[#This Row],[Kész2020_2]]&lt;0,0,Táblázat1[[#This Row],[Karb./akt.év]]-Táblázat1[[#This Row],[Kész2020_2]])</f>
        <v>1</v>
      </c>
    </row>
    <row r="1323" spans="1:14" hidden="1" x14ac:dyDescent="0.25">
      <c r="A1323" s="17" t="s">
        <v>7299</v>
      </c>
      <c r="B1323" s="17" t="s">
        <v>969</v>
      </c>
      <c r="C1323" s="17" t="s">
        <v>1738</v>
      </c>
      <c r="D1323" s="17" t="s">
        <v>2756</v>
      </c>
      <c r="E1323" s="17" t="s">
        <v>4552</v>
      </c>
      <c r="F1323" s="17" t="s">
        <v>4553</v>
      </c>
      <c r="G1323" s="17" t="s">
        <v>5898</v>
      </c>
      <c r="H1323" t="s">
        <v>7476</v>
      </c>
      <c r="I1323" s="1">
        <v>2</v>
      </c>
      <c r="J1323" s="1">
        <v>2</v>
      </c>
      <c r="K1323" t="s">
        <v>6637</v>
      </c>
      <c r="L1323" s="5">
        <f>VLOOKUP(D:D,[1]Munka2!$A:$B,2,FALSE)</f>
        <v>1</v>
      </c>
      <c r="M1323" s="5">
        <f>_xlfn.IFNA(Táblázat1[[#This Row],[Kész2020]],0)</f>
        <v>1</v>
      </c>
      <c r="N1323" s="5">
        <f>IF(Táblázat1[[#This Row],[Karb./akt.év]]-Táblázat1[[#This Row],[Kész2020_2]]&lt;0,0,Táblázat1[[#This Row],[Karb./akt.év]]-Táblázat1[[#This Row],[Kész2020_2]])</f>
        <v>1</v>
      </c>
    </row>
    <row r="1324" spans="1:14" hidden="1" x14ac:dyDescent="0.25">
      <c r="A1324" s="17" t="s">
        <v>7299</v>
      </c>
      <c r="B1324" s="17" t="s">
        <v>1431</v>
      </c>
      <c r="C1324" s="17" t="s">
        <v>1758</v>
      </c>
      <c r="D1324" s="17" t="s">
        <v>3262</v>
      </c>
      <c r="E1324" s="17" t="s">
        <v>4886</v>
      </c>
      <c r="F1324" s="17" t="s">
        <v>4887</v>
      </c>
      <c r="G1324" s="17" t="s">
        <v>6335</v>
      </c>
      <c r="H1324" t="s">
        <v>7476</v>
      </c>
      <c r="I1324" s="1">
        <v>2</v>
      </c>
      <c r="J1324" s="1">
        <v>2</v>
      </c>
      <c r="K1324" t="s">
        <v>6637</v>
      </c>
      <c r="L1324" s="5">
        <f>VLOOKUP(D:D,[1]Munka2!$A:$B,2,FALSE)</f>
        <v>1</v>
      </c>
      <c r="M1324" s="5">
        <f>_xlfn.IFNA(Táblázat1[[#This Row],[Kész2020]],0)</f>
        <v>1</v>
      </c>
      <c r="N1324" s="5">
        <f>IF(Táblázat1[[#This Row],[Karb./akt.év]]-Táblázat1[[#This Row],[Kész2020_2]]&lt;0,0,Táblázat1[[#This Row],[Karb./akt.év]]-Táblázat1[[#This Row],[Kész2020_2]])</f>
        <v>1</v>
      </c>
    </row>
    <row r="1325" spans="1:14" hidden="1" x14ac:dyDescent="0.25">
      <c r="A1325" s="17" t="s">
        <v>7299</v>
      </c>
      <c r="B1325" s="17" t="s">
        <v>1402</v>
      </c>
      <c r="C1325" s="17" t="s">
        <v>1738</v>
      </c>
      <c r="D1325" s="17" t="s">
        <v>3229</v>
      </c>
      <c r="E1325" s="17" t="s">
        <v>4873</v>
      </c>
      <c r="F1325" s="17" t="s">
        <v>4874</v>
      </c>
      <c r="G1325" s="17" t="s">
        <v>6307</v>
      </c>
      <c r="H1325" t="s">
        <v>7476</v>
      </c>
      <c r="I1325" s="1">
        <v>2</v>
      </c>
      <c r="J1325" s="1">
        <v>2</v>
      </c>
      <c r="K1325" t="s">
        <v>6637</v>
      </c>
      <c r="L1325" s="5">
        <f>VLOOKUP(D:D,[1]Munka2!$A:$B,2,FALSE)</f>
        <v>1</v>
      </c>
      <c r="M1325" s="5">
        <f>_xlfn.IFNA(Táblázat1[[#This Row],[Kész2020]],0)</f>
        <v>1</v>
      </c>
      <c r="N1325" s="5">
        <f>IF(Táblázat1[[#This Row],[Karb./akt.év]]-Táblázat1[[#This Row],[Kész2020_2]]&lt;0,0,Táblázat1[[#This Row],[Karb./akt.év]]-Táblázat1[[#This Row],[Kész2020_2]])</f>
        <v>1</v>
      </c>
    </row>
    <row r="1326" spans="1:14" hidden="1" x14ac:dyDescent="0.25">
      <c r="A1326" s="17" t="s">
        <v>7299</v>
      </c>
      <c r="B1326" s="17" t="s">
        <v>320</v>
      </c>
      <c r="C1326" s="17" t="s">
        <v>1747</v>
      </c>
      <c r="D1326" s="17" t="s">
        <v>2069</v>
      </c>
      <c r="E1326" s="17" t="s">
        <v>3943</v>
      </c>
      <c r="F1326" s="17" t="s">
        <v>3944</v>
      </c>
      <c r="G1326" s="17" t="s">
        <v>5286</v>
      </c>
      <c r="H1326" t="s">
        <v>7476</v>
      </c>
      <c r="I1326" s="1">
        <v>2</v>
      </c>
      <c r="J1326" s="1">
        <v>2</v>
      </c>
      <c r="K1326" t="s">
        <v>6637</v>
      </c>
      <c r="L1326" s="5">
        <f>VLOOKUP(D:D,[1]Munka2!$A:$B,2,FALSE)</f>
        <v>1</v>
      </c>
      <c r="M1326" s="5">
        <f>_xlfn.IFNA(Táblázat1[[#This Row],[Kész2020]],0)</f>
        <v>1</v>
      </c>
      <c r="N1326" s="5">
        <f>IF(Táblázat1[[#This Row],[Karb./akt.év]]-Táblázat1[[#This Row],[Kész2020_2]]&lt;0,0,Táblázat1[[#This Row],[Karb./akt.év]]-Táblázat1[[#This Row],[Kész2020_2]])</f>
        <v>1</v>
      </c>
    </row>
    <row r="1327" spans="1:14" hidden="1" x14ac:dyDescent="0.25">
      <c r="A1327" s="17" t="s">
        <v>7299</v>
      </c>
      <c r="B1327" s="17" t="s">
        <v>7562</v>
      </c>
      <c r="C1327" s="17" t="s">
        <v>1735</v>
      </c>
      <c r="D1327" s="17" t="s">
        <v>2397</v>
      </c>
      <c r="E1327" s="17" t="s">
        <v>4238</v>
      </c>
      <c r="F1327" s="17" t="s">
        <v>4239</v>
      </c>
      <c r="G1327" s="17" t="s">
        <v>5583</v>
      </c>
      <c r="H1327" t="s">
        <v>7476</v>
      </c>
      <c r="I1327" s="1">
        <v>2</v>
      </c>
      <c r="J1327" s="1">
        <v>2</v>
      </c>
      <c r="K1327" t="s">
        <v>6637</v>
      </c>
      <c r="L1327" s="5">
        <f>VLOOKUP(D:D,[1]Munka2!$A:$B,2,FALSE)</f>
        <v>1</v>
      </c>
      <c r="M1327" s="5">
        <f>_xlfn.IFNA(Táblázat1[[#This Row],[Kész2020]],0)</f>
        <v>1</v>
      </c>
      <c r="N1327" s="5">
        <f>IF(Táblázat1[[#This Row],[Karb./akt.év]]-Táblázat1[[#This Row],[Kész2020_2]]&lt;0,0,Táblázat1[[#This Row],[Karb./akt.év]]-Táblázat1[[#This Row],[Kész2020_2]])</f>
        <v>1</v>
      </c>
    </row>
    <row r="1328" spans="1:14" x14ac:dyDescent="0.25">
      <c r="A1328" s="17" t="s">
        <v>7299</v>
      </c>
      <c r="B1328" s="17" t="s">
        <v>7286</v>
      </c>
      <c r="C1328" s="17" t="s">
        <v>7300</v>
      </c>
      <c r="D1328" s="17" t="s">
        <v>7316</v>
      </c>
      <c r="E1328" s="17" t="s">
        <v>7333</v>
      </c>
      <c r="F1328" s="17" t="s">
        <v>3681</v>
      </c>
      <c r="G1328" s="17" t="s">
        <v>7347</v>
      </c>
      <c r="H1328" t="s">
        <v>7476</v>
      </c>
      <c r="I1328" s="1">
        <v>2</v>
      </c>
      <c r="J1328" s="1">
        <v>2</v>
      </c>
      <c r="K1328" t="s">
        <v>6637</v>
      </c>
      <c r="L1328" s="5" t="e">
        <f>VLOOKUP(D:D,[1]Munka2!$A:$B,2,FALSE)</f>
        <v>#N/A</v>
      </c>
      <c r="M1328" s="5">
        <f>_xlfn.IFNA(Táblázat1[[#This Row],[Kész2020]],0)</f>
        <v>0</v>
      </c>
      <c r="N1328" s="5">
        <f>IF(Táblázat1[[#This Row],[Karb./akt.év]]-Táblázat1[[#This Row],[Kész2020_2]]&lt;0,0,Táblázat1[[#This Row],[Karb./akt.év]]-Táblázat1[[#This Row],[Kész2020_2]])</f>
        <v>2</v>
      </c>
    </row>
    <row r="1329" spans="1:14" hidden="1" x14ac:dyDescent="0.25">
      <c r="A1329" s="17" t="s">
        <v>7299</v>
      </c>
      <c r="B1329" s="17" t="s">
        <v>62</v>
      </c>
      <c r="C1329" s="17" t="s">
        <v>1749</v>
      </c>
      <c r="D1329" s="17" t="s">
        <v>1801</v>
      </c>
      <c r="E1329" s="17" t="s">
        <v>3648</v>
      </c>
      <c r="F1329" s="17" t="s">
        <v>3649</v>
      </c>
      <c r="G1329" s="17" t="s">
        <v>5037</v>
      </c>
      <c r="H1329" t="s">
        <v>7476</v>
      </c>
      <c r="I1329" s="1">
        <v>2</v>
      </c>
      <c r="J1329" s="1">
        <v>2</v>
      </c>
      <c r="K1329" t="s">
        <v>6637</v>
      </c>
      <c r="L1329" s="5">
        <f>VLOOKUP(D:D,[1]Munka2!$A:$B,2,FALSE)</f>
        <v>1</v>
      </c>
      <c r="M1329" s="5">
        <f>_xlfn.IFNA(Táblázat1[[#This Row],[Kész2020]],0)</f>
        <v>1</v>
      </c>
      <c r="N1329" s="5">
        <f>IF(Táblázat1[[#This Row],[Karb./akt.év]]-Táblázat1[[#This Row],[Kész2020_2]]&lt;0,0,Táblázat1[[#This Row],[Karb./akt.év]]-Táblázat1[[#This Row],[Kész2020_2]])</f>
        <v>1</v>
      </c>
    </row>
    <row r="1330" spans="1:14" hidden="1" x14ac:dyDescent="0.25">
      <c r="A1330" s="17" t="s">
        <v>7299</v>
      </c>
      <c r="B1330" s="17" t="s">
        <v>76</v>
      </c>
      <c r="C1330" s="17" t="s">
        <v>1749</v>
      </c>
      <c r="D1330" s="17" t="s">
        <v>1814</v>
      </c>
      <c r="E1330" s="17" t="s">
        <v>3665</v>
      </c>
      <c r="F1330" s="17" t="s">
        <v>3666</v>
      </c>
      <c r="G1330" s="17" t="s">
        <v>5050</v>
      </c>
      <c r="H1330" t="s">
        <v>7476</v>
      </c>
      <c r="I1330" s="1">
        <v>2</v>
      </c>
      <c r="J1330" s="1">
        <v>2</v>
      </c>
      <c r="K1330" t="s">
        <v>6637</v>
      </c>
      <c r="L1330" s="5">
        <f>VLOOKUP(D:D,[1]Munka2!$A:$B,2,FALSE)</f>
        <v>1</v>
      </c>
      <c r="M1330" s="5">
        <f>_xlfn.IFNA(Táblázat1[[#This Row],[Kész2020]],0)</f>
        <v>1</v>
      </c>
      <c r="N1330" s="5">
        <f>IF(Táblázat1[[#This Row],[Karb./akt.év]]-Táblázat1[[#This Row],[Kész2020_2]]&lt;0,0,Táblázat1[[#This Row],[Karb./akt.év]]-Táblázat1[[#This Row],[Kész2020_2]])</f>
        <v>1</v>
      </c>
    </row>
    <row r="1331" spans="1:14" hidden="1" x14ac:dyDescent="0.25">
      <c r="A1331" s="17" t="s">
        <v>7299</v>
      </c>
      <c r="B1331" s="17" t="s">
        <v>351</v>
      </c>
      <c r="C1331" s="17" t="s">
        <v>1749</v>
      </c>
      <c r="D1331" s="17" t="s">
        <v>2105</v>
      </c>
      <c r="E1331" s="17" t="s">
        <v>3980</v>
      </c>
      <c r="F1331" s="17" t="s">
        <v>3981</v>
      </c>
      <c r="G1331" s="17" t="s">
        <v>5317</v>
      </c>
      <c r="H1331" t="s">
        <v>7476</v>
      </c>
      <c r="I1331" s="1">
        <v>2</v>
      </c>
      <c r="J1331" s="1">
        <v>2</v>
      </c>
      <c r="K1331" t="s">
        <v>6637</v>
      </c>
      <c r="L1331" s="5">
        <f>VLOOKUP(D:D,[1]Munka2!$A:$B,2,FALSE)</f>
        <v>1</v>
      </c>
      <c r="M1331" s="5">
        <f>_xlfn.IFNA(Táblázat1[[#This Row],[Kész2020]],0)</f>
        <v>1</v>
      </c>
      <c r="N1331" s="5">
        <f>IF(Táblázat1[[#This Row],[Karb./akt.év]]-Táblázat1[[#This Row],[Kész2020_2]]&lt;0,0,Táblázat1[[#This Row],[Karb./akt.év]]-Táblázat1[[#This Row],[Kész2020_2]])</f>
        <v>1</v>
      </c>
    </row>
    <row r="1332" spans="1:14" hidden="1" x14ac:dyDescent="0.25">
      <c r="A1332" s="17" t="s">
        <v>7299</v>
      </c>
      <c r="B1332" s="17" t="s">
        <v>7734</v>
      </c>
      <c r="C1332" s="17" t="s">
        <v>1738</v>
      </c>
      <c r="D1332" s="17" t="s">
        <v>7838</v>
      </c>
      <c r="E1332" s="17" t="s">
        <v>4895</v>
      </c>
      <c r="F1332" s="17" t="s">
        <v>4896</v>
      </c>
      <c r="G1332" s="17" t="s">
        <v>6362</v>
      </c>
      <c r="H1332" t="s">
        <v>7476</v>
      </c>
      <c r="I1332" s="1">
        <v>2</v>
      </c>
      <c r="J1332" s="1">
        <v>2</v>
      </c>
      <c r="K1332" t="s">
        <v>6637</v>
      </c>
      <c r="L1332" s="5">
        <f>VLOOKUP(D:D,[1]Munka2!$A:$B,2,FALSE)</f>
        <v>1</v>
      </c>
      <c r="M1332" s="5">
        <f>_xlfn.IFNA(Táblázat1[[#This Row],[Kész2020]],0)</f>
        <v>1</v>
      </c>
      <c r="N1332" s="5">
        <f>IF(Táblázat1[[#This Row],[Karb./akt.év]]-Táblázat1[[#This Row],[Kész2020_2]]&lt;0,0,Táblázat1[[#This Row],[Karb./akt.év]]-Táblázat1[[#This Row],[Kész2020_2]])</f>
        <v>1</v>
      </c>
    </row>
    <row r="1333" spans="1:14" hidden="1" x14ac:dyDescent="0.25">
      <c r="A1333" s="17" t="s">
        <v>7299</v>
      </c>
      <c r="B1333" s="17" t="s">
        <v>7735</v>
      </c>
      <c r="C1333" s="17" t="s">
        <v>1737</v>
      </c>
      <c r="D1333" s="17" t="s">
        <v>7839</v>
      </c>
      <c r="E1333" s="17" t="s">
        <v>3680</v>
      </c>
      <c r="F1333" s="17" t="s">
        <v>3681</v>
      </c>
      <c r="G1333" s="17" t="s">
        <v>8059</v>
      </c>
      <c r="H1333" t="s">
        <v>7476</v>
      </c>
      <c r="I1333" s="1">
        <v>2</v>
      </c>
      <c r="J1333" s="1">
        <v>0</v>
      </c>
      <c r="K1333" t="s">
        <v>6637</v>
      </c>
      <c r="L1333" s="5" t="e">
        <f>VLOOKUP(D:D,[1]Munka2!$A:$B,2,FALSE)</f>
        <v>#N/A</v>
      </c>
      <c r="M1333" s="5">
        <f>_xlfn.IFNA(Táblázat1[[#This Row],[Kész2020]],0)</f>
        <v>0</v>
      </c>
      <c r="N1333" s="5">
        <f>IF(Táblázat1[[#This Row],[Karb./akt.év]]-Táblázat1[[#This Row],[Kész2020_2]]&lt;0,0,Táblázat1[[#This Row],[Karb./akt.év]]-Táblázat1[[#This Row],[Kész2020_2]])</f>
        <v>0</v>
      </c>
    </row>
    <row r="1334" spans="1:14" hidden="1" x14ac:dyDescent="0.25">
      <c r="A1334" s="17" t="s">
        <v>7299</v>
      </c>
      <c r="B1334" s="17" t="s">
        <v>1239</v>
      </c>
      <c r="C1334" s="17" t="s">
        <v>1747</v>
      </c>
      <c r="D1334" s="17" t="s">
        <v>3048</v>
      </c>
      <c r="E1334" s="17" t="s">
        <v>4736</v>
      </c>
      <c r="F1334" s="17" t="s">
        <v>4737</v>
      </c>
      <c r="G1334" s="17" t="s">
        <v>6166</v>
      </c>
      <c r="H1334" t="s">
        <v>7476</v>
      </c>
      <c r="I1334" s="1">
        <v>2</v>
      </c>
      <c r="J1334" s="1">
        <v>2</v>
      </c>
      <c r="K1334" t="s">
        <v>6637</v>
      </c>
      <c r="L1334" s="5">
        <f>VLOOKUP(D:D,[1]Munka2!$A:$B,2,FALSE)</f>
        <v>1</v>
      </c>
      <c r="M1334" s="5">
        <f>_xlfn.IFNA(Táblázat1[[#This Row],[Kész2020]],0)</f>
        <v>1</v>
      </c>
      <c r="N1334" s="5">
        <f>IF(Táblázat1[[#This Row],[Karb./akt.év]]-Táblázat1[[#This Row],[Kész2020_2]]&lt;0,0,Táblázat1[[#This Row],[Karb./akt.év]]-Táblázat1[[#This Row],[Kész2020_2]])</f>
        <v>1</v>
      </c>
    </row>
    <row r="1335" spans="1:14" hidden="1" x14ac:dyDescent="0.25">
      <c r="A1335" s="17" t="s">
        <v>7299</v>
      </c>
      <c r="B1335" s="17" t="s">
        <v>7736</v>
      </c>
      <c r="C1335" s="17" t="s">
        <v>1749</v>
      </c>
      <c r="D1335" s="17" t="s">
        <v>7840</v>
      </c>
      <c r="E1335" s="17" t="s">
        <v>4066</v>
      </c>
      <c r="F1335" s="17" t="s">
        <v>3681</v>
      </c>
      <c r="G1335" s="17" t="s">
        <v>8060</v>
      </c>
      <c r="H1335" t="s">
        <v>7476</v>
      </c>
      <c r="I1335" s="1">
        <v>2</v>
      </c>
      <c r="J1335" s="1">
        <v>0</v>
      </c>
      <c r="K1335" t="s">
        <v>6637</v>
      </c>
      <c r="L1335" s="5" t="e">
        <f>VLOOKUP(D:D,[1]Munka2!$A:$B,2,FALSE)</f>
        <v>#N/A</v>
      </c>
      <c r="M1335" s="5">
        <f>_xlfn.IFNA(Táblázat1[[#This Row],[Kész2020]],0)</f>
        <v>0</v>
      </c>
      <c r="N1335" s="5">
        <f>IF(Táblázat1[[#This Row],[Karb./akt.év]]-Táblázat1[[#This Row],[Kész2020_2]]&lt;0,0,Táblázat1[[#This Row],[Karb./akt.év]]-Táblázat1[[#This Row],[Kész2020_2]])</f>
        <v>0</v>
      </c>
    </row>
    <row r="1336" spans="1:14" hidden="1" x14ac:dyDescent="0.25">
      <c r="A1336" s="17" t="s">
        <v>7299</v>
      </c>
      <c r="B1336" s="17" t="s">
        <v>1658</v>
      </c>
      <c r="C1336" s="17" t="s">
        <v>1747</v>
      </c>
      <c r="D1336" s="17" t="s">
        <v>3515</v>
      </c>
      <c r="E1336" s="17" t="s">
        <v>4971</v>
      </c>
      <c r="F1336" s="17" t="s">
        <v>4972</v>
      </c>
      <c r="G1336" s="17" t="s">
        <v>6556</v>
      </c>
      <c r="H1336" t="s">
        <v>7476</v>
      </c>
      <c r="I1336" s="1">
        <v>2</v>
      </c>
      <c r="J1336" s="1">
        <v>2</v>
      </c>
      <c r="K1336" t="s">
        <v>6637</v>
      </c>
      <c r="L1336" s="5">
        <f>VLOOKUP(D:D,[1]Munka2!$A:$B,2,FALSE)</f>
        <v>1</v>
      </c>
      <c r="M1336" s="5">
        <f>_xlfn.IFNA(Táblázat1[[#This Row],[Kész2020]],0)</f>
        <v>1</v>
      </c>
      <c r="N1336" s="5">
        <f>IF(Táblázat1[[#This Row],[Karb./akt.év]]-Táblázat1[[#This Row],[Kész2020_2]]&lt;0,0,Táblázat1[[#This Row],[Karb./akt.év]]-Táblázat1[[#This Row],[Kész2020_2]])</f>
        <v>1</v>
      </c>
    </row>
    <row r="1337" spans="1:14" hidden="1" x14ac:dyDescent="0.25">
      <c r="A1337" s="17" t="s">
        <v>7299</v>
      </c>
      <c r="B1337" s="17" t="s">
        <v>7737</v>
      </c>
      <c r="C1337" s="17" t="s">
        <v>1738</v>
      </c>
      <c r="D1337" s="17" t="s">
        <v>7841</v>
      </c>
      <c r="E1337" s="17" t="s">
        <v>7957</v>
      </c>
      <c r="F1337" s="17" t="s">
        <v>7958</v>
      </c>
      <c r="G1337" s="17" t="s">
        <v>8061</v>
      </c>
      <c r="H1337" t="s">
        <v>7476</v>
      </c>
      <c r="I1337" s="1">
        <v>2</v>
      </c>
      <c r="J1337" s="1">
        <v>0</v>
      </c>
      <c r="K1337" t="s">
        <v>6637</v>
      </c>
      <c r="L1337" s="5" t="e">
        <f>VLOOKUP(D:D,[1]Munka2!$A:$B,2,FALSE)</f>
        <v>#N/A</v>
      </c>
      <c r="M1337" s="5">
        <f>_xlfn.IFNA(Táblázat1[[#This Row],[Kész2020]],0)</f>
        <v>0</v>
      </c>
      <c r="N1337" s="5">
        <f>IF(Táblázat1[[#This Row],[Karb./akt.év]]-Táblázat1[[#This Row],[Kész2020_2]]&lt;0,0,Táblázat1[[#This Row],[Karb./akt.év]]-Táblázat1[[#This Row],[Kész2020_2]])</f>
        <v>0</v>
      </c>
    </row>
    <row r="1338" spans="1:14" hidden="1" x14ac:dyDescent="0.25">
      <c r="A1338" s="17" t="s">
        <v>7299</v>
      </c>
      <c r="B1338" s="17" t="s">
        <v>7563</v>
      </c>
      <c r="C1338" s="17" t="s">
        <v>1758</v>
      </c>
      <c r="D1338" s="17" t="s">
        <v>7382</v>
      </c>
      <c r="E1338" s="17" t="s">
        <v>4012</v>
      </c>
      <c r="F1338" s="17" t="s">
        <v>3681</v>
      </c>
      <c r="G1338" s="17" t="s">
        <v>5966</v>
      </c>
      <c r="H1338" t="s">
        <v>7476</v>
      </c>
      <c r="I1338" s="1">
        <v>2</v>
      </c>
      <c r="J1338" s="1">
        <v>2</v>
      </c>
      <c r="K1338" t="s">
        <v>6637</v>
      </c>
      <c r="L1338" s="5">
        <f>VLOOKUP(D:D,[1]Munka2!$A:$B,2,FALSE)</f>
        <v>1</v>
      </c>
      <c r="M1338" s="5">
        <f>_xlfn.IFNA(Táblázat1[[#This Row],[Kész2020]],0)</f>
        <v>1</v>
      </c>
      <c r="N1338" s="5">
        <f>IF(Táblázat1[[#This Row],[Karb./akt.év]]-Táblázat1[[#This Row],[Kész2020_2]]&lt;0,0,Táblázat1[[#This Row],[Karb./akt.év]]-Táblázat1[[#This Row],[Kész2020_2]])</f>
        <v>1</v>
      </c>
    </row>
    <row r="1339" spans="1:14" hidden="1" x14ac:dyDescent="0.25">
      <c r="A1339" s="17" t="s">
        <v>7299</v>
      </c>
      <c r="B1339" s="17" t="s">
        <v>1449</v>
      </c>
      <c r="C1339" s="17" t="s">
        <v>1742</v>
      </c>
      <c r="D1339" s="17" t="s">
        <v>3281</v>
      </c>
      <c r="E1339" s="17" t="s">
        <v>4380</v>
      </c>
      <c r="F1339" s="17" t="s">
        <v>4381</v>
      </c>
      <c r="G1339" s="17" t="s">
        <v>6355</v>
      </c>
      <c r="H1339" t="s">
        <v>7476</v>
      </c>
      <c r="I1339" s="1">
        <v>2</v>
      </c>
      <c r="J1339" s="1">
        <v>2</v>
      </c>
      <c r="K1339" t="s">
        <v>6637</v>
      </c>
      <c r="L1339" s="5">
        <f>VLOOKUP(D:D,[1]Munka2!$A:$B,2,FALSE)</f>
        <v>1</v>
      </c>
      <c r="M1339" s="5">
        <f>_xlfn.IFNA(Táblázat1[[#This Row],[Kész2020]],0)</f>
        <v>1</v>
      </c>
      <c r="N1339" s="5">
        <f>IF(Táblázat1[[#This Row],[Karb./akt.év]]-Táblázat1[[#This Row],[Kész2020_2]]&lt;0,0,Táblázat1[[#This Row],[Karb./akt.év]]-Táblázat1[[#This Row],[Kész2020_2]])</f>
        <v>1</v>
      </c>
    </row>
    <row r="1340" spans="1:14" hidden="1" x14ac:dyDescent="0.25">
      <c r="A1340" s="17" t="s">
        <v>7299</v>
      </c>
      <c r="B1340" s="17" t="s">
        <v>258</v>
      </c>
      <c r="C1340" s="17" t="s">
        <v>1749</v>
      </c>
      <c r="D1340" s="17" t="s">
        <v>2004</v>
      </c>
      <c r="E1340" s="17" t="s">
        <v>3883</v>
      </c>
      <c r="F1340" s="17" t="s">
        <v>3884</v>
      </c>
      <c r="G1340" s="17" t="s">
        <v>7637</v>
      </c>
      <c r="H1340" t="s">
        <v>7476</v>
      </c>
      <c r="I1340" s="1">
        <v>2</v>
      </c>
      <c r="J1340" s="1">
        <v>2</v>
      </c>
      <c r="K1340" t="s">
        <v>6637</v>
      </c>
      <c r="L1340" s="5">
        <f>VLOOKUP(D:D,[1]Munka2!$A:$B,2,FALSE)</f>
        <v>1</v>
      </c>
      <c r="M1340" s="5">
        <f>_xlfn.IFNA(Táblázat1[[#This Row],[Kész2020]],0)</f>
        <v>1</v>
      </c>
      <c r="N1340" s="5">
        <f>IF(Táblázat1[[#This Row],[Karb./akt.év]]-Táblázat1[[#This Row],[Kész2020_2]]&lt;0,0,Táblázat1[[#This Row],[Karb./akt.év]]-Táblázat1[[#This Row],[Kész2020_2]])</f>
        <v>1</v>
      </c>
    </row>
    <row r="1341" spans="1:14" hidden="1" x14ac:dyDescent="0.25">
      <c r="A1341" s="17" t="s">
        <v>7299</v>
      </c>
      <c r="B1341" s="17" t="s">
        <v>7564</v>
      </c>
      <c r="C1341" s="17" t="s">
        <v>1749</v>
      </c>
      <c r="D1341" s="17" t="s">
        <v>2216</v>
      </c>
      <c r="E1341" s="17" t="s">
        <v>4067</v>
      </c>
      <c r="F1341" s="17" t="s">
        <v>4068</v>
      </c>
      <c r="G1341" s="17" t="s">
        <v>5424</v>
      </c>
      <c r="H1341" t="s">
        <v>7476</v>
      </c>
      <c r="I1341" s="1">
        <v>2</v>
      </c>
      <c r="J1341" s="1">
        <v>0</v>
      </c>
      <c r="K1341" t="s">
        <v>6784</v>
      </c>
      <c r="L1341" s="5" t="e">
        <f>VLOOKUP(D:D,[1]Munka2!$A:$B,2,FALSE)</f>
        <v>#N/A</v>
      </c>
      <c r="M1341" s="5">
        <f>_xlfn.IFNA(Táblázat1[[#This Row],[Kész2020]],0)</f>
        <v>0</v>
      </c>
      <c r="N1341" s="5">
        <f>IF(Táblázat1[[#This Row],[Karb./akt.év]]-Táblázat1[[#This Row],[Kész2020_2]]&lt;0,0,Táblázat1[[#This Row],[Karb./akt.év]]-Táblázat1[[#This Row],[Kész2020_2]])</f>
        <v>0</v>
      </c>
    </row>
    <row r="1342" spans="1:14" hidden="1" x14ac:dyDescent="0.25">
      <c r="A1342" s="17" t="s">
        <v>7299</v>
      </c>
      <c r="B1342" s="17" t="s">
        <v>7565</v>
      </c>
      <c r="C1342" s="17" t="s">
        <v>1757</v>
      </c>
      <c r="D1342" s="17" t="s">
        <v>2271</v>
      </c>
      <c r="E1342" s="17" t="s">
        <v>4119</v>
      </c>
      <c r="F1342" s="17" t="s">
        <v>4120</v>
      </c>
      <c r="G1342" s="17" t="s">
        <v>5470</v>
      </c>
      <c r="H1342" t="s">
        <v>7476</v>
      </c>
      <c r="I1342" s="1">
        <v>2</v>
      </c>
      <c r="J1342" s="1">
        <v>2</v>
      </c>
      <c r="K1342" t="s">
        <v>6637</v>
      </c>
      <c r="L1342" s="5">
        <f>VLOOKUP(D:D,[1]Munka2!$A:$B,2,FALSE)</f>
        <v>1</v>
      </c>
      <c r="M1342" s="5">
        <f>_xlfn.IFNA(Táblázat1[[#This Row],[Kész2020]],0)</f>
        <v>1</v>
      </c>
      <c r="N1342" s="5">
        <f>IF(Táblázat1[[#This Row],[Karb./akt.év]]-Táblázat1[[#This Row],[Kész2020_2]]&lt;0,0,Táblázat1[[#This Row],[Karb./akt.év]]-Táblázat1[[#This Row],[Kész2020_2]])</f>
        <v>1</v>
      </c>
    </row>
    <row r="1343" spans="1:14" hidden="1" x14ac:dyDescent="0.25">
      <c r="A1343" s="17" t="s">
        <v>7299</v>
      </c>
      <c r="B1343" s="17" t="s">
        <v>706</v>
      </c>
      <c r="C1343" s="17" t="s">
        <v>1749</v>
      </c>
      <c r="D1343" s="17" t="s">
        <v>2482</v>
      </c>
      <c r="E1343" s="17" t="s">
        <v>4309</v>
      </c>
      <c r="F1343" s="17" t="s">
        <v>4310</v>
      </c>
      <c r="G1343" s="17" t="s">
        <v>5660</v>
      </c>
      <c r="H1343" t="s">
        <v>7476</v>
      </c>
      <c r="I1343" s="1">
        <v>2</v>
      </c>
      <c r="J1343" s="1">
        <v>2</v>
      </c>
      <c r="K1343" t="s">
        <v>6784</v>
      </c>
      <c r="L1343" s="5">
        <f>VLOOKUP(D:D,[1]Munka2!$A:$B,2,FALSE)</f>
        <v>1</v>
      </c>
      <c r="M1343" s="5">
        <f>_xlfn.IFNA(Táblázat1[[#This Row],[Kész2020]],0)</f>
        <v>1</v>
      </c>
      <c r="N1343" s="5">
        <f>IF(Táblázat1[[#This Row],[Karb./akt.év]]-Táblázat1[[#This Row],[Kész2020_2]]&lt;0,0,Táblázat1[[#This Row],[Karb./akt.év]]-Táblázat1[[#This Row],[Kész2020_2]])</f>
        <v>1</v>
      </c>
    </row>
    <row r="1344" spans="1:14" hidden="1" x14ac:dyDescent="0.25">
      <c r="A1344" s="17" t="s">
        <v>7299</v>
      </c>
      <c r="B1344" s="17" t="s">
        <v>7566</v>
      </c>
      <c r="C1344" s="17" t="s">
        <v>1757</v>
      </c>
      <c r="D1344" s="17" t="s">
        <v>3022</v>
      </c>
      <c r="E1344" s="17" t="s">
        <v>4577</v>
      </c>
      <c r="F1344" s="17" t="s">
        <v>3681</v>
      </c>
      <c r="G1344" s="17" t="s">
        <v>6144</v>
      </c>
      <c r="H1344" t="s">
        <v>7476</v>
      </c>
      <c r="I1344" s="1">
        <v>2</v>
      </c>
      <c r="J1344" s="1">
        <v>2</v>
      </c>
      <c r="K1344" t="s">
        <v>6637</v>
      </c>
      <c r="L1344" s="5">
        <f>VLOOKUP(D:D,[1]Munka2!$A:$B,2,FALSE)</f>
        <v>1</v>
      </c>
      <c r="M1344" s="5">
        <f>_xlfn.IFNA(Táblázat1[[#This Row],[Kész2020]],0)</f>
        <v>1</v>
      </c>
      <c r="N1344" s="5">
        <f>IF(Táblázat1[[#This Row],[Karb./akt.év]]-Táblázat1[[#This Row],[Kész2020_2]]&lt;0,0,Táblázat1[[#This Row],[Karb./akt.év]]-Táblázat1[[#This Row],[Kész2020_2]])</f>
        <v>1</v>
      </c>
    </row>
    <row r="1345" spans="1:14" hidden="1" x14ac:dyDescent="0.25">
      <c r="A1345" s="17" t="s">
        <v>7299</v>
      </c>
      <c r="B1345" s="17" t="s">
        <v>1521</v>
      </c>
      <c r="C1345" s="17" t="s">
        <v>1738</v>
      </c>
      <c r="D1345" s="17" t="s">
        <v>3363</v>
      </c>
      <c r="E1345" s="17" t="s">
        <v>4922</v>
      </c>
      <c r="F1345" s="17" t="s">
        <v>4923</v>
      </c>
      <c r="G1345" s="17" t="s">
        <v>6428</v>
      </c>
      <c r="H1345" t="s">
        <v>7476</v>
      </c>
      <c r="I1345" s="1">
        <v>2</v>
      </c>
      <c r="J1345" s="1">
        <v>2</v>
      </c>
      <c r="K1345" t="s">
        <v>6643</v>
      </c>
      <c r="L1345" s="5">
        <f>VLOOKUP(D:D,[1]Munka2!$A:$B,2,FALSE)</f>
        <v>1</v>
      </c>
      <c r="M1345" s="5">
        <f>_xlfn.IFNA(Táblázat1[[#This Row],[Kész2020]],0)</f>
        <v>1</v>
      </c>
      <c r="N1345" s="5">
        <f>IF(Táblázat1[[#This Row],[Karb./akt.év]]-Táblázat1[[#This Row],[Kész2020_2]]&lt;0,0,Táblázat1[[#This Row],[Karb./akt.év]]-Táblázat1[[#This Row],[Kész2020_2]])</f>
        <v>1</v>
      </c>
    </row>
    <row r="1346" spans="1:14" hidden="1" x14ac:dyDescent="0.25">
      <c r="A1346" s="17" t="s">
        <v>7299</v>
      </c>
      <c r="B1346" s="17" t="s">
        <v>1440</v>
      </c>
      <c r="C1346" s="17" t="s">
        <v>1738</v>
      </c>
      <c r="D1346" s="17" t="s">
        <v>3270</v>
      </c>
      <c r="E1346" s="17" t="s">
        <v>3995</v>
      </c>
      <c r="F1346" s="17" t="s">
        <v>3996</v>
      </c>
      <c r="G1346" s="17" t="s">
        <v>6345</v>
      </c>
      <c r="H1346" t="s">
        <v>7476</v>
      </c>
      <c r="I1346" s="1">
        <v>2</v>
      </c>
      <c r="J1346" s="1">
        <v>2</v>
      </c>
      <c r="K1346" t="s">
        <v>6643</v>
      </c>
      <c r="L1346" s="5">
        <f>VLOOKUP(D:D,[1]Munka2!$A:$B,2,FALSE)</f>
        <v>1</v>
      </c>
      <c r="M1346" s="5">
        <f>_xlfn.IFNA(Táblázat1[[#This Row],[Kész2020]],0)</f>
        <v>1</v>
      </c>
      <c r="N1346" s="5">
        <f>IF(Táblázat1[[#This Row],[Karb./akt.év]]-Táblázat1[[#This Row],[Kész2020_2]]&lt;0,0,Táblázat1[[#This Row],[Karb./akt.év]]-Táblázat1[[#This Row],[Kész2020_2]])</f>
        <v>1</v>
      </c>
    </row>
    <row r="1347" spans="1:14" hidden="1" x14ac:dyDescent="0.25">
      <c r="A1347" s="17" t="s">
        <v>7299</v>
      </c>
      <c r="B1347" s="17" t="s">
        <v>639</v>
      </c>
      <c r="C1347" s="17" t="s">
        <v>1738</v>
      </c>
      <c r="D1347" s="17" t="s">
        <v>2413</v>
      </c>
      <c r="E1347" s="17" t="s">
        <v>4254</v>
      </c>
      <c r="F1347" s="17" t="s">
        <v>4255</v>
      </c>
      <c r="G1347" s="17" t="s">
        <v>5599</v>
      </c>
      <c r="H1347" t="s">
        <v>7476</v>
      </c>
      <c r="I1347" s="1">
        <v>2</v>
      </c>
      <c r="J1347" s="1">
        <v>2</v>
      </c>
      <c r="K1347" t="s">
        <v>6643</v>
      </c>
      <c r="L1347" s="5">
        <f>VLOOKUP(D:D,[1]Munka2!$A:$B,2,FALSE)</f>
        <v>1</v>
      </c>
      <c r="M1347" s="5">
        <f>_xlfn.IFNA(Táblázat1[[#This Row],[Kész2020]],0)</f>
        <v>1</v>
      </c>
      <c r="N1347" s="5">
        <f>IF(Táblázat1[[#This Row],[Karb./akt.év]]-Táblázat1[[#This Row],[Kész2020_2]]&lt;0,0,Táblázat1[[#This Row],[Karb./akt.év]]-Táblázat1[[#This Row],[Kész2020_2]])</f>
        <v>1</v>
      </c>
    </row>
    <row r="1348" spans="1:14" hidden="1" x14ac:dyDescent="0.25">
      <c r="A1348" s="17" t="s">
        <v>7299</v>
      </c>
      <c r="B1348" s="17" t="s">
        <v>34</v>
      </c>
      <c r="C1348" s="17" t="s">
        <v>1738</v>
      </c>
      <c r="D1348" s="17" t="s">
        <v>1772</v>
      </c>
      <c r="E1348" s="17" t="s">
        <v>3603</v>
      </c>
      <c r="F1348" s="17" t="s">
        <v>3604</v>
      </c>
      <c r="G1348" s="17" t="s">
        <v>5011</v>
      </c>
      <c r="H1348" t="s">
        <v>7476</v>
      </c>
      <c r="I1348" s="1">
        <v>2</v>
      </c>
      <c r="J1348" s="1">
        <v>2</v>
      </c>
      <c r="K1348" t="s">
        <v>6643</v>
      </c>
      <c r="L1348" s="5">
        <f>VLOOKUP(D:D,[1]Munka2!$A:$B,2,FALSE)</f>
        <v>1</v>
      </c>
      <c r="M1348" s="5">
        <f>_xlfn.IFNA(Táblázat1[[#This Row],[Kész2020]],0)</f>
        <v>1</v>
      </c>
      <c r="N1348" s="5">
        <f>IF(Táblázat1[[#This Row],[Karb./akt.év]]-Táblázat1[[#This Row],[Kész2020_2]]&lt;0,0,Táblázat1[[#This Row],[Karb./akt.év]]-Táblázat1[[#This Row],[Kész2020_2]])</f>
        <v>1</v>
      </c>
    </row>
    <row r="1349" spans="1:14" x14ac:dyDescent="0.25">
      <c r="A1349" s="17" t="s">
        <v>7299</v>
      </c>
      <c r="B1349" s="17" t="s">
        <v>216</v>
      </c>
      <c r="C1349" s="17" t="s">
        <v>1754</v>
      </c>
      <c r="D1349" s="17" t="s">
        <v>1958</v>
      </c>
      <c r="E1349" s="17" t="s">
        <v>3625</v>
      </c>
      <c r="F1349" s="17" t="s">
        <v>3626</v>
      </c>
      <c r="G1349" s="17" t="s">
        <v>5184</v>
      </c>
      <c r="H1349" t="s">
        <v>7476</v>
      </c>
      <c r="I1349" s="1">
        <v>2</v>
      </c>
      <c r="J1349" s="1">
        <v>2</v>
      </c>
      <c r="K1349" t="s">
        <v>6642</v>
      </c>
      <c r="L1349" s="5" t="e">
        <f>VLOOKUP(D:D,[1]Munka2!$A:$B,2,FALSE)</f>
        <v>#N/A</v>
      </c>
      <c r="M1349" s="5">
        <f>_xlfn.IFNA(Táblázat1[[#This Row],[Kész2020]],0)</f>
        <v>0</v>
      </c>
      <c r="N1349" s="5">
        <f>IF(Táblázat1[[#This Row],[Karb./akt.év]]-Táblázat1[[#This Row],[Kész2020_2]]&lt;0,0,Táblázat1[[#This Row],[Karb./akt.év]]-Táblázat1[[#This Row],[Kész2020_2]])</f>
        <v>2</v>
      </c>
    </row>
    <row r="1350" spans="1:14" hidden="1" x14ac:dyDescent="0.25">
      <c r="A1350" s="17" t="s">
        <v>7299</v>
      </c>
      <c r="B1350" s="17" t="s">
        <v>558</v>
      </c>
      <c r="C1350" s="17" t="s">
        <v>1735</v>
      </c>
      <c r="D1350" s="17" t="s">
        <v>2329</v>
      </c>
      <c r="E1350" s="17" t="s">
        <v>3871</v>
      </c>
      <c r="F1350" s="17" t="s">
        <v>3872</v>
      </c>
      <c r="G1350" s="17" t="s">
        <v>5520</v>
      </c>
      <c r="H1350" t="s">
        <v>7476</v>
      </c>
      <c r="I1350" s="1">
        <v>2</v>
      </c>
      <c r="J1350" s="1">
        <v>2</v>
      </c>
      <c r="K1350" t="s">
        <v>6784</v>
      </c>
      <c r="L1350" s="5">
        <f>VLOOKUP(D:D,[1]Munka2!$A:$B,2,FALSE)</f>
        <v>1</v>
      </c>
      <c r="M1350" s="5">
        <f>_xlfn.IFNA(Táblázat1[[#This Row],[Kész2020]],0)</f>
        <v>1</v>
      </c>
      <c r="N1350" s="5">
        <f>IF(Táblázat1[[#This Row],[Karb./akt.év]]-Táblázat1[[#This Row],[Kész2020_2]]&lt;0,0,Táblázat1[[#This Row],[Karb./akt.év]]-Táblázat1[[#This Row],[Kész2020_2]])</f>
        <v>1</v>
      </c>
    </row>
    <row r="1351" spans="1:14" hidden="1" x14ac:dyDescent="0.25">
      <c r="A1351" s="17" t="s">
        <v>7299</v>
      </c>
      <c r="B1351" s="17" t="s">
        <v>135</v>
      </c>
      <c r="C1351" s="17" t="s">
        <v>1754</v>
      </c>
      <c r="D1351" s="17" t="s">
        <v>1875</v>
      </c>
      <c r="E1351" s="17" t="s">
        <v>3732</v>
      </c>
      <c r="F1351" s="17" t="s">
        <v>3733</v>
      </c>
      <c r="G1351" s="17" t="s">
        <v>5107</v>
      </c>
      <c r="H1351" t="s">
        <v>7476</v>
      </c>
      <c r="I1351" s="1">
        <v>2</v>
      </c>
      <c r="J1351" s="1">
        <v>2</v>
      </c>
      <c r="K1351" t="s">
        <v>6784</v>
      </c>
      <c r="L1351" s="5">
        <f>VLOOKUP(D:D,[1]Munka2!$A:$B,2,FALSE)</f>
        <v>1</v>
      </c>
      <c r="M1351" s="5">
        <f>_xlfn.IFNA(Táblázat1[[#This Row],[Kész2020]],0)</f>
        <v>1</v>
      </c>
      <c r="N1351" s="5">
        <f>IF(Táblázat1[[#This Row],[Karb./akt.év]]-Táblázat1[[#This Row],[Kész2020_2]]&lt;0,0,Táblázat1[[#This Row],[Karb./akt.év]]-Táblázat1[[#This Row],[Kész2020_2]])</f>
        <v>1</v>
      </c>
    </row>
    <row r="1352" spans="1:14" hidden="1" x14ac:dyDescent="0.25">
      <c r="A1352" s="17" t="s">
        <v>7299</v>
      </c>
      <c r="B1352" s="17" t="s">
        <v>487</v>
      </c>
      <c r="C1352" s="17" t="s">
        <v>1735</v>
      </c>
      <c r="D1352" s="17" t="s">
        <v>2247</v>
      </c>
      <c r="E1352" s="17" t="s">
        <v>4091</v>
      </c>
      <c r="F1352" s="17" t="s">
        <v>4092</v>
      </c>
      <c r="G1352" s="17" t="s">
        <v>5448</v>
      </c>
      <c r="H1352" t="s">
        <v>7476</v>
      </c>
      <c r="I1352" s="1">
        <v>2</v>
      </c>
      <c r="J1352" s="1">
        <v>2</v>
      </c>
      <c r="K1352" t="s">
        <v>6784</v>
      </c>
      <c r="L1352" s="5">
        <f>VLOOKUP(D:D,[1]Munka2!$A:$B,2,FALSE)</f>
        <v>1</v>
      </c>
      <c r="M1352" s="5">
        <f>_xlfn.IFNA(Táblázat1[[#This Row],[Kész2020]],0)</f>
        <v>1</v>
      </c>
      <c r="N1352" s="5">
        <f>IF(Táblázat1[[#This Row],[Karb./akt.év]]-Táblázat1[[#This Row],[Kész2020_2]]&lt;0,0,Táblázat1[[#This Row],[Karb./akt.év]]-Táblázat1[[#This Row],[Kész2020_2]])</f>
        <v>1</v>
      </c>
    </row>
    <row r="1353" spans="1:14" hidden="1" x14ac:dyDescent="0.25">
      <c r="A1353" s="17" t="s">
        <v>7299</v>
      </c>
      <c r="B1353" s="17" t="s">
        <v>1147</v>
      </c>
      <c r="C1353" s="17" t="s">
        <v>1737</v>
      </c>
      <c r="D1353" s="17" t="s">
        <v>2945</v>
      </c>
      <c r="E1353" s="17" t="s">
        <v>4652</v>
      </c>
      <c r="F1353" s="17" t="s">
        <v>4653</v>
      </c>
      <c r="G1353" s="17" t="s">
        <v>6077</v>
      </c>
      <c r="H1353" t="s">
        <v>7476</v>
      </c>
      <c r="I1353" s="1">
        <v>2</v>
      </c>
      <c r="J1353" s="1">
        <v>2</v>
      </c>
      <c r="K1353" t="s">
        <v>6642</v>
      </c>
      <c r="L1353" s="5">
        <f>VLOOKUP(D:D,[1]Munka2!$A:$B,2,FALSE)</f>
        <v>1</v>
      </c>
      <c r="M1353" s="5">
        <f>_xlfn.IFNA(Táblázat1[[#This Row],[Kész2020]],0)</f>
        <v>1</v>
      </c>
      <c r="N1353" s="5">
        <f>IF(Táblázat1[[#This Row],[Karb./akt.év]]-Táblázat1[[#This Row],[Kész2020_2]]&lt;0,0,Táblázat1[[#This Row],[Karb./akt.év]]-Táblázat1[[#This Row],[Kész2020_2]])</f>
        <v>1</v>
      </c>
    </row>
    <row r="1354" spans="1:14" x14ac:dyDescent="0.25">
      <c r="A1354" s="17" t="s">
        <v>7299</v>
      </c>
      <c r="B1354" s="17" t="s">
        <v>299</v>
      </c>
      <c r="C1354" s="17" t="s">
        <v>1743</v>
      </c>
      <c r="D1354" s="17" t="s">
        <v>2048</v>
      </c>
      <c r="E1354" s="17" t="s">
        <v>3920</v>
      </c>
      <c r="F1354" s="17" t="s">
        <v>3921</v>
      </c>
      <c r="G1354" s="17" t="s">
        <v>5266</v>
      </c>
      <c r="H1354" t="s">
        <v>7476</v>
      </c>
      <c r="I1354" s="1">
        <v>2</v>
      </c>
      <c r="J1354" s="1">
        <v>2</v>
      </c>
      <c r="K1354" t="s">
        <v>6642</v>
      </c>
      <c r="L1354" s="5" t="e">
        <f>VLOOKUP(D:D,[1]Munka2!$A:$B,2,FALSE)</f>
        <v>#N/A</v>
      </c>
      <c r="M1354" s="5">
        <f>_xlfn.IFNA(Táblázat1[[#This Row],[Kész2020]],0)</f>
        <v>0</v>
      </c>
      <c r="N1354" s="5">
        <f>IF(Táblázat1[[#This Row],[Karb./akt.év]]-Táblázat1[[#This Row],[Kész2020_2]]&lt;0,0,Táblázat1[[#This Row],[Karb./akt.év]]-Táblázat1[[#This Row],[Kész2020_2]])</f>
        <v>2</v>
      </c>
    </row>
    <row r="1355" spans="1:14" x14ac:dyDescent="0.25">
      <c r="A1355" s="17" t="s">
        <v>7299</v>
      </c>
      <c r="B1355" s="17" t="s">
        <v>7738</v>
      </c>
      <c r="C1355" s="17" t="s">
        <v>7785</v>
      </c>
      <c r="D1355" s="17" t="s">
        <v>7842</v>
      </c>
      <c r="E1355" s="17" t="s">
        <v>4279</v>
      </c>
      <c r="F1355" s="17" t="s">
        <v>3598</v>
      </c>
      <c r="G1355" s="17" t="s">
        <v>8062</v>
      </c>
      <c r="H1355" t="s">
        <v>7476</v>
      </c>
      <c r="I1355" s="1">
        <v>2</v>
      </c>
      <c r="J1355" s="1">
        <v>2</v>
      </c>
      <c r="K1355" t="s">
        <v>6643</v>
      </c>
      <c r="L1355" s="5" t="e">
        <f>VLOOKUP(D:D,[1]Munka2!$A:$B,2,FALSE)</f>
        <v>#N/A</v>
      </c>
      <c r="M1355" s="5">
        <f>_xlfn.IFNA(Táblázat1[[#This Row],[Kész2020]],0)</f>
        <v>0</v>
      </c>
      <c r="N1355" s="5">
        <f>IF(Táblázat1[[#This Row],[Karb./akt.év]]-Táblázat1[[#This Row],[Kész2020_2]]&lt;0,0,Táblázat1[[#This Row],[Karb./akt.év]]-Táblázat1[[#This Row],[Kész2020_2]])</f>
        <v>2</v>
      </c>
    </row>
    <row r="1356" spans="1:14" hidden="1" x14ac:dyDescent="0.25">
      <c r="A1356" s="17" t="s">
        <v>7299</v>
      </c>
      <c r="B1356" s="17" t="s">
        <v>201</v>
      </c>
      <c r="C1356" s="17" t="s">
        <v>1735</v>
      </c>
      <c r="D1356" s="17" t="s">
        <v>1942</v>
      </c>
      <c r="E1356" s="17" t="s">
        <v>3822</v>
      </c>
      <c r="F1356" s="17" t="s">
        <v>3823</v>
      </c>
      <c r="G1356" s="17" t="s">
        <v>5171</v>
      </c>
      <c r="H1356" t="s">
        <v>7476</v>
      </c>
      <c r="I1356" s="1">
        <v>2</v>
      </c>
      <c r="J1356" s="1">
        <v>2</v>
      </c>
      <c r="K1356" t="s">
        <v>6784</v>
      </c>
      <c r="L1356" s="5">
        <f>VLOOKUP(D:D,[1]Munka2!$A:$B,2,FALSE)</f>
        <v>1</v>
      </c>
      <c r="M1356" s="5">
        <f>_xlfn.IFNA(Táblázat1[[#This Row],[Kész2020]],0)</f>
        <v>1</v>
      </c>
      <c r="N1356" s="5">
        <f>IF(Táblázat1[[#This Row],[Karb./akt.év]]-Táblázat1[[#This Row],[Kész2020_2]]&lt;0,0,Táblázat1[[#This Row],[Karb./akt.év]]-Táblázat1[[#This Row],[Kész2020_2]])</f>
        <v>1</v>
      </c>
    </row>
    <row r="1357" spans="1:14" x14ac:dyDescent="0.25">
      <c r="A1357" s="17" t="s">
        <v>7299</v>
      </c>
      <c r="B1357" s="17" t="s">
        <v>287</v>
      </c>
      <c r="C1357" s="17" t="s">
        <v>1742</v>
      </c>
      <c r="D1357" s="17" t="s">
        <v>2036</v>
      </c>
      <c r="E1357" s="17" t="s">
        <v>3908</v>
      </c>
      <c r="F1357" s="17" t="s">
        <v>3909</v>
      </c>
      <c r="G1357" s="17" t="s">
        <v>5255</v>
      </c>
      <c r="H1357" t="s">
        <v>7476</v>
      </c>
      <c r="I1357" s="1">
        <v>2</v>
      </c>
      <c r="J1357" s="1">
        <v>2</v>
      </c>
      <c r="K1357" t="s">
        <v>6642</v>
      </c>
      <c r="L1357" s="5" t="e">
        <f>VLOOKUP(D:D,[1]Munka2!$A:$B,2,FALSE)</f>
        <v>#N/A</v>
      </c>
      <c r="M1357" s="5">
        <f>_xlfn.IFNA(Táblázat1[[#This Row],[Kész2020]],0)</f>
        <v>0</v>
      </c>
      <c r="N1357" s="5">
        <f>IF(Táblázat1[[#This Row],[Karb./akt.év]]-Táblázat1[[#This Row],[Kész2020_2]]&lt;0,0,Táblázat1[[#This Row],[Karb./akt.év]]-Táblázat1[[#This Row],[Kész2020_2]])</f>
        <v>2</v>
      </c>
    </row>
    <row r="1358" spans="1:14" hidden="1" x14ac:dyDescent="0.25">
      <c r="A1358" s="17" t="s">
        <v>7299</v>
      </c>
      <c r="B1358" s="17" t="s">
        <v>523</v>
      </c>
      <c r="C1358" s="17" t="s">
        <v>1735</v>
      </c>
      <c r="D1358" s="17" t="s">
        <v>2288</v>
      </c>
      <c r="E1358" s="17" t="s">
        <v>4138</v>
      </c>
      <c r="F1358" s="17" t="s">
        <v>4139</v>
      </c>
      <c r="G1358" s="17" t="s">
        <v>5484</v>
      </c>
      <c r="H1358" t="s">
        <v>7476</v>
      </c>
      <c r="I1358" s="1">
        <v>2</v>
      </c>
      <c r="J1358" s="1">
        <v>2</v>
      </c>
      <c r="K1358" t="s">
        <v>6642</v>
      </c>
      <c r="L1358" s="5">
        <f>VLOOKUP(D:D,[1]Munka2!$A:$B,2,FALSE)</f>
        <v>1</v>
      </c>
      <c r="M1358" s="5">
        <f>_xlfn.IFNA(Táblázat1[[#This Row],[Kész2020]],0)</f>
        <v>1</v>
      </c>
      <c r="N1358" s="5">
        <f>IF(Táblázat1[[#This Row],[Karb./akt.év]]-Táblázat1[[#This Row],[Kész2020_2]]&lt;0,0,Táblázat1[[#This Row],[Karb./akt.év]]-Táblázat1[[#This Row],[Kész2020_2]])</f>
        <v>1</v>
      </c>
    </row>
    <row r="1359" spans="1:14" hidden="1" x14ac:dyDescent="0.25">
      <c r="A1359" s="17" t="s">
        <v>7299</v>
      </c>
      <c r="B1359" s="17" t="s">
        <v>496</v>
      </c>
      <c r="C1359" s="17" t="s">
        <v>1742</v>
      </c>
      <c r="D1359" s="17" t="s">
        <v>2255</v>
      </c>
      <c r="E1359" s="17" t="s">
        <v>4099</v>
      </c>
      <c r="F1359" s="17" t="s">
        <v>4100</v>
      </c>
      <c r="G1359" s="17" t="s">
        <v>5455</v>
      </c>
      <c r="H1359" t="s">
        <v>7476</v>
      </c>
      <c r="I1359" s="1">
        <v>2</v>
      </c>
      <c r="J1359" s="1">
        <v>2</v>
      </c>
      <c r="K1359" t="s">
        <v>6642</v>
      </c>
      <c r="L1359" s="5">
        <f>VLOOKUP(D:D,[1]Munka2!$A:$B,2,FALSE)</f>
        <v>1</v>
      </c>
      <c r="M1359" s="5">
        <f>_xlfn.IFNA(Táblázat1[[#This Row],[Kész2020]],0)</f>
        <v>1</v>
      </c>
      <c r="N1359" s="5">
        <f>IF(Táblázat1[[#This Row],[Karb./akt.év]]-Táblázat1[[#This Row],[Kész2020_2]]&lt;0,0,Táblázat1[[#This Row],[Karb./akt.év]]-Táblázat1[[#This Row],[Kész2020_2]])</f>
        <v>1</v>
      </c>
    </row>
    <row r="1360" spans="1:14" hidden="1" x14ac:dyDescent="0.25">
      <c r="A1360" s="17" t="s">
        <v>7299</v>
      </c>
      <c r="B1360" s="17" t="s">
        <v>1159</v>
      </c>
      <c r="C1360" s="17" t="s">
        <v>1747</v>
      </c>
      <c r="D1360" s="17" t="s">
        <v>7384</v>
      </c>
      <c r="E1360" s="17" t="s">
        <v>4664</v>
      </c>
      <c r="F1360" s="17" t="s">
        <v>4665</v>
      </c>
      <c r="G1360" s="17" t="s">
        <v>6086</v>
      </c>
      <c r="H1360" t="s">
        <v>7476</v>
      </c>
      <c r="I1360" s="1">
        <v>2</v>
      </c>
      <c r="J1360" s="1">
        <v>2</v>
      </c>
      <c r="K1360" t="s">
        <v>6784</v>
      </c>
      <c r="L1360" s="5">
        <f>VLOOKUP(D:D,[1]Munka2!$A:$B,2,FALSE)</f>
        <v>1</v>
      </c>
      <c r="M1360" s="5">
        <f>_xlfn.IFNA(Táblázat1[[#This Row],[Kész2020]],0)</f>
        <v>1</v>
      </c>
      <c r="N1360" s="5">
        <f>IF(Táblázat1[[#This Row],[Karb./akt.év]]-Táblázat1[[#This Row],[Kész2020_2]]&lt;0,0,Táblázat1[[#This Row],[Karb./akt.év]]-Táblázat1[[#This Row],[Kész2020_2]])</f>
        <v>1</v>
      </c>
    </row>
    <row r="1361" spans="1:14" hidden="1" x14ac:dyDescent="0.25">
      <c r="A1361" s="17" t="s">
        <v>7299</v>
      </c>
      <c r="B1361" s="17" t="s">
        <v>385</v>
      </c>
      <c r="C1361" s="17" t="s">
        <v>1762</v>
      </c>
      <c r="D1361" s="17" t="s">
        <v>2141</v>
      </c>
      <c r="E1361" s="17" t="s">
        <v>4014</v>
      </c>
      <c r="F1361" s="17" t="s">
        <v>4015</v>
      </c>
      <c r="G1361" s="17" t="s">
        <v>5353</v>
      </c>
      <c r="H1361" t="s">
        <v>7476</v>
      </c>
      <c r="I1361" s="1">
        <v>2</v>
      </c>
      <c r="J1361" s="1">
        <v>2</v>
      </c>
      <c r="K1361" t="s">
        <v>6784</v>
      </c>
      <c r="L1361" s="5">
        <f>VLOOKUP(D:D,[1]Munka2!$A:$B,2,FALSE)</f>
        <v>1</v>
      </c>
      <c r="M1361" s="5">
        <f>_xlfn.IFNA(Táblázat1[[#This Row],[Kész2020]],0)</f>
        <v>1</v>
      </c>
      <c r="N1361" s="5">
        <f>IF(Táblázat1[[#This Row],[Karb./akt.év]]-Táblázat1[[#This Row],[Kész2020_2]]&lt;0,0,Táblázat1[[#This Row],[Karb./akt.év]]-Táblázat1[[#This Row],[Kész2020_2]])</f>
        <v>1</v>
      </c>
    </row>
    <row r="1362" spans="1:14" hidden="1" x14ac:dyDescent="0.25">
      <c r="A1362" s="17" t="s">
        <v>7299</v>
      </c>
      <c r="B1362" s="17" t="s">
        <v>670</v>
      </c>
      <c r="C1362" s="17" t="s">
        <v>1746</v>
      </c>
      <c r="D1362" s="17" t="s">
        <v>2444</v>
      </c>
      <c r="E1362" s="17" t="s">
        <v>4281</v>
      </c>
      <c r="F1362" s="17" t="s">
        <v>4282</v>
      </c>
      <c r="G1362" s="17" t="s">
        <v>5626</v>
      </c>
      <c r="H1362" t="s">
        <v>7476</v>
      </c>
      <c r="I1362" s="1">
        <v>2</v>
      </c>
      <c r="J1362" s="1">
        <v>2</v>
      </c>
      <c r="K1362" t="s">
        <v>6784</v>
      </c>
      <c r="L1362" s="5">
        <f>VLOOKUP(D:D,[1]Munka2!$A:$B,2,FALSE)</f>
        <v>1</v>
      </c>
      <c r="M1362" s="5">
        <f>_xlfn.IFNA(Táblázat1[[#This Row],[Kész2020]],0)</f>
        <v>1</v>
      </c>
      <c r="N1362" s="5">
        <f>IF(Táblázat1[[#This Row],[Karb./akt.év]]-Táblázat1[[#This Row],[Kész2020_2]]&lt;0,0,Táblázat1[[#This Row],[Karb./akt.év]]-Táblázat1[[#This Row],[Kész2020_2]])</f>
        <v>1</v>
      </c>
    </row>
    <row r="1363" spans="1:14" hidden="1" x14ac:dyDescent="0.25">
      <c r="A1363" s="17" t="s">
        <v>7299</v>
      </c>
      <c r="B1363" s="17" t="s">
        <v>128</v>
      </c>
      <c r="C1363" s="17" t="s">
        <v>1746</v>
      </c>
      <c r="D1363" s="17" t="s">
        <v>1867</v>
      </c>
      <c r="E1363" s="17" t="s">
        <v>3722</v>
      </c>
      <c r="F1363" s="17" t="s">
        <v>3723</v>
      </c>
      <c r="G1363" s="17" t="s">
        <v>5099</v>
      </c>
      <c r="H1363" t="s">
        <v>7476</v>
      </c>
      <c r="I1363" s="1">
        <v>2</v>
      </c>
      <c r="J1363" s="1">
        <v>2</v>
      </c>
      <c r="K1363" t="s">
        <v>6784</v>
      </c>
      <c r="L1363" s="5">
        <f>VLOOKUP(D:D,[1]Munka2!$A:$B,2,FALSE)</f>
        <v>1</v>
      </c>
      <c r="M1363" s="5">
        <f>_xlfn.IFNA(Táblázat1[[#This Row],[Kész2020]],0)</f>
        <v>1</v>
      </c>
      <c r="N1363" s="5">
        <f>IF(Táblázat1[[#This Row],[Karb./akt.év]]-Táblázat1[[#This Row],[Kész2020_2]]&lt;0,0,Táblázat1[[#This Row],[Karb./akt.év]]-Táblázat1[[#This Row],[Kész2020_2]])</f>
        <v>1</v>
      </c>
    </row>
    <row r="1364" spans="1:14" hidden="1" x14ac:dyDescent="0.25">
      <c r="A1364" s="17" t="s">
        <v>7299</v>
      </c>
      <c r="B1364" s="17" t="s">
        <v>1507</v>
      </c>
      <c r="C1364" s="17" t="s">
        <v>1768</v>
      </c>
      <c r="D1364" s="17" t="s">
        <v>3347</v>
      </c>
      <c r="E1364" s="17" t="s">
        <v>4910</v>
      </c>
      <c r="F1364" s="17" t="s">
        <v>4911</v>
      </c>
      <c r="G1364" s="17" t="s">
        <v>6414</v>
      </c>
      <c r="H1364" t="s">
        <v>7476</v>
      </c>
      <c r="I1364" s="1">
        <v>2</v>
      </c>
      <c r="J1364" s="1">
        <v>2</v>
      </c>
      <c r="K1364" t="s">
        <v>6784</v>
      </c>
      <c r="L1364" s="5">
        <f>VLOOKUP(D:D,[1]Munka2!$A:$B,2,FALSE)</f>
        <v>1</v>
      </c>
      <c r="M1364" s="5">
        <f>_xlfn.IFNA(Táblázat1[[#This Row],[Kész2020]],0)</f>
        <v>1</v>
      </c>
      <c r="N1364" s="5">
        <f>IF(Táblázat1[[#This Row],[Karb./akt.év]]-Táblázat1[[#This Row],[Kész2020_2]]&lt;0,0,Táblázat1[[#This Row],[Karb./akt.év]]-Táblázat1[[#This Row],[Kész2020_2]])</f>
        <v>1</v>
      </c>
    </row>
    <row r="1365" spans="1:14" hidden="1" x14ac:dyDescent="0.25">
      <c r="A1365" s="17" t="s">
        <v>7299</v>
      </c>
      <c r="B1365" s="17" t="s">
        <v>54</v>
      </c>
      <c r="C1365" s="17" t="s">
        <v>1746</v>
      </c>
      <c r="D1365" s="17" t="s">
        <v>1792</v>
      </c>
      <c r="E1365" s="17" t="s">
        <v>3609</v>
      </c>
      <c r="F1365" s="17" t="s">
        <v>3610</v>
      </c>
      <c r="G1365" s="17" t="s">
        <v>5030</v>
      </c>
      <c r="H1365" t="s">
        <v>7476</v>
      </c>
      <c r="I1365" s="1">
        <v>2</v>
      </c>
      <c r="J1365" s="1">
        <v>2</v>
      </c>
      <c r="K1365" t="s">
        <v>6784</v>
      </c>
      <c r="L1365" s="5">
        <f>VLOOKUP(D:D,[1]Munka2!$A:$B,2,FALSE)</f>
        <v>1</v>
      </c>
      <c r="M1365" s="5">
        <f>_xlfn.IFNA(Táblázat1[[#This Row],[Kész2020]],0)</f>
        <v>1</v>
      </c>
      <c r="N1365" s="5">
        <f>IF(Táblázat1[[#This Row],[Karb./akt.év]]-Táblázat1[[#This Row],[Kész2020_2]]&lt;0,0,Táblázat1[[#This Row],[Karb./akt.év]]-Táblázat1[[#This Row],[Kész2020_2]])</f>
        <v>1</v>
      </c>
    </row>
    <row r="1366" spans="1:14" hidden="1" x14ac:dyDescent="0.25">
      <c r="A1366" s="17" t="s">
        <v>7299</v>
      </c>
      <c r="B1366" s="17" t="s">
        <v>1281</v>
      </c>
      <c r="C1366" s="17" t="s">
        <v>1737</v>
      </c>
      <c r="D1366" s="17" t="s">
        <v>3094</v>
      </c>
      <c r="E1366" s="17" t="s">
        <v>4779</v>
      </c>
      <c r="F1366" s="17" t="s">
        <v>4780</v>
      </c>
      <c r="G1366" s="17" t="s">
        <v>6203</v>
      </c>
      <c r="H1366" t="s">
        <v>7476</v>
      </c>
      <c r="I1366" s="1">
        <v>2</v>
      </c>
      <c r="J1366" s="1">
        <v>2</v>
      </c>
      <c r="K1366" t="s">
        <v>8103</v>
      </c>
      <c r="L1366" s="5">
        <f>VLOOKUP(D:D,[1]Munka2!$A:$B,2,FALSE)</f>
        <v>1</v>
      </c>
      <c r="M1366" s="5">
        <f>_xlfn.IFNA(Táblázat1[[#This Row],[Kész2020]],0)</f>
        <v>1</v>
      </c>
      <c r="N1366" s="5">
        <f>IF(Táblázat1[[#This Row],[Karb./akt.év]]-Táblázat1[[#This Row],[Kész2020_2]]&lt;0,0,Táblázat1[[#This Row],[Karb./akt.év]]-Táblázat1[[#This Row],[Kész2020_2]])</f>
        <v>1</v>
      </c>
    </row>
    <row r="1367" spans="1:14" hidden="1" x14ac:dyDescent="0.25">
      <c r="A1367" s="17" t="s">
        <v>7299</v>
      </c>
      <c r="B1367" s="17" t="s">
        <v>620</v>
      </c>
      <c r="C1367" s="17" t="s">
        <v>1735</v>
      </c>
      <c r="D1367" s="17" t="s">
        <v>2393</v>
      </c>
      <c r="E1367" s="17" t="s">
        <v>4234</v>
      </c>
      <c r="F1367" s="17" t="s">
        <v>4235</v>
      </c>
      <c r="G1367" s="17" t="s">
        <v>5580</v>
      </c>
      <c r="H1367" t="s">
        <v>7476</v>
      </c>
      <c r="I1367" s="1">
        <v>2</v>
      </c>
      <c r="J1367" s="1">
        <v>2</v>
      </c>
      <c r="K1367" t="s">
        <v>8103</v>
      </c>
      <c r="L1367" s="5">
        <f>VLOOKUP(D:D,[1]Munka2!$A:$B,2,FALSE)</f>
        <v>1</v>
      </c>
      <c r="M1367" s="5">
        <f>_xlfn.IFNA(Táblázat1[[#This Row],[Kész2020]],0)</f>
        <v>1</v>
      </c>
      <c r="N1367" s="5">
        <f>IF(Táblázat1[[#This Row],[Karb./akt.év]]-Táblázat1[[#This Row],[Kész2020_2]]&lt;0,0,Táblázat1[[#This Row],[Karb./akt.év]]-Táblázat1[[#This Row],[Kész2020_2]])</f>
        <v>1</v>
      </c>
    </row>
    <row r="1368" spans="1:14" hidden="1" x14ac:dyDescent="0.25">
      <c r="A1368" s="17" t="s">
        <v>7299</v>
      </c>
      <c r="B1368" s="17" t="s">
        <v>510</v>
      </c>
      <c r="C1368" s="17" t="s">
        <v>1735</v>
      </c>
      <c r="D1368" s="17" t="s">
        <v>2273</v>
      </c>
      <c r="E1368" s="17" t="s">
        <v>4123</v>
      </c>
      <c r="F1368" s="17" t="s">
        <v>4124</v>
      </c>
      <c r="G1368" s="17" t="s">
        <v>5472</v>
      </c>
      <c r="H1368" t="s">
        <v>7476</v>
      </c>
      <c r="I1368" s="1">
        <v>2</v>
      </c>
      <c r="J1368" s="1">
        <v>2</v>
      </c>
      <c r="K1368" t="s">
        <v>6635</v>
      </c>
      <c r="L1368" s="5">
        <f>VLOOKUP(D:D,[1]Munka2!$A:$B,2,FALSE)</f>
        <v>1</v>
      </c>
      <c r="M1368" s="5">
        <f>_xlfn.IFNA(Táblázat1[[#This Row],[Kész2020]],0)</f>
        <v>1</v>
      </c>
      <c r="N1368" s="5">
        <f>IF(Táblázat1[[#This Row],[Karb./akt.év]]-Táblázat1[[#This Row],[Kész2020_2]]&lt;0,0,Táblázat1[[#This Row],[Karb./akt.év]]-Táblázat1[[#This Row],[Kész2020_2]])</f>
        <v>1</v>
      </c>
    </row>
    <row r="1369" spans="1:14" hidden="1" x14ac:dyDescent="0.25">
      <c r="A1369" s="17" t="s">
        <v>7299</v>
      </c>
      <c r="B1369" s="17" t="s">
        <v>550</v>
      </c>
      <c r="C1369" s="17" t="s">
        <v>1735</v>
      </c>
      <c r="D1369" s="17" t="s">
        <v>2318</v>
      </c>
      <c r="E1369" s="17" t="s">
        <v>4175</v>
      </c>
      <c r="F1369" s="17" t="s">
        <v>4176</v>
      </c>
      <c r="G1369" s="17" t="s">
        <v>5510</v>
      </c>
      <c r="H1369" t="s">
        <v>7476</v>
      </c>
      <c r="I1369" s="1">
        <v>2</v>
      </c>
      <c r="J1369" s="1">
        <v>2</v>
      </c>
      <c r="K1369" t="s">
        <v>6635</v>
      </c>
      <c r="L1369" s="5">
        <f>VLOOKUP(D:D,[1]Munka2!$A:$B,2,FALSE)</f>
        <v>1</v>
      </c>
      <c r="M1369" s="5">
        <f>_xlfn.IFNA(Táblázat1[[#This Row],[Kész2020]],0)</f>
        <v>1</v>
      </c>
      <c r="N1369" s="5">
        <f>IF(Táblázat1[[#This Row],[Karb./akt.év]]-Táblázat1[[#This Row],[Kész2020_2]]&lt;0,0,Táblázat1[[#This Row],[Karb./akt.év]]-Táblázat1[[#This Row],[Kész2020_2]])</f>
        <v>1</v>
      </c>
    </row>
    <row r="1370" spans="1:14" hidden="1" x14ac:dyDescent="0.25">
      <c r="A1370" s="17" t="s">
        <v>7299</v>
      </c>
      <c r="B1370" s="17" t="s">
        <v>240</v>
      </c>
      <c r="C1370" s="17" t="s">
        <v>1740</v>
      </c>
      <c r="D1370" s="17" t="s">
        <v>1984</v>
      </c>
      <c r="E1370" s="17" t="s">
        <v>3851</v>
      </c>
      <c r="F1370" s="17" t="s">
        <v>3852</v>
      </c>
      <c r="G1370" s="17" t="s">
        <v>5207</v>
      </c>
      <c r="H1370" t="s">
        <v>7476</v>
      </c>
      <c r="I1370" s="1">
        <v>2</v>
      </c>
      <c r="J1370" s="1">
        <v>2</v>
      </c>
      <c r="K1370" t="s">
        <v>6643</v>
      </c>
      <c r="L1370" s="5">
        <f>VLOOKUP(D:D,[1]Munka2!$A:$B,2,FALSE)</f>
        <v>1</v>
      </c>
      <c r="M1370" s="5">
        <f>_xlfn.IFNA(Táblázat1[[#This Row],[Kész2020]],0)</f>
        <v>1</v>
      </c>
      <c r="N1370" s="5">
        <f>IF(Táblázat1[[#This Row],[Karb./akt.év]]-Táblázat1[[#This Row],[Kész2020_2]]&lt;0,0,Táblázat1[[#This Row],[Karb./akt.év]]-Táblázat1[[#This Row],[Kész2020_2]])</f>
        <v>1</v>
      </c>
    </row>
    <row r="1371" spans="1:14" x14ac:dyDescent="0.25">
      <c r="A1371" s="17" t="s">
        <v>7299</v>
      </c>
      <c r="B1371" s="17" t="s">
        <v>847</v>
      </c>
      <c r="C1371" s="17" t="s">
        <v>1735</v>
      </c>
      <c r="D1371" s="17" t="s">
        <v>2626</v>
      </c>
      <c r="E1371" s="17" t="s">
        <v>4417</v>
      </c>
      <c r="F1371" s="17" t="s">
        <v>4418</v>
      </c>
      <c r="G1371" s="17" t="s">
        <v>5784</v>
      </c>
      <c r="H1371" t="s">
        <v>7476</v>
      </c>
      <c r="I1371" s="1">
        <v>2</v>
      </c>
      <c r="J1371" s="1">
        <v>2</v>
      </c>
      <c r="K1371" t="s">
        <v>6635</v>
      </c>
      <c r="L1371" s="5" t="e">
        <f>VLOOKUP(D:D,[1]Munka2!$A:$B,2,FALSE)</f>
        <v>#N/A</v>
      </c>
      <c r="M1371" s="5">
        <f>_xlfn.IFNA(Táblázat1[[#This Row],[Kész2020]],0)</f>
        <v>0</v>
      </c>
      <c r="N1371" s="5">
        <f>IF(Táblázat1[[#This Row],[Karb./akt.év]]-Táblázat1[[#This Row],[Kész2020_2]]&lt;0,0,Táblázat1[[#This Row],[Karb./akt.év]]-Táblázat1[[#This Row],[Kész2020_2]])</f>
        <v>2</v>
      </c>
    </row>
    <row r="1372" spans="1:14" x14ac:dyDescent="0.25">
      <c r="A1372" s="17" t="s">
        <v>7299</v>
      </c>
      <c r="B1372" s="17" t="s">
        <v>525</v>
      </c>
      <c r="C1372" s="17" t="s">
        <v>1735</v>
      </c>
      <c r="D1372" s="17" t="s">
        <v>2290</v>
      </c>
      <c r="E1372" s="17" t="s">
        <v>4142</v>
      </c>
      <c r="F1372" s="17" t="s">
        <v>4143</v>
      </c>
      <c r="G1372" s="17" t="s">
        <v>5486</v>
      </c>
      <c r="H1372" t="s">
        <v>7476</v>
      </c>
      <c r="I1372" s="1">
        <v>2</v>
      </c>
      <c r="J1372" s="1">
        <v>2</v>
      </c>
      <c r="K1372" t="s">
        <v>6635</v>
      </c>
      <c r="L1372" s="5" t="e">
        <f>VLOOKUP(D:D,[1]Munka2!$A:$B,2,FALSE)</f>
        <v>#N/A</v>
      </c>
      <c r="M1372" s="5">
        <f>_xlfn.IFNA(Táblázat1[[#This Row],[Kész2020]],0)</f>
        <v>0</v>
      </c>
      <c r="N1372" s="5">
        <f>IF(Táblázat1[[#This Row],[Karb./akt.év]]-Táblázat1[[#This Row],[Kész2020_2]]&lt;0,0,Táblázat1[[#This Row],[Karb./akt.év]]-Táblázat1[[#This Row],[Kész2020_2]])</f>
        <v>2</v>
      </c>
    </row>
    <row r="1373" spans="1:14" hidden="1" x14ac:dyDescent="0.25">
      <c r="A1373" s="17" t="s">
        <v>7299</v>
      </c>
      <c r="B1373" s="17" t="s">
        <v>492</v>
      </c>
      <c r="C1373" s="17" t="s">
        <v>1737</v>
      </c>
      <c r="D1373" s="17" t="s">
        <v>7426</v>
      </c>
      <c r="E1373" s="17" t="s">
        <v>4095</v>
      </c>
      <c r="F1373" s="17" t="s">
        <v>4096</v>
      </c>
      <c r="G1373" s="17" t="s">
        <v>5452</v>
      </c>
      <c r="H1373" t="s">
        <v>7476</v>
      </c>
      <c r="I1373" s="1">
        <v>2</v>
      </c>
      <c r="J1373" s="1">
        <v>2</v>
      </c>
      <c r="K1373" t="s">
        <v>8103</v>
      </c>
      <c r="L1373" s="5">
        <f>VLOOKUP(D:D,[1]Munka2!$A:$B,2,FALSE)</f>
        <v>1</v>
      </c>
      <c r="M1373" s="5">
        <f>_xlfn.IFNA(Táblázat1[[#This Row],[Kész2020]],0)</f>
        <v>1</v>
      </c>
      <c r="N1373" s="5">
        <f>IF(Táblázat1[[#This Row],[Karb./akt.év]]-Táblázat1[[#This Row],[Kész2020_2]]&lt;0,0,Táblázat1[[#This Row],[Karb./akt.év]]-Táblázat1[[#This Row],[Kész2020_2]])</f>
        <v>1</v>
      </c>
    </row>
    <row r="1374" spans="1:14" x14ac:dyDescent="0.25">
      <c r="A1374" s="17" t="s">
        <v>7299</v>
      </c>
      <c r="B1374" s="17" t="s">
        <v>1175</v>
      </c>
      <c r="C1374" s="17" t="s">
        <v>1735</v>
      </c>
      <c r="D1374" s="17" t="s">
        <v>2976</v>
      </c>
      <c r="E1374" s="17" t="s">
        <v>4682</v>
      </c>
      <c r="F1374" s="17" t="s">
        <v>4683</v>
      </c>
      <c r="G1374" s="17" t="s">
        <v>6100</v>
      </c>
      <c r="H1374" t="s">
        <v>7476</v>
      </c>
      <c r="I1374" s="1">
        <v>2</v>
      </c>
      <c r="J1374" s="1">
        <v>2</v>
      </c>
      <c r="K1374" t="s">
        <v>8103</v>
      </c>
      <c r="L1374" s="5" t="e">
        <f>VLOOKUP(D:D,[1]Munka2!$A:$B,2,FALSE)</f>
        <v>#N/A</v>
      </c>
      <c r="M1374" s="5">
        <f>_xlfn.IFNA(Táblázat1[[#This Row],[Kész2020]],0)</f>
        <v>0</v>
      </c>
      <c r="N1374" s="5">
        <f>IF(Táblázat1[[#This Row],[Karb./akt.év]]-Táblázat1[[#This Row],[Kész2020_2]]&lt;0,0,Táblázat1[[#This Row],[Karb./akt.év]]-Táblázat1[[#This Row],[Kész2020_2]])</f>
        <v>2</v>
      </c>
    </row>
    <row r="1375" spans="1:14" x14ac:dyDescent="0.25">
      <c r="A1375" s="17" t="s">
        <v>7299</v>
      </c>
      <c r="B1375" s="17" t="s">
        <v>7739</v>
      </c>
      <c r="C1375" s="17" t="s">
        <v>1735</v>
      </c>
      <c r="D1375" s="17" t="s">
        <v>7843</v>
      </c>
      <c r="E1375" s="17" t="s">
        <v>7959</v>
      </c>
      <c r="F1375" s="17" t="s">
        <v>7960</v>
      </c>
      <c r="G1375" s="17" t="s">
        <v>8063</v>
      </c>
      <c r="H1375" t="s">
        <v>7476</v>
      </c>
      <c r="I1375" s="1">
        <v>2</v>
      </c>
      <c r="J1375" s="1">
        <v>2</v>
      </c>
      <c r="K1375" t="s">
        <v>8103</v>
      </c>
      <c r="L1375" s="5" t="e">
        <f>VLOOKUP(D:D,[1]Munka2!$A:$B,2,FALSE)</f>
        <v>#N/A</v>
      </c>
      <c r="M1375" s="5">
        <f>_xlfn.IFNA(Táblázat1[[#This Row],[Kész2020]],0)</f>
        <v>0</v>
      </c>
      <c r="N1375" s="5">
        <f>IF(Táblázat1[[#This Row],[Karb./akt.év]]-Táblázat1[[#This Row],[Kész2020_2]]&lt;0,0,Táblázat1[[#This Row],[Karb./akt.év]]-Táblázat1[[#This Row],[Kész2020_2]])</f>
        <v>2</v>
      </c>
    </row>
    <row r="1376" spans="1:14" x14ac:dyDescent="0.25">
      <c r="A1376" s="17" t="s">
        <v>7299</v>
      </c>
      <c r="B1376" s="17" t="s">
        <v>1286</v>
      </c>
      <c r="C1376" s="17" t="s">
        <v>1735</v>
      </c>
      <c r="D1376" s="17" t="s">
        <v>3099</v>
      </c>
      <c r="E1376" s="17" t="s">
        <v>4781</v>
      </c>
      <c r="F1376" s="17" t="s">
        <v>4782</v>
      </c>
      <c r="G1376" s="17" t="s">
        <v>6208</v>
      </c>
      <c r="H1376" t="s">
        <v>7476</v>
      </c>
      <c r="I1376" s="1">
        <v>2</v>
      </c>
      <c r="J1376" s="1">
        <v>2</v>
      </c>
      <c r="K1376" t="s">
        <v>8103</v>
      </c>
      <c r="L1376" s="5" t="e">
        <f>VLOOKUP(D:D,[1]Munka2!$A:$B,2,FALSE)</f>
        <v>#N/A</v>
      </c>
      <c r="M1376" s="5">
        <f>_xlfn.IFNA(Táblázat1[[#This Row],[Kész2020]],0)</f>
        <v>0</v>
      </c>
      <c r="N1376" s="5">
        <f>IF(Táblázat1[[#This Row],[Karb./akt.év]]-Táblázat1[[#This Row],[Kész2020_2]]&lt;0,0,Táblázat1[[#This Row],[Karb./akt.év]]-Táblázat1[[#This Row],[Kész2020_2]])</f>
        <v>2</v>
      </c>
    </row>
    <row r="1377" spans="1:14" hidden="1" x14ac:dyDescent="0.25">
      <c r="A1377" s="17" t="s">
        <v>7299</v>
      </c>
      <c r="B1377" s="17" t="s">
        <v>906</v>
      </c>
      <c r="C1377" s="17" t="s">
        <v>1738</v>
      </c>
      <c r="D1377" s="17" t="s">
        <v>7428</v>
      </c>
      <c r="E1377" s="17" t="s">
        <v>4489</v>
      </c>
      <c r="F1377" s="17" t="s">
        <v>4490</v>
      </c>
      <c r="G1377" s="17" t="s">
        <v>5833</v>
      </c>
      <c r="H1377" t="s">
        <v>7476</v>
      </c>
      <c r="I1377" s="1">
        <v>2</v>
      </c>
      <c r="J1377" s="1">
        <v>2</v>
      </c>
      <c r="K1377" t="s">
        <v>6643</v>
      </c>
      <c r="L1377" s="5">
        <f>VLOOKUP(D:D,[1]Munka2!$A:$B,2,FALSE)</f>
        <v>1</v>
      </c>
      <c r="M1377" s="5">
        <f>_xlfn.IFNA(Táblázat1[[#This Row],[Kész2020]],0)</f>
        <v>1</v>
      </c>
      <c r="N1377" s="5">
        <f>IF(Táblázat1[[#This Row],[Karb./akt.év]]-Táblázat1[[#This Row],[Kész2020_2]]&lt;0,0,Táblázat1[[#This Row],[Karb./akt.év]]-Táblázat1[[#This Row],[Kész2020_2]])</f>
        <v>1</v>
      </c>
    </row>
    <row r="1378" spans="1:14" hidden="1" x14ac:dyDescent="0.25">
      <c r="A1378" s="17" t="s">
        <v>7299</v>
      </c>
      <c r="B1378" s="17" t="s">
        <v>1002</v>
      </c>
      <c r="C1378" s="17" t="s">
        <v>1737</v>
      </c>
      <c r="D1378" s="17" t="s">
        <v>2791</v>
      </c>
      <c r="E1378" s="17" t="s">
        <v>4571</v>
      </c>
      <c r="F1378" s="17" t="s">
        <v>4572</v>
      </c>
      <c r="G1378" s="17" t="s">
        <v>5931</v>
      </c>
      <c r="H1378" t="s">
        <v>7476</v>
      </c>
      <c r="I1378" s="1">
        <v>2</v>
      </c>
      <c r="J1378" s="1">
        <v>2</v>
      </c>
      <c r="K1378" t="s">
        <v>6635</v>
      </c>
      <c r="L1378" s="5">
        <f>VLOOKUP(D:D,[1]Munka2!$A:$B,2,FALSE)</f>
        <v>1</v>
      </c>
      <c r="M1378" s="5">
        <f>_xlfn.IFNA(Táblázat1[[#This Row],[Kész2020]],0)</f>
        <v>1</v>
      </c>
      <c r="N1378" s="5">
        <f>IF(Táblázat1[[#This Row],[Karb./akt.év]]-Táblázat1[[#This Row],[Kész2020_2]]&lt;0,0,Táblázat1[[#This Row],[Karb./akt.év]]-Táblázat1[[#This Row],[Kész2020_2]])</f>
        <v>1</v>
      </c>
    </row>
    <row r="1379" spans="1:14" x14ac:dyDescent="0.25">
      <c r="A1379" s="17" t="s">
        <v>7299</v>
      </c>
      <c r="B1379" s="17" t="s">
        <v>250</v>
      </c>
      <c r="C1379" s="17" t="s">
        <v>1753</v>
      </c>
      <c r="D1379" s="17" t="s">
        <v>1995</v>
      </c>
      <c r="E1379" s="17" t="s">
        <v>3867</v>
      </c>
      <c r="F1379" s="17" t="s">
        <v>3868</v>
      </c>
      <c r="G1379" s="17" t="s">
        <v>5217</v>
      </c>
      <c r="H1379" t="s">
        <v>7476</v>
      </c>
      <c r="I1379" s="1">
        <v>2</v>
      </c>
      <c r="J1379" s="1">
        <v>2</v>
      </c>
      <c r="K1379" t="s">
        <v>6643</v>
      </c>
      <c r="L1379" s="5" t="e">
        <f>VLOOKUP(D:D,[1]Munka2!$A:$B,2,FALSE)</f>
        <v>#N/A</v>
      </c>
      <c r="M1379" s="5">
        <f>_xlfn.IFNA(Táblázat1[[#This Row],[Kész2020]],0)</f>
        <v>0</v>
      </c>
      <c r="N1379" s="5">
        <f>IF(Táblázat1[[#This Row],[Karb./akt.év]]-Táblázat1[[#This Row],[Kész2020_2]]&lt;0,0,Táblázat1[[#This Row],[Karb./akt.év]]-Táblázat1[[#This Row],[Kész2020_2]])</f>
        <v>2</v>
      </c>
    </row>
    <row r="1380" spans="1:14" hidden="1" x14ac:dyDescent="0.25">
      <c r="A1380" s="17" t="s">
        <v>7299</v>
      </c>
      <c r="B1380" s="17" t="s">
        <v>996</v>
      </c>
      <c r="C1380" s="17" t="s">
        <v>1738</v>
      </c>
      <c r="D1380" s="17" t="s">
        <v>2785</v>
      </c>
      <c r="E1380" s="17" t="s">
        <v>3678</v>
      </c>
      <c r="F1380" s="17" t="s">
        <v>3679</v>
      </c>
      <c r="G1380" s="17" t="s">
        <v>5925</v>
      </c>
      <c r="H1380" t="s">
        <v>7476</v>
      </c>
      <c r="I1380" s="1">
        <v>2</v>
      </c>
      <c r="J1380" s="1">
        <v>2</v>
      </c>
      <c r="K1380" t="s">
        <v>6643</v>
      </c>
      <c r="L1380" s="5">
        <f>VLOOKUP(D:D,[1]Munka2!$A:$B,2,FALSE)</f>
        <v>1</v>
      </c>
      <c r="M1380" s="5">
        <f>_xlfn.IFNA(Táblázat1[[#This Row],[Kész2020]],0)</f>
        <v>1</v>
      </c>
      <c r="N1380" s="5">
        <f>IF(Táblázat1[[#This Row],[Karb./akt.év]]-Táblázat1[[#This Row],[Kész2020_2]]&lt;0,0,Táblázat1[[#This Row],[Karb./akt.év]]-Táblázat1[[#This Row],[Kész2020_2]])</f>
        <v>1</v>
      </c>
    </row>
    <row r="1381" spans="1:14" x14ac:dyDescent="0.25">
      <c r="A1381" s="17" t="s">
        <v>7299</v>
      </c>
      <c r="B1381" s="17" t="s">
        <v>1255</v>
      </c>
      <c r="C1381" s="17" t="s">
        <v>1737</v>
      </c>
      <c r="D1381" s="17" t="s">
        <v>3067</v>
      </c>
      <c r="E1381" s="17" t="s">
        <v>4754</v>
      </c>
      <c r="F1381" s="17" t="s">
        <v>4755</v>
      </c>
      <c r="G1381" s="17" t="s">
        <v>6182</v>
      </c>
      <c r="H1381" t="s">
        <v>7476</v>
      </c>
      <c r="I1381" s="1">
        <v>2</v>
      </c>
      <c r="J1381" s="1">
        <v>2</v>
      </c>
      <c r="K1381" t="s">
        <v>6635</v>
      </c>
      <c r="L1381" s="5" t="e">
        <f>VLOOKUP(D:D,[1]Munka2!$A:$B,2,FALSE)</f>
        <v>#N/A</v>
      </c>
      <c r="M1381" s="5">
        <f>_xlfn.IFNA(Táblázat1[[#This Row],[Kész2020]],0)</f>
        <v>0</v>
      </c>
      <c r="N1381" s="5">
        <f>IF(Táblázat1[[#This Row],[Karb./akt.év]]-Táblázat1[[#This Row],[Kész2020_2]]&lt;0,0,Táblázat1[[#This Row],[Karb./akt.év]]-Táblázat1[[#This Row],[Kész2020_2]])</f>
        <v>2</v>
      </c>
    </row>
    <row r="1382" spans="1:14" x14ac:dyDescent="0.25">
      <c r="A1382" s="17" t="s">
        <v>7299</v>
      </c>
      <c r="B1382" s="17" t="s">
        <v>895</v>
      </c>
      <c r="C1382" s="17" t="s">
        <v>1735</v>
      </c>
      <c r="D1382" s="17" t="s">
        <v>2679</v>
      </c>
      <c r="E1382" s="17" t="s">
        <v>4477</v>
      </c>
      <c r="F1382" s="17" t="s">
        <v>4478</v>
      </c>
      <c r="G1382" s="17" t="s">
        <v>7638</v>
      </c>
      <c r="H1382" t="s">
        <v>7476</v>
      </c>
      <c r="I1382" s="1">
        <v>2</v>
      </c>
      <c r="J1382" s="1">
        <v>2</v>
      </c>
      <c r="K1382" t="s">
        <v>6635</v>
      </c>
      <c r="L1382" s="5" t="e">
        <f>VLOOKUP(D:D,[1]Munka2!$A:$B,2,FALSE)</f>
        <v>#N/A</v>
      </c>
      <c r="M1382" s="5">
        <f>_xlfn.IFNA(Táblázat1[[#This Row],[Kész2020]],0)</f>
        <v>0</v>
      </c>
      <c r="N1382" s="5">
        <f>IF(Táblázat1[[#This Row],[Karb./akt.év]]-Táblázat1[[#This Row],[Kész2020_2]]&lt;0,0,Táblázat1[[#This Row],[Karb./akt.év]]-Táblázat1[[#This Row],[Kész2020_2]])</f>
        <v>2</v>
      </c>
    </row>
    <row r="1383" spans="1:14" x14ac:dyDescent="0.25">
      <c r="A1383" s="17" t="s">
        <v>7299</v>
      </c>
      <c r="B1383" s="17" t="s">
        <v>7740</v>
      </c>
      <c r="C1383" s="17" t="s">
        <v>1743</v>
      </c>
      <c r="D1383" s="17" t="s">
        <v>7844</v>
      </c>
      <c r="E1383" s="17" t="s">
        <v>3749</v>
      </c>
      <c r="F1383" s="17" t="s">
        <v>3750</v>
      </c>
      <c r="G1383" s="17" t="s">
        <v>8064</v>
      </c>
      <c r="H1383" t="s">
        <v>7476</v>
      </c>
      <c r="I1383" s="1">
        <v>2</v>
      </c>
      <c r="J1383" s="1">
        <v>2</v>
      </c>
      <c r="K1383" t="s">
        <v>8103</v>
      </c>
      <c r="L1383" s="5" t="e">
        <f>VLOOKUP(D:D,[1]Munka2!$A:$B,2,FALSE)</f>
        <v>#N/A</v>
      </c>
      <c r="M1383" s="5">
        <f>_xlfn.IFNA(Táblázat1[[#This Row],[Kész2020]],0)</f>
        <v>0</v>
      </c>
      <c r="N1383" s="5">
        <f>IF(Táblázat1[[#This Row],[Karb./akt.év]]-Táblázat1[[#This Row],[Kész2020_2]]&lt;0,0,Táblázat1[[#This Row],[Karb./akt.év]]-Táblázat1[[#This Row],[Kész2020_2]])</f>
        <v>2</v>
      </c>
    </row>
    <row r="1384" spans="1:14" x14ac:dyDescent="0.25">
      <c r="A1384" s="17" t="s">
        <v>7299</v>
      </c>
      <c r="B1384" s="17" t="s">
        <v>915</v>
      </c>
      <c r="C1384" s="17" t="s">
        <v>1737</v>
      </c>
      <c r="D1384" s="17" t="s">
        <v>2697</v>
      </c>
      <c r="E1384" s="17" t="s">
        <v>4501</v>
      </c>
      <c r="F1384" s="17" t="s">
        <v>4502</v>
      </c>
      <c r="G1384" s="17" t="s">
        <v>5840</v>
      </c>
      <c r="H1384" t="s">
        <v>7476</v>
      </c>
      <c r="I1384" s="1">
        <v>2</v>
      </c>
      <c r="J1384" s="1">
        <v>2</v>
      </c>
      <c r="K1384" t="s">
        <v>6635</v>
      </c>
      <c r="L1384" s="5" t="e">
        <f>VLOOKUP(D:D,[1]Munka2!$A:$B,2,FALSE)</f>
        <v>#N/A</v>
      </c>
      <c r="M1384" s="5">
        <f>_xlfn.IFNA(Táblázat1[[#This Row],[Kész2020]],0)</f>
        <v>0</v>
      </c>
      <c r="N1384" s="5">
        <f>IF(Táblázat1[[#This Row],[Karb./akt.év]]-Táblázat1[[#This Row],[Kész2020_2]]&lt;0,0,Táblázat1[[#This Row],[Karb./akt.év]]-Táblázat1[[#This Row],[Kész2020_2]])</f>
        <v>2</v>
      </c>
    </row>
    <row r="1385" spans="1:14" x14ac:dyDescent="0.25">
      <c r="A1385" s="17" t="s">
        <v>7299</v>
      </c>
      <c r="B1385" s="17" t="s">
        <v>7741</v>
      </c>
      <c r="C1385" s="17" t="s">
        <v>1737</v>
      </c>
      <c r="D1385" s="17" t="s">
        <v>7845</v>
      </c>
      <c r="E1385" s="17" t="s">
        <v>7961</v>
      </c>
      <c r="F1385" s="17" t="s">
        <v>7962</v>
      </c>
      <c r="G1385" s="17" t="s">
        <v>8065</v>
      </c>
      <c r="H1385" t="s">
        <v>7476</v>
      </c>
      <c r="I1385" s="1">
        <v>2</v>
      </c>
      <c r="J1385" s="1">
        <v>2</v>
      </c>
      <c r="K1385" t="s">
        <v>6635</v>
      </c>
      <c r="L1385" s="5" t="e">
        <f>VLOOKUP(D:D,[1]Munka2!$A:$B,2,FALSE)</f>
        <v>#N/A</v>
      </c>
      <c r="M1385" s="5">
        <f>_xlfn.IFNA(Táblázat1[[#This Row],[Kész2020]],0)</f>
        <v>0</v>
      </c>
      <c r="N1385" s="5">
        <f>IF(Táblázat1[[#This Row],[Karb./akt.év]]-Táblázat1[[#This Row],[Kész2020_2]]&lt;0,0,Táblázat1[[#This Row],[Karb./akt.év]]-Táblázat1[[#This Row],[Kész2020_2]])</f>
        <v>2</v>
      </c>
    </row>
    <row r="1386" spans="1:14" hidden="1" x14ac:dyDescent="0.25">
      <c r="A1386" s="17" t="s">
        <v>7299</v>
      </c>
      <c r="B1386" s="17" t="s">
        <v>949</v>
      </c>
      <c r="C1386" s="17" t="s">
        <v>1737</v>
      </c>
      <c r="D1386" s="17" t="s">
        <v>2735</v>
      </c>
      <c r="E1386" s="17" t="s">
        <v>3840</v>
      </c>
      <c r="F1386" s="17" t="s">
        <v>3841</v>
      </c>
      <c r="G1386" s="17" t="s">
        <v>5879</v>
      </c>
      <c r="H1386" t="s">
        <v>7476</v>
      </c>
      <c r="I1386" s="1">
        <v>2</v>
      </c>
      <c r="J1386" s="1">
        <v>2</v>
      </c>
      <c r="K1386" t="s">
        <v>6635</v>
      </c>
      <c r="L1386" s="5">
        <f>VLOOKUP(D:D,[1]Munka2!$A:$B,2,FALSE)</f>
        <v>1</v>
      </c>
      <c r="M1386" s="5">
        <f>_xlfn.IFNA(Táblázat1[[#This Row],[Kész2020]],0)</f>
        <v>1</v>
      </c>
      <c r="N1386" s="5">
        <f>IF(Táblázat1[[#This Row],[Karb./akt.év]]-Táblázat1[[#This Row],[Kész2020_2]]&lt;0,0,Táblázat1[[#This Row],[Karb./akt.év]]-Táblázat1[[#This Row],[Kész2020_2]])</f>
        <v>1</v>
      </c>
    </row>
    <row r="1387" spans="1:14" hidden="1" x14ac:dyDescent="0.25">
      <c r="A1387" s="17" t="s">
        <v>7299</v>
      </c>
      <c r="B1387" s="17" t="s">
        <v>469</v>
      </c>
      <c r="C1387" s="17" t="s">
        <v>1737</v>
      </c>
      <c r="D1387" s="17" t="s">
        <v>2227</v>
      </c>
      <c r="E1387" s="17" t="s">
        <v>4073</v>
      </c>
      <c r="F1387" s="17" t="s">
        <v>4074</v>
      </c>
      <c r="G1387" s="17" t="s">
        <v>8179</v>
      </c>
      <c r="H1387" t="s">
        <v>7476</v>
      </c>
      <c r="I1387" s="1">
        <v>2</v>
      </c>
      <c r="J1387" s="1">
        <v>2</v>
      </c>
      <c r="K1387" t="s">
        <v>8103</v>
      </c>
      <c r="L1387" s="5">
        <f>VLOOKUP(D:D,[1]Munka2!$A:$B,2,FALSE)</f>
        <v>1</v>
      </c>
      <c r="M1387" s="5">
        <f>_xlfn.IFNA(Táblázat1[[#This Row],[Kész2020]],0)</f>
        <v>1</v>
      </c>
      <c r="N1387" s="5">
        <f>IF(Táblázat1[[#This Row],[Karb./akt.év]]-Táblázat1[[#This Row],[Kész2020_2]]&lt;0,0,Táblázat1[[#This Row],[Karb./akt.év]]-Táblázat1[[#This Row],[Kész2020_2]])</f>
        <v>1</v>
      </c>
    </row>
    <row r="1388" spans="1:14" x14ac:dyDescent="0.25">
      <c r="A1388" s="17" t="s">
        <v>7299</v>
      </c>
      <c r="B1388" s="17" t="s">
        <v>505</v>
      </c>
      <c r="C1388" s="17" t="s">
        <v>1743</v>
      </c>
      <c r="D1388" s="17" t="s">
        <v>2268</v>
      </c>
      <c r="E1388" s="17" t="s">
        <v>4115</v>
      </c>
      <c r="F1388" s="17" t="s">
        <v>4116</v>
      </c>
      <c r="G1388" s="17" t="s">
        <v>5468</v>
      </c>
      <c r="H1388" t="s">
        <v>7476</v>
      </c>
      <c r="I1388" s="1">
        <v>2</v>
      </c>
      <c r="J1388" s="1">
        <v>2</v>
      </c>
      <c r="K1388" t="s">
        <v>6635</v>
      </c>
      <c r="L1388" s="5" t="e">
        <f>VLOOKUP(D:D,[1]Munka2!$A:$B,2,FALSE)</f>
        <v>#N/A</v>
      </c>
      <c r="M1388" s="5">
        <f>_xlfn.IFNA(Táblázat1[[#This Row],[Kész2020]],0)</f>
        <v>0</v>
      </c>
      <c r="N1388" s="5">
        <f>IF(Táblázat1[[#This Row],[Karb./akt.év]]-Táblázat1[[#This Row],[Kész2020_2]]&lt;0,0,Táblázat1[[#This Row],[Karb./akt.év]]-Táblázat1[[#This Row],[Kész2020_2]])</f>
        <v>2</v>
      </c>
    </row>
    <row r="1389" spans="1:14" x14ac:dyDescent="0.25">
      <c r="A1389" s="17" t="s">
        <v>7299</v>
      </c>
      <c r="B1389" s="17" t="s">
        <v>7742</v>
      </c>
      <c r="C1389" s="17" t="s">
        <v>1743</v>
      </c>
      <c r="D1389" s="17" t="s">
        <v>7846</v>
      </c>
      <c r="E1389" s="17" t="s">
        <v>3836</v>
      </c>
      <c r="F1389" s="17" t="s">
        <v>3837</v>
      </c>
      <c r="G1389" s="17" t="s">
        <v>8066</v>
      </c>
      <c r="H1389" t="s">
        <v>7476</v>
      </c>
      <c r="I1389" s="1">
        <v>2</v>
      </c>
      <c r="J1389" s="1">
        <v>2</v>
      </c>
      <c r="K1389" t="s">
        <v>8103</v>
      </c>
      <c r="L1389" s="5" t="e">
        <f>VLOOKUP(D:D,[1]Munka2!$A:$B,2,FALSE)</f>
        <v>#N/A</v>
      </c>
      <c r="M1389" s="5">
        <f>_xlfn.IFNA(Táblázat1[[#This Row],[Kész2020]],0)</f>
        <v>0</v>
      </c>
      <c r="N1389" s="5">
        <f>IF(Táblázat1[[#This Row],[Karb./akt.év]]-Táblázat1[[#This Row],[Kész2020_2]]&lt;0,0,Táblázat1[[#This Row],[Karb./akt.év]]-Táblázat1[[#This Row],[Kész2020_2]])</f>
        <v>2</v>
      </c>
    </row>
    <row r="1390" spans="1:14" hidden="1" x14ac:dyDescent="0.25">
      <c r="A1390" s="17" t="s">
        <v>7299</v>
      </c>
      <c r="B1390" s="17" t="s">
        <v>660</v>
      </c>
      <c r="C1390" s="17" t="s">
        <v>1737</v>
      </c>
      <c r="D1390" s="17" t="s">
        <v>2434</v>
      </c>
      <c r="E1390" s="17" t="s">
        <v>4271</v>
      </c>
      <c r="F1390" s="17" t="s">
        <v>4272</v>
      </c>
      <c r="G1390" s="17" t="s">
        <v>7639</v>
      </c>
      <c r="H1390" t="s">
        <v>7476</v>
      </c>
      <c r="I1390" s="1">
        <v>2</v>
      </c>
      <c r="J1390" s="1">
        <v>2</v>
      </c>
      <c r="K1390" t="s">
        <v>8103</v>
      </c>
      <c r="L1390" s="5">
        <f>VLOOKUP(D:D,[1]Munka2!$A:$B,2,FALSE)</f>
        <v>1</v>
      </c>
      <c r="M1390" s="5">
        <f>_xlfn.IFNA(Táblázat1[[#This Row],[Kész2020]],0)</f>
        <v>1</v>
      </c>
      <c r="N1390" s="5">
        <f>IF(Táblázat1[[#This Row],[Karb./akt.év]]-Táblázat1[[#This Row],[Kész2020_2]]&lt;0,0,Táblázat1[[#This Row],[Karb./akt.év]]-Táblázat1[[#This Row],[Kész2020_2]])</f>
        <v>1</v>
      </c>
    </row>
    <row r="1391" spans="1:14" x14ac:dyDescent="0.25">
      <c r="A1391" s="17" t="s">
        <v>7299</v>
      </c>
      <c r="B1391" s="17" t="s">
        <v>7743</v>
      </c>
      <c r="C1391" s="17" t="s">
        <v>7786</v>
      </c>
      <c r="D1391" s="17" t="s">
        <v>7847</v>
      </c>
      <c r="E1391" s="17" t="s">
        <v>7963</v>
      </c>
      <c r="F1391" s="17" t="s">
        <v>7964</v>
      </c>
      <c r="G1391" s="17" t="s">
        <v>5470</v>
      </c>
      <c r="H1391" t="s">
        <v>7476</v>
      </c>
      <c r="I1391" s="1">
        <v>2</v>
      </c>
      <c r="J1391" s="1">
        <v>2</v>
      </c>
      <c r="K1391" t="s">
        <v>8103</v>
      </c>
      <c r="L1391" s="5" t="e">
        <f>VLOOKUP(D:D,[1]Munka2!$A:$B,2,FALSE)</f>
        <v>#N/A</v>
      </c>
      <c r="M1391" s="5">
        <f>_xlfn.IFNA(Táblázat1[[#This Row],[Kész2020]],0)</f>
        <v>0</v>
      </c>
      <c r="N1391" s="5">
        <f>IF(Táblázat1[[#This Row],[Karb./akt.év]]-Táblázat1[[#This Row],[Kész2020_2]]&lt;0,0,Táblázat1[[#This Row],[Karb./akt.év]]-Táblázat1[[#This Row],[Kész2020_2]])</f>
        <v>2</v>
      </c>
    </row>
    <row r="1392" spans="1:14" x14ac:dyDescent="0.25">
      <c r="A1392" s="17" t="s">
        <v>7299</v>
      </c>
      <c r="B1392" s="17" t="s">
        <v>7744</v>
      </c>
      <c r="C1392" s="17" t="s">
        <v>1737</v>
      </c>
      <c r="D1392" s="17" t="s">
        <v>7848</v>
      </c>
      <c r="E1392" s="17" t="s">
        <v>7965</v>
      </c>
      <c r="F1392" s="17" t="s">
        <v>7966</v>
      </c>
      <c r="G1392" s="17" t="s">
        <v>8067</v>
      </c>
      <c r="H1392" t="s">
        <v>7476</v>
      </c>
      <c r="I1392" s="1">
        <v>2</v>
      </c>
      <c r="J1392" s="1">
        <v>2</v>
      </c>
      <c r="K1392" t="s">
        <v>8103</v>
      </c>
      <c r="L1392" s="5" t="e">
        <f>VLOOKUP(D:D,[1]Munka2!$A:$B,2,FALSE)</f>
        <v>#N/A</v>
      </c>
      <c r="M1392" s="5">
        <f>_xlfn.IFNA(Táblázat1[[#This Row],[Kész2020]],0)</f>
        <v>0</v>
      </c>
      <c r="N1392" s="5">
        <f>IF(Táblázat1[[#This Row],[Karb./akt.év]]-Táblázat1[[#This Row],[Kész2020_2]]&lt;0,0,Táblázat1[[#This Row],[Karb./akt.év]]-Táblázat1[[#This Row],[Kész2020_2]])</f>
        <v>2</v>
      </c>
    </row>
    <row r="1393" spans="1:14" x14ac:dyDescent="0.25">
      <c r="A1393" s="17" t="s">
        <v>7299</v>
      </c>
      <c r="B1393" s="17" t="s">
        <v>7745</v>
      </c>
      <c r="C1393" s="17" t="s">
        <v>1737</v>
      </c>
      <c r="D1393" s="17" t="s">
        <v>7849</v>
      </c>
      <c r="E1393" s="17" t="s">
        <v>7967</v>
      </c>
      <c r="F1393" s="17" t="s">
        <v>7968</v>
      </c>
      <c r="G1393" s="17" t="s">
        <v>8068</v>
      </c>
      <c r="H1393" t="s">
        <v>7476</v>
      </c>
      <c r="I1393" s="1">
        <v>2</v>
      </c>
      <c r="J1393" s="1">
        <v>2</v>
      </c>
      <c r="K1393" t="s">
        <v>8103</v>
      </c>
      <c r="L1393" s="5" t="e">
        <f>VLOOKUP(D:D,[1]Munka2!$A:$B,2,FALSE)</f>
        <v>#N/A</v>
      </c>
      <c r="M1393" s="5">
        <f>_xlfn.IFNA(Táblázat1[[#This Row],[Kész2020]],0)</f>
        <v>0</v>
      </c>
      <c r="N1393" s="5">
        <f>IF(Táblázat1[[#This Row],[Karb./akt.év]]-Táblázat1[[#This Row],[Kész2020_2]]&lt;0,0,Táblázat1[[#This Row],[Karb./akt.év]]-Táblázat1[[#This Row],[Kész2020_2]])</f>
        <v>2</v>
      </c>
    </row>
    <row r="1394" spans="1:14" x14ac:dyDescent="0.25">
      <c r="A1394" s="17" t="s">
        <v>7299</v>
      </c>
      <c r="B1394" s="17" t="s">
        <v>7746</v>
      </c>
      <c r="C1394" s="17" t="s">
        <v>1737</v>
      </c>
      <c r="D1394" s="17" t="s">
        <v>7850</v>
      </c>
      <c r="E1394" s="17" t="s">
        <v>7969</v>
      </c>
      <c r="F1394" s="17" t="s">
        <v>7970</v>
      </c>
      <c r="G1394" s="17" t="s">
        <v>5829</v>
      </c>
      <c r="H1394" t="s">
        <v>7476</v>
      </c>
      <c r="I1394" s="1">
        <v>2</v>
      </c>
      <c r="J1394" s="1">
        <v>2</v>
      </c>
      <c r="K1394" t="s">
        <v>8103</v>
      </c>
      <c r="L1394" s="5" t="e">
        <f>VLOOKUP(D:D,[1]Munka2!$A:$B,2,FALSE)</f>
        <v>#N/A</v>
      </c>
      <c r="M1394" s="5">
        <f>_xlfn.IFNA(Táblázat1[[#This Row],[Kész2020]],0)</f>
        <v>0</v>
      </c>
      <c r="N1394" s="5">
        <f>IF(Táblázat1[[#This Row],[Karb./akt.év]]-Táblázat1[[#This Row],[Kész2020_2]]&lt;0,0,Táblázat1[[#This Row],[Karb./akt.év]]-Táblázat1[[#This Row],[Kész2020_2]])</f>
        <v>2</v>
      </c>
    </row>
    <row r="1395" spans="1:14" hidden="1" x14ac:dyDescent="0.25">
      <c r="A1395" s="17" t="s">
        <v>7299</v>
      </c>
      <c r="B1395" s="17" t="s">
        <v>1184</v>
      </c>
      <c r="C1395" s="17" t="s">
        <v>1743</v>
      </c>
      <c r="D1395" s="17" t="s">
        <v>2987</v>
      </c>
      <c r="E1395" s="17" t="s">
        <v>4702</v>
      </c>
      <c r="F1395" s="17" t="s">
        <v>4703</v>
      </c>
      <c r="G1395" s="17" t="s">
        <v>6111</v>
      </c>
      <c r="H1395" t="s">
        <v>7476</v>
      </c>
      <c r="I1395" s="1">
        <v>2</v>
      </c>
      <c r="J1395" s="1">
        <v>2</v>
      </c>
      <c r="K1395" t="s">
        <v>8103</v>
      </c>
      <c r="L1395" s="5">
        <f>VLOOKUP(D:D,[1]Munka2!$A:$B,2,FALSE)</f>
        <v>1</v>
      </c>
      <c r="M1395" s="5">
        <f>_xlfn.IFNA(Táblázat1[[#This Row],[Kész2020]],0)</f>
        <v>1</v>
      </c>
      <c r="N1395" s="5">
        <f>IF(Táblázat1[[#This Row],[Karb./akt.év]]-Táblázat1[[#This Row],[Kész2020_2]]&lt;0,0,Táblázat1[[#This Row],[Karb./akt.év]]-Táblázat1[[#This Row],[Kész2020_2]])</f>
        <v>1</v>
      </c>
    </row>
    <row r="1396" spans="1:14" x14ac:dyDescent="0.25">
      <c r="A1396" s="17" t="s">
        <v>7299</v>
      </c>
      <c r="B1396" s="17" t="s">
        <v>1379</v>
      </c>
      <c r="C1396" s="17" t="s">
        <v>1735</v>
      </c>
      <c r="D1396" s="17" t="s">
        <v>3199</v>
      </c>
      <c r="E1396" s="17" t="s">
        <v>4853</v>
      </c>
      <c r="F1396" s="17" t="s">
        <v>4854</v>
      </c>
      <c r="G1396" s="17" t="s">
        <v>6282</v>
      </c>
      <c r="H1396" t="s">
        <v>7476</v>
      </c>
      <c r="I1396" s="1">
        <v>2</v>
      </c>
      <c r="J1396" s="1">
        <v>2</v>
      </c>
      <c r="K1396" t="s">
        <v>6635</v>
      </c>
      <c r="L1396" s="5" t="e">
        <f>VLOOKUP(D:D,[1]Munka2!$A:$B,2,FALSE)</f>
        <v>#N/A</v>
      </c>
      <c r="M1396" s="5">
        <f>_xlfn.IFNA(Táblázat1[[#This Row],[Kész2020]],0)</f>
        <v>0</v>
      </c>
      <c r="N1396" s="5">
        <f>IF(Táblázat1[[#This Row],[Karb./akt.év]]-Táblázat1[[#This Row],[Kész2020_2]]&lt;0,0,Táblázat1[[#This Row],[Karb./akt.év]]-Táblázat1[[#This Row],[Kész2020_2]])</f>
        <v>2</v>
      </c>
    </row>
    <row r="1397" spans="1:14" hidden="1" x14ac:dyDescent="0.25">
      <c r="A1397" s="17" t="s">
        <v>7299</v>
      </c>
      <c r="B1397" s="17" t="s">
        <v>485</v>
      </c>
      <c r="C1397" s="17" t="s">
        <v>1737</v>
      </c>
      <c r="D1397" s="17" t="s">
        <v>2245</v>
      </c>
      <c r="E1397" s="17" t="s">
        <v>4089</v>
      </c>
      <c r="F1397" s="17" t="s">
        <v>4090</v>
      </c>
      <c r="G1397" s="17" t="s">
        <v>5446</v>
      </c>
      <c r="H1397" t="s">
        <v>7476</v>
      </c>
      <c r="I1397" s="1">
        <v>2</v>
      </c>
      <c r="J1397" s="1">
        <v>2</v>
      </c>
      <c r="K1397" t="s">
        <v>8103</v>
      </c>
      <c r="L1397" s="5">
        <f>VLOOKUP(D:D,[1]Munka2!$A:$B,2,FALSE)</f>
        <v>1</v>
      </c>
      <c r="M1397" s="5">
        <f>_xlfn.IFNA(Táblázat1[[#This Row],[Kész2020]],0)</f>
        <v>1</v>
      </c>
      <c r="N1397" s="5">
        <f>IF(Táblázat1[[#This Row],[Karb./akt.év]]-Táblázat1[[#This Row],[Kész2020_2]]&lt;0,0,Táblázat1[[#This Row],[Karb./akt.év]]-Táblázat1[[#This Row],[Kész2020_2]])</f>
        <v>1</v>
      </c>
    </row>
    <row r="1398" spans="1:14" hidden="1" x14ac:dyDescent="0.25">
      <c r="A1398" s="17" t="s">
        <v>7299</v>
      </c>
      <c r="B1398" s="17" t="s">
        <v>1645</v>
      </c>
      <c r="C1398" s="17" t="s">
        <v>1735</v>
      </c>
      <c r="D1398" s="17" t="s">
        <v>3500</v>
      </c>
      <c r="E1398" s="17" t="s">
        <v>3836</v>
      </c>
      <c r="F1398" s="17" t="s">
        <v>3837</v>
      </c>
      <c r="G1398" s="17" t="s">
        <v>6539</v>
      </c>
      <c r="H1398" t="s">
        <v>7476</v>
      </c>
      <c r="I1398" s="1">
        <v>2</v>
      </c>
      <c r="J1398" s="1">
        <v>2</v>
      </c>
      <c r="K1398" t="s">
        <v>8103</v>
      </c>
      <c r="L1398" s="5">
        <f>VLOOKUP(D:D,[1]Munka2!$A:$B,2,FALSE)</f>
        <v>1</v>
      </c>
      <c r="M1398" s="5">
        <f>_xlfn.IFNA(Táblázat1[[#This Row],[Kész2020]],0)</f>
        <v>1</v>
      </c>
      <c r="N1398" s="5">
        <f>IF(Táblázat1[[#This Row],[Karb./akt.év]]-Táblázat1[[#This Row],[Kész2020_2]]&lt;0,0,Táblázat1[[#This Row],[Karb./akt.év]]-Táblázat1[[#This Row],[Kész2020_2]])</f>
        <v>1</v>
      </c>
    </row>
    <row r="1399" spans="1:14" x14ac:dyDescent="0.25">
      <c r="A1399" s="17" t="s">
        <v>7299</v>
      </c>
      <c r="B1399" s="17" t="s">
        <v>7747</v>
      </c>
      <c r="C1399" s="17" t="s">
        <v>1735</v>
      </c>
      <c r="D1399" s="17" t="s">
        <v>7851</v>
      </c>
      <c r="E1399" s="17" t="s">
        <v>7971</v>
      </c>
      <c r="F1399" s="17" t="s">
        <v>7972</v>
      </c>
      <c r="G1399" s="17" t="s">
        <v>8043</v>
      </c>
      <c r="H1399" t="s">
        <v>7476</v>
      </c>
      <c r="I1399" s="1">
        <v>2</v>
      </c>
      <c r="J1399" s="1">
        <v>2</v>
      </c>
      <c r="K1399" t="s">
        <v>8103</v>
      </c>
      <c r="L1399" s="5" t="e">
        <f>VLOOKUP(D:D,[1]Munka2!$A:$B,2,FALSE)</f>
        <v>#N/A</v>
      </c>
      <c r="M1399" s="5">
        <f>_xlfn.IFNA(Táblázat1[[#This Row],[Kész2020]],0)</f>
        <v>0</v>
      </c>
      <c r="N1399" s="5">
        <f>IF(Táblázat1[[#This Row],[Karb./akt.év]]-Táblázat1[[#This Row],[Kész2020_2]]&lt;0,0,Táblázat1[[#This Row],[Karb./akt.év]]-Táblázat1[[#This Row],[Kész2020_2]])</f>
        <v>2</v>
      </c>
    </row>
    <row r="1400" spans="1:14" x14ac:dyDescent="0.25">
      <c r="A1400" s="17" t="s">
        <v>7299</v>
      </c>
      <c r="B1400" s="17" t="s">
        <v>1528</v>
      </c>
      <c r="C1400" s="17" t="s">
        <v>1735</v>
      </c>
      <c r="D1400" s="17" t="s">
        <v>3370</v>
      </c>
      <c r="E1400" s="17" t="s">
        <v>4928</v>
      </c>
      <c r="F1400" s="17" t="s">
        <v>4929</v>
      </c>
      <c r="G1400" s="17" t="s">
        <v>6435</v>
      </c>
      <c r="H1400" t="s">
        <v>7476</v>
      </c>
      <c r="I1400" s="1">
        <v>2</v>
      </c>
      <c r="J1400" s="1">
        <v>2</v>
      </c>
      <c r="K1400" t="s">
        <v>6635</v>
      </c>
      <c r="L1400" s="5" t="e">
        <f>VLOOKUP(D:D,[1]Munka2!$A:$B,2,FALSE)</f>
        <v>#N/A</v>
      </c>
      <c r="M1400" s="5">
        <f>_xlfn.IFNA(Táblázat1[[#This Row],[Kész2020]],0)</f>
        <v>0</v>
      </c>
      <c r="N1400" s="5">
        <f>IF(Táblázat1[[#This Row],[Karb./akt.év]]-Táblázat1[[#This Row],[Kész2020_2]]&lt;0,0,Táblázat1[[#This Row],[Karb./akt.év]]-Táblázat1[[#This Row],[Kész2020_2]])</f>
        <v>2</v>
      </c>
    </row>
    <row r="1401" spans="1:14" x14ac:dyDescent="0.25">
      <c r="A1401" s="17" t="s">
        <v>7299</v>
      </c>
      <c r="B1401" s="17" t="s">
        <v>226</v>
      </c>
      <c r="C1401" s="17" t="s">
        <v>1737</v>
      </c>
      <c r="D1401" s="17" t="s">
        <v>1970</v>
      </c>
      <c r="E1401" s="17" t="s">
        <v>3840</v>
      </c>
      <c r="F1401" s="17" t="s">
        <v>3841</v>
      </c>
      <c r="G1401" s="17" t="s">
        <v>5194</v>
      </c>
      <c r="H1401" t="s">
        <v>7476</v>
      </c>
      <c r="I1401" s="1">
        <v>2</v>
      </c>
      <c r="J1401" s="1">
        <v>2</v>
      </c>
      <c r="K1401" t="s">
        <v>6635</v>
      </c>
      <c r="L1401" s="5" t="e">
        <f>VLOOKUP(D:D,[1]Munka2!$A:$B,2,FALSE)</f>
        <v>#N/A</v>
      </c>
      <c r="M1401" s="5">
        <f>_xlfn.IFNA(Táblázat1[[#This Row],[Kész2020]],0)</f>
        <v>0</v>
      </c>
      <c r="N1401" s="5">
        <f>IF(Táblázat1[[#This Row],[Karb./akt.év]]-Táblázat1[[#This Row],[Kész2020_2]]&lt;0,0,Táblázat1[[#This Row],[Karb./akt.év]]-Táblázat1[[#This Row],[Kész2020_2]])</f>
        <v>2</v>
      </c>
    </row>
    <row r="1402" spans="1:14" hidden="1" x14ac:dyDescent="0.25">
      <c r="A1402" s="17" t="s">
        <v>7299</v>
      </c>
      <c r="B1402" s="17" t="s">
        <v>615</v>
      </c>
      <c r="C1402" s="17" t="s">
        <v>1737</v>
      </c>
      <c r="D1402" s="17" t="s">
        <v>2389</v>
      </c>
      <c r="E1402" s="17" t="s">
        <v>4224</v>
      </c>
      <c r="F1402" s="17" t="s">
        <v>4225</v>
      </c>
      <c r="G1402" s="17" t="s">
        <v>5575</v>
      </c>
      <c r="H1402" t="s">
        <v>7476</v>
      </c>
      <c r="I1402" s="1">
        <v>2</v>
      </c>
      <c r="J1402" s="1">
        <v>2</v>
      </c>
      <c r="K1402" t="s">
        <v>8103</v>
      </c>
      <c r="L1402" s="5">
        <f>VLOOKUP(D:D,[1]Munka2!$A:$B,2,FALSE)</f>
        <v>1</v>
      </c>
      <c r="M1402" s="5">
        <f>_xlfn.IFNA(Táblázat1[[#This Row],[Kész2020]],0)</f>
        <v>1</v>
      </c>
      <c r="N1402" s="5">
        <f>IF(Táblázat1[[#This Row],[Karb./akt.év]]-Táblázat1[[#This Row],[Kész2020_2]]&lt;0,0,Táblázat1[[#This Row],[Karb./akt.év]]-Táblázat1[[#This Row],[Kész2020_2]])</f>
        <v>1</v>
      </c>
    </row>
    <row r="1403" spans="1:14" hidden="1" x14ac:dyDescent="0.25">
      <c r="A1403" s="17" t="s">
        <v>7299</v>
      </c>
      <c r="B1403" s="17" t="s">
        <v>7287</v>
      </c>
      <c r="C1403" s="17" t="s">
        <v>1735</v>
      </c>
      <c r="D1403" s="17" t="s">
        <v>7317</v>
      </c>
      <c r="E1403" s="17" t="s">
        <v>4171</v>
      </c>
      <c r="F1403" s="17" t="s">
        <v>4172</v>
      </c>
      <c r="G1403" s="17" t="s">
        <v>7348</v>
      </c>
      <c r="H1403" t="s">
        <v>7476</v>
      </c>
      <c r="I1403" s="1">
        <v>2</v>
      </c>
      <c r="J1403" s="1">
        <v>2</v>
      </c>
      <c r="K1403" t="s">
        <v>6635</v>
      </c>
      <c r="L1403" s="5">
        <f>VLOOKUP(D:D,[1]Munka2!$A:$B,2,FALSE)</f>
        <v>1</v>
      </c>
      <c r="M1403" s="5">
        <f>_xlfn.IFNA(Táblázat1[[#This Row],[Kész2020]],0)</f>
        <v>1</v>
      </c>
      <c r="N1403" s="5">
        <f>IF(Táblázat1[[#This Row],[Karb./akt.év]]-Táblázat1[[#This Row],[Kész2020_2]]&lt;0,0,Táblázat1[[#This Row],[Karb./akt.év]]-Táblázat1[[#This Row],[Kész2020_2]])</f>
        <v>1</v>
      </c>
    </row>
    <row r="1404" spans="1:14" x14ac:dyDescent="0.25">
      <c r="A1404" s="17" t="s">
        <v>7299</v>
      </c>
      <c r="B1404" s="17" t="s">
        <v>576</v>
      </c>
      <c r="C1404" s="17" t="s">
        <v>1735</v>
      </c>
      <c r="D1404" s="17" t="s">
        <v>2349</v>
      </c>
      <c r="E1404" s="17" t="s">
        <v>4203</v>
      </c>
      <c r="F1404" s="17" t="s">
        <v>4204</v>
      </c>
      <c r="G1404" s="17" t="s">
        <v>5541</v>
      </c>
      <c r="H1404" t="s">
        <v>7476</v>
      </c>
      <c r="I1404" s="1">
        <v>2</v>
      </c>
      <c r="J1404" s="1">
        <v>2</v>
      </c>
      <c r="K1404" t="s">
        <v>6635</v>
      </c>
      <c r="L1404" s="5" t="e">
        <f>VLOOKUP(D:D,[1]Munka2!$A:$B,2,FALSE)</f>
        <v>#N/A</v>
      </c>
      <c r="M1404" s="5">
        <f>_xlfn.IFNA(Táblázat1[[#This Row],[Kész2020]],0)</f>
        <v>0</v>
      </c>
      <c r="N1404" s="5">
        <f>IF(Táblázat1[[#This Row],[Karb./akt.év]]-Táblázat1[[#This Row],[Kész2020_2]]&lt;0,0,Táblázat1[[#This Row],[Karb./akt.év]]-Táblázat1[[#This Row],[Kész2020_2]])</f>
        <v>2</v>
      </c>
    </row>
    <row r="1405" spans="1:14" hidden="1" x14ac:dyDescent="0.25">
      <c r="A1405" s="17" t="s">
        <v>7299</v>
      </c>
      <c r="B1405" s="17" t="s">
        <v>548</v>
      </c>
      <c r="C1405" s="17" t="s">
        <v>1735</v>
      </c>
      <c r="D1405" s="17" t="s">
        <v>2316</v>
      </c>
      <c r="E1405" s="17" t="s">
        <v>4171</v>
      </c>
      <c r="F1405" s="17" t="s">
        <v>4172</v>
      </c>
      <c r="G1405" s="17" t="s">
        <v>5508</v>
      </c>
      <c r="H1405" t="s">
        <v>7476</v>
      </c>
      <c r="I1405" s="1">
        <v>2</v>
      </c>
      <c r="J1405" s="1">
        <v>2</v>
      </c>
      <c r="K1405" t="s">
        <v>6635</v>
      </c>
      <c r="L1405" s="5">
        <f>VLOOKUP(D:D,[1]Munka2!$A:$B,2,FALSE)</f>
        <v>1</v>
      </c>
      <c r="M1405" s="5">
        <f>_xlfn.IFNA(Táblázat1[[#This Row],[Kész2020]],0)</f>
        <v>1</v>
      </c>
      <c r="N1405" s="5">
        <f>IF(Táblázat1[[#This Row],[Karb./akt.év]]-Táblázat1[[#This Row],[Kész2020_2]]&lt;0,0,Táblázat1[[#This Row],[Karb./akt.év]]-Táblázat1[[#This Row],[Kész2020_2]])</f>
        <v>1</v>
      </c>
    </row>
    <row r="1406" spans="1:14" x14ac:dyDescent="0.25">
      <c r="A1406" s="17" t="s">
        <v>7299</v>
      </c>
      <c r="B1406" s="17" t="s">
        <v>150</v>
      </c>
      <c r="C1406" s="17" t="s">
        <v>1735</v>
      </c>
      <c r="D1406" s="17" t="s">
        <v>1890</v>
      </c>
      <c r="E1406" s="17" t="s">
        <v>3751</v>
      </c>
      <c r="F1406" s="17" t="s">
        <v>3679</v>
      </c>
      <c r="G1406" s="17" t="s">
        <v>5122</v>
      </c>
      <c r="H1406" t="s">
        <v>7476</v>
      </c>
      <c r="I1406" s="1">
        <v>2</v>
      </c>
      <c r="J1406" s="1">
        <v>2</v>
      </c>
      <c r="K1406" t="s">
        <v>6635</v>
      </c>
      <c r="L1406" s="5" t="e">
        <f>VLOOKUP(D:D,[1]Munka2!$A:$B,2,FALSE)</f>
        <v>#N/A</v>
      </c>
      <c r="M1406" s="5">
        <f>_xlfn.IFNA(Táblázat1[[#This Row],[Kész2020]],0)</f>
        <v>0</v>
      </c>
      <c r="N1406" s="5">
        <f>IF(Táblázat1[[#This Row],[Karb./akt.év]]-Táblázat1[[#This Row],[Kész2020_2]]&lt;0,0,Táblázat1[[#This Row],[Karb./akt.év]]-Táblázat1[[#This Row],[Kész2020_2]])</f>
        <v>2</v>
      </c>
    </row>
    <row r="1407" spans="1:14" hidden="1" x14ac:dyDescent="0.25">
      <c r="A1407" s="17" t="s">
        <v>7299</v>
      </c>
      <c r="B1407" s="17" t="s">
        <v>49</v>
      </c>
      <c r="C1407" s="17" t="s">
        <v>1738</v>
      </c>
      <c r="D1407" s="17" t="s">
        <v>7429</v>
      </c>
      <c r="E1407" s="17" t="s">
        <v>3629</v>
      </c>
      <c r="F1407" s="17" t="s">
        <v>3630</v>
      </c>
      <c r="G1407" s="17" t="s">
        <v>5024</v>
      </c>
      <c r="H1407" t="s">
        <v>7476</v>
      </c>
      <c r="I1407" s="1">
        <v>2</v>
      </c>
      <c r="J1407" s="1">
        <v>2</v>
      </c>
      <c r="K1407" t="s">
        <v>6640</v>
      </c>
      <c r="L1407" s="5">
        <f>VLOOKUP(D:D,[1]Munka2!$A:$B,2,FALSE)</f>
        <v>1</v>
      </c>
      <c r="M1407" s="5">
        <f>_xlfn.IFNA(Táblázat1[[#This Row],[Kész2020]],0)</f>
        <v>1</v>
      </c>
      <c r="N1407" s="5">
        <f>IF(Táblázat1[[#This Row],[Karb./akt.év]]-Táblázat1[[#This Row],[Kész2020_2]]&lt;0,0,Táblázat1[[#This Row],[Karb./akt.év]]-Táblázat1[[#This Row],[Kész2020_2]])</f>
        <v>1</v>
      </c>
    </row>
    <row r="1408" spans="1:14" x14ac:dyDescent="0.25">
      <c r="A1408" s="17" t="s">
        <v>7299</v>
      </c>
      <c r="B1408" s="17" t="s">
        <v>7297</v>
      </c>
      <c r="C1408" s="17" t="s">
        <v>1735</v>
      </c>
      <c r="D1408" s="17" t="s">
        <v>1989</v>
      </c>
      <c r="E1408" s="17" t="s">
        <v>7336</v>
      </c>
      <c r="F1408" s="17" t="s">
        <v>7337</v>
      </c>
      <c r="G1408" s="17" t="s">
        <v>6084</v>
      </c>
      <c r="H1408" t="s">
        <v>7476</v>
      </c>
      <c r="I1408" s="1">
        <v>2</v>
      </c>
      <c r="J1408" s="1">
        <v>2</v>
      </c>
      <c r="K1408" t="s">
        <v>6640</v>
      </c>
      <c r="L1408" s="5" t="e">
        <f>VLOOKUP(D:D,[1]Munka2!$A:$B,2,FALSE)</f>
        <v>#N/A</v>
      </c>
      <c r="M1408" s="5">
        <f>_xlfn.IFNA(Táblázat1[[#This Row],[Kész2020]],0)</f>
        <v>0</v>
      </c>
      <c r="N1408" s="5">
        <f>IF(Táblázat1[[#This Row],[Karb./akt.év]]-Táblázat1[[#This Row],[Kész2020_2]]&lt;0,0,Táblázat1[[#This Row],[Karb./akt.év]]-Táblázat1[[#This Row],[Kész2020_2]])</f>
        <v>2</v>
      </c>
    </row>
    <row r="1409" spans="1:14" hidden="1" x14ac:dyDescent="0.25">
      <c r="A1409" s="17" t="s">
        <v>7299</v>
      </c>
      <c r="B1409" s="17" t="s">
        <v>1608</v>
      </c>
      <c r="C1409" s="17" t="s">
        <v>1738</v>
      </c>
      <c r="D1409" s="17" t="s">
        <v>3458</v>
      </c>
      <c r="E1409" s="17" t="s">
        <v>3976</v>
      </c>
      <c r="F1409" s="17" t="s">
        <v>3977</v>
      </c>
      <c r="G1409" s="17" t="s">
        <v>6510</v>
      </c>
      <c r="H1409" t="s">
        <v>7476</v>
      </c>
      <c r="I1409" s="1">
        <v>2</v>
      </c>
      <c r="J1409" s="1">
        <v>2</v>
      </c>
      <c r="K1409" t="s">
        <v>6640</v>
      </c>
      <c r="L1409" s="5">
        <f>VLOOKUP(D:D,[1]Munka2!$A:$B,2,FALSE)</f>
        <v>1</v>
      </c>
      <c r="M1409" s="5">
        <f>_xlfn.IFNA(Táblázat1[[#This Row],[Kész2020]],0)</f>
        <v>1</v>
      </c>
      <c r="N1409" s="5">
        <f>IF(Táblázat1[[#This Row],[Karb./akt.év]]-Táblázat1[[#This Row],[Kész2020_2]]&lt;0,0,Táblázat1[[#This Row],[Karb./akt.év]]-Táblázat1[[#This Row],[Kész2020_2]])</f>
        <v>1</v>
      </c>
    </row>
    <row r="1410" spans="1:14" hidden="1" x14ac:dyDescent="0.25">
      <c r="A1410" s="17" t="s">
        <v>7299</v>
      </c>
      <c r="B1410" s="17" t="s">
        <v>862</v>
      </c>
      <c r="C1410" s="17" t="s">
        <v>1738</v>
      </c>
      <c r="D1410" s="17" t="s">
        <v>2644</v>
      </c>
      <c r="E1410" s="17" t="s">
        <v>4428</v>
      </c>
      <c r="F1410" s="17" t="s">
        <v>4429</v>
      </c>
      <c r="G1410" s="17" t="s">
        <v>5799</v>
      </c>
      <c r="H1410" t="s">
        <v>7476</v>
      </c>
      <c r="I1410" s="1">
        <v>2</v>
      </c>
      <c r="J1410" s="1">
        <v>2</v>
      </c>
      <c r="K1410" t="s">
        <v>6640</v>
      </c>
      <c r="L1410" s="5">
        <f>VLOOKUP(D:D,[1]Munka2!$A:$B,2,FALSE)</f>
        <v>1</v>
      </c>
      <c r="M1410" s="5">
        <f>_xlfn.IFNA(Táblázat1[[#This Row],[Kész2020]],0)</f>
        <v>1</v>
      </c>
      <c r="N1410" s="5">
        <f>IF(Táblázat1[[#This Row],[Karb./akt.év]]-Táblázat1[[#This Row],[Kész2020_2]]&lt;0,0,Táblázat1[[#This Row],[Karb./akt.év]]-Táblázat1[[#This Row],[Kész2020_2]])</f>
        <v>1</v>
      </c>
    </row>
    <row r="1411" spans="1:14" hidden="1" x14ac:dyDescent="0.25">
      <c r="A1411" s="17" t="s">
        <v>7299</v>
      </c>
      <c r="B1411" s="17" t="s">
        <v>741</v>
      </c>
      <c r="C1411" s="17" t="s">
        <v>1738</v>
      </c>
      <c r="D1411" s="17" t="s">
        <v>2518</v>
      </c>
      <c r="E1411" s="17" t="s">
        <v>3754</v>
      </c>
      <c r="F1411" s="17" t="s">
        <v>3755</v>
      </c>
      <c r="G1411" s="17" t="s">
        <v>5687</v>
      </c>
      <c r="H1411" t="s">
        <v>7476</v>
      </c>
      <c r="I1411" s="1">
        <v>2</v>
      </c>
      <c r="J1411" s="1">
        <v>0</v>
      </c>
      <c r="K1411" t="s">
        <v>6640</v>
      </c>
      <c r="L1411" s="5" t="e">
        <f>VLOOKUP(D:D,[1]Munka2!$A:$B,2,FALSE)</f>
        <v>#N/A</v>
      </c>
      <c r="M1411" s="5">
        <f>_xlfn.IFNA(Táblázat1[[#This Row],[Kész2020]],0)</f>
        <v>0</v>
      </c>
      <c r="N1411" s="5">
        <f>IF(Táblázat1[[#This Row],[Karb./akt.év]]-Táblázat1[[#This Row],[Kész2020_2]]&lt;0,0,Táblázat1[[#This Row],[Karb./akt.év]]-Táblázat1[[#This Row],[Kész2020_2]])</f>
        <v>0</v>
      </c>
    </row>
    <row r="1412" spans="1:14" hidden="1" x14ac:dyDescent="0.25">
      <c r="A1412" s="17" t="s">
        <v>7299</v>
      </c>
      <c r="B1412" s="17" t="s">
        <v>635</v>
      </c>
      <c r="C1412" s="17" t="s">
        <v>1738</v>
      </c>
      <c r="D1412" s="17" t="s">
        <v>2409</v>
      </c>
      <c r="E1412" s="17" t="s">
        <v>4248</v>
      </c>
      <c r="F1412" s="17" t="s">
        <v>4249</v>
      </c>
      <c r="G1412" s="17" t="s">
        <v>5595</v>
      </c>
      <c r="H1412" t="s">
        <v>7476</v>
      </c>
      <c r="I1412" s="1">
        <v>2</v>
      </c>
      <c r="J1412" s="1">
        <v>2</v>
      </c>
      <c r="K1412" t="s">
        <v>6640</v>
      </c>
      <c r="L1412" s="5">
        <f>VLOOKUP(D:D,[1]Munka2!$A:$B,2,FALSE)</f>
        <v>1</v>
      </c>
      <c r="M1412" s="5">
        <f>_xlfn.IFNA(Táblázat1[[#This Row],[Kész2020]],0)</f>
        <v>1</v>
      </c>
      <c r="N1412" s="5">
        <f>IF(Táblázat1[[#This Row],[Karb./akt.év]]-Táblázat1[[#This Row],[Kész2020_2]]&lt;0,0,Táblázat1[[#This Row],[Karb./akt.év]]-Táblázat1[[#This Row],[Kész2020_2]])</f>
        <v>1</v>
      </c>
    </row>
    <row r="1413" spans="1:14" x14ac:dyDescent="0.25">
      <c r="A1413" s="17" t="s">
        <v>7299</v>
      </c>
      <c r="B1413" s="17" t="s">
        <v>348</v>
      </c>
      <c r="C1413" s="17" t="s">
        <v>1738</v>
      </c>
      <c r="D1413" s="17" t="s">
        <v>2102</v>
      </c>
      <c r="E1413" s="17" t="s">
        <v>3976</v>
      </c>
      <c r="F1413" s="17" t="s">
        <v>3977</v>
      </c>
      <c r="G1413" s="17" t="s">
        <v>5314</v>
      </c>
      <c r="H1413" t="s">
        <v>7476</v>
      </c>
      <c r="I1413" s="1">
        <v>2</v>
      </c>
      <c r="J1413" s="1">
        <v>2</v>
      </c>
      <c r="K1413" t="s">
        <v>6640</v>
      </c>
      <c r="L1413" s="5" t="e">
        <f>VLOOKUP(D:D,[1]Munka2!$A:$B,2,FALSE)</f>
        <v>#N/A</v>
      </c>
      <c r="M1413" s="5">
        <f>_xlfn.IFNA(Táblázat1[[#This Row],[Kész2020]],0)</f>
        <v>0</v>
      </c>
      <c r="N1413" s="5">
        <f>IF(Táblázat1[[#This Row],[Karb./akt.év]]-Táblázat1[[#This Row],[Kész2020_2]]&lt;0,0,Táblázat1[[#This Row],[Karb./akt.év]]-Táblázat1[[#This Row],[Kész2020_2]])</f>
        <v>2</v>
      </c>
    </row>
    <row r="1414" spans="1:14" hidden="1" x14ac:dyDescent="0.25">
      <c r="A1414" s="17" t="s">
        <v>7299</v>
      </c>
      <c r="B1414" s="17" t="s">
        <v>1560</v>
      </c>
      <c r="C1414" s="17" t="s">
        <v>1736</v>
      </c>
      <c r="D1414" s="17" t="s">
        <v>3405</v>
      </c>
      <c r="E1414" s="17" t="s">
        <v>4945</v>
      </c>
      <c r="F1414" s="17" t="s">
        <v>4946</v>
      </c>
      <c r="G1414" s="17" t="s">
        <v>7640</v>
      </c>
      <c r="H1414" t="s">
        <v>7476</v>
      </c>
      <c r="I1414" s="1">
        <v>2</v>
      </c>
      <c r="J1414" s="1">
        <v>2</v>
      </c>
      <c r="K1414" t="s">
        <v>6640</v>
      </c>
      <c r="L1414" s="5">
        <f>VLOOKUP(D:D,[1]Munka2!$A:$B,2,FALSE)</f>
        <v>1</v>
      </c>
      <c r="M1414" s="5">
        <f>_xlfn.IFNA(Táblázat1[[#This Row],[Kész2020]],0)</f>
        <v>1</v>
      </c>
      <c r="N1414" s="5">
        <f>IF(Táblázat1[[#This Row],[Karb./akt.év]]-Táblázat1[[#This Row],[Kész2020_2]]&lt;0,0,Táblázat1[[#This Row],[Karb./akt.év]]-Táblázat1[[#This Row],[Kész2020_2]])</f>
        <v>1</v>
      </c>
    </row>
    <row r="1415" spans="1:14" hidden="1" x14ac:dyDescent="0.25">
      <c r="A1415" s="17" t="s">
        <v>7299</v>
      </c>
      <c r="B1415" s="17" t="s">
        <v>797</v>
      </c>
      <c r="C1415" s="17" t="s">
        <v>1736</v>
      </c>
      <c r="D1415" s="17" t="s">
        <v>2573</v>
      </c>
      <c r="E1415" s="17" t="s">
        <v>4333</v>
      </c>
      <c r="F1415" s="17" t="s">
        <v>4334</v>
      </c>
      <c r="G1415" s="17" t="s">
        <v>5739</v>
      </c>
      <c r="H1415" t="s">
        <v>7476</v>
      </c>
      <c r="I1415" s="1">
        <v>2</v>
      </c>
      <c r="J1415" s="1">
        <v>2</v>
      </c>
      <c r="K1415" t="s">
        <v>6640</v>
      </c>
      <c r="L1415" s="5">
        <f>VLOOKUP(D:D,[1]Munka2!$A:$B,2,FALSE)</f>
        <v>1</v>
      </c>
      <c r="M1415" s="5">
        <f>_xlfn.IFNA(Táblázat1[[#This Row],[Kész2020]],0)</f>
        <v>1</v>
      </c>
      <c r="N1415" s="5">
        <f>IF(Táblázat1[[#This Row],[Karb./akt.év]]-Táblázat1[[#This Row],[Kész2020_2]]&lt;0,0,Táblázat1[[#This Row],[Karb./akt.év]]-Táblázat1[[#This Row],[Kész2020_2]])</f>
        <v>1</v>
      </c>
    </row>
    <row r="1416" spans="1:14" hidden="1" x14ac:dyDescent="0.25">
      <c r="A1416" s="17" t="s">
        <v>7299</v>
      </c>
      <c r="B1416" s="17" t="s">
        <v>804</v>
      </c>
      <c r="C1416" s="17" t="s">
        <v>1736</v>
      </c>
      <c r="D1416" s="17" t="s">
        <v>2581</v>
      </c>
      <c r="E1416" s="17" t="s">
        <v>3808</v>
      </c>
      <c r="F1416" s="17" t="s">
        <v>3809</v>
      </c>
      <c r="G1416" s="17" t="s">
        <v>5745</v>
      </c>
      <c r="H1416" t="s">
        <v>7476</v>
      </c>
      <c r="I1416" s="1">
        <v>2</v>
      </c>
      <c r="J1416" s="1">
        <v>2</v>
      </c>
      <c r="K1416" t="s">
        <v>6640</v>
      </c>
      <c r="L1416" s="5">
        <f>VLOOKUP(D:D,[1]Munka2!$A:$B,2,FALSE)</f>
        <v>1</v>
      </c>
      <c r="M1416" s="5">
        <f>_xlfn.IFNA(Táblázat1[[#This Row],[Kész2020]],0)</f>
        <v>1</v>
      </c>
      <c r="N1416" s="5">
        <f>IF(Táblázat1[[#This Row],[Karb./akt.év]]-Táblázat1[[#This Row],[Kész2020_2]]&lt;0,0,Táblázat1[[#This Row],[Karb./akt.év]]-Táblázat1[[#This Row],[Kész2020_2]])</f>
        <v>1</v>
      </c>
    </row>
    <row r="1417" spans="1:14" hidden="1" x14ac:dyDescent="0.25">
      <c r="A1417" s="17" t="s">
        <v>7299</v>
      </c>
      <c r="B1417" s="17" t="s">
        <v>7748</v>
      </c>
      <c r="C1417" s="17" t="s">
        <v>1737</v>
      </c>
      <c r="D1417" s="17" t="s">
        <v>7852</v>
      </c>
      <c r="E1417" s="17" t="s">
        <v>4211</v>
      </c>
      <c r="F1417" s="17" t="s">
        <v>3755</v>
      </c>
      <c r="G1417" s="17" t="s">
        <v>8069</v>
      </c>
      <c r="H1417" t="s">
        <v>7476</v>
      </c>
      <c r="I1417" s="1">
        <v>2</v>
      </c>
      <c r="J1417" s="1">
        <v>0</v>
      </c>
      <c r="K1417" t="s">
        <v>6640</v>
      </c>
      <c r="L1417" s="5" t="e">
        <f>VLOOKUP(D:D,[1]Munka2!$A:$B,2,FALSE)</f>
        <v>#N/A</v>
      </c>
      <c r="M1417" s="5">
        <f>_xlfn.IFNA(Táblázat1[[#This Row],[Kész2020]],0)</f>
        <v>0</v>
      </c>
      <c r="N1417" s="5">
        <f>IF(Táblázat1[[#This Row],[Karb./akt.év]]-Táblázat1[[#This Row],[Kész2020_2]]&lt;0,0,Táblázat1[[#This Row],[Karb./akt.év]]-Táblázat1[[#This Row],[Kész2020_2]])</f>
        <v>0</v>
      </c>
    </row>
    <row r="1418" spans="1:14" x14ac:dyDescent="0.25">
      <c r="A1418" s="17" t="s">
        <v>7299</v>
      </c>
      <c r="B1418" s="17" t="s">
        <v>934</v>
      </c>
      <c r="C1418" s="17" t="s">
        <v>1735</v>
      </c>
      <c r="D1418" s="17" t="s">
        <v>2718</v>
      </c>
      <c r="E1418" s="17" t="s">
        <v>4528</v>
      </c>
      <c r="F1418" s="17" t="s">
        <v>4529</v>
      </c>
      <c r="G1418" s="17" t="s">
        <v>5860</v>
      </c>
      <c r="H1418" t="s">
        <v>7476</v>
      </c>
      <c r="I1418" s="1">
        <v>2</v>
      </c>
      <c r="J1418" s="1">
        <v>2</v>
      </c>
      <c r="K1418" t="s">
        <v>6640</v>
      </c>
      <c r="L1418" s="5" t="e">
        <f>VLOOKUP(D:D,[1]Munka2!$A:$B,2,FALSE)</f>
        <v>#N/A</v>
      </c>
      <c r="M1418" s="5">
        <f>_xlfn.IFNA(Táblázat1[[#This Row],[Kész2020]],0)</f>
        <v>0</v>
      </c>
      <c r="N1418" s="5">
        <f>IF(Táblázat1[[#This Row],[Karb./akt.év]]-Táblázat1[[#This Row],[Kész2020_2]]&lt;0,0,Táblázat1[[#This Row],[Karb./akt.év]]-Táblázat1[[#This Row],[Kész2020_2]])</f>
        <v>2</v>
      </c>
    </row>
    <row r="1419" spans="1:14" x14ac:dyDescent="0.25">
      <c r="A1419" s="17" t="s">
        <v>7299</v>
      </c>
      <c r="B1419" s="17" t="s">
        <v>111</v>
      </c>
      <c r="C1419" s="17" t="s">
        <v>1737</v>
      </c>
      <c r="D1419" s="17" t="s">
        <v>1850</v>
      </c>
      <c r="E1419" s="17" t="s">
        <v>3699</v>
      </c>
      <c r="F1419" s="17" t="s">
        <v>3700</v>
      </c>
      <c r="G1419" s="17" t="s">
        <v>5082</v>
      </c>
      <c r="H1419" t="s">
        <v>7476</v>
      </c>
      <c r="I1419" s="1">
        <v>2</v>
      </c>
      <c r="J1419" s="1">
        <v>2</v>
      </c>
      <c r="K1419" t="s">
        <v>6640</v>
      </c>
      <c r="L1419" s="5" t="e">
        <f>VLOOKUP(D:D,[1]Munka2!$A:$B,2,FALSE)</f>
        <v>#N/A</v>
      </c>
      <c r="M1419" s="5">
        <f>_xlfn.IFNA(Táblázat1[[#This Row],[Kész2020]],0)</f>
        <v>0</v>
      </c>
      <c r="N1419" s="5">
        <f>IF(Táblázat1[[#This Row],[Karb./akt.év]]-Táblázat1[[#This Row],[Kész2020_2]]&lt;0,0,Táblázat1[[#This Row],[Karb./akt.év]]-Táblázat1[[#This Row],[Kész2020_2]])</f>
        <v>2</v>
      </c>
    </row>
    <row r="1420" spans="1:14" hidden="1" x14ac:dyDescent="0.25">
      <c r="A1420" s="17" t="s">
        <v>7299</v>
      </c>
      <c r="B1420" s="17" t="s">
        <v>1668</v>
      </c>
      <c r="C1420" s="17" t="s">
        <v>1737</v>
      </c>
      <c r="D1420" s="17" t="s">
        <v>3525</v>
      </c>
      <c r="E1420" s="17" t="s">
        <v>4975</v>
      </c>
      <c r="F1420" s="17" t="s">
        <v>4976</v>
      </c>
      <c r="G1420" s="17" t="s">
        <v>6564</v>
      </c>
      <c r="H1420" t="s">
        <v>7476</v>
      </c>
      <c r="I1420" s="1">
        <v>2</v>
      </c>
      <c r="J1420" s="1">
        <v>2</v>
      </c>
      <c r="K1420" t="s">
        <v>6640</v>
      </c>
      <c r="L1420" s="5">
        <f>VLOOKUP(D:D,[1]Munka2!$A:$B,2,FALSE)</f>
        <v>1</v>
      </c>
      <c r="M1420" s="5">
        <f>_xlfn.IFNA(Táblázat1[[#This Row],[Kész2020]],0)</f>
        <v>1</v>
      </c>
      <c r="N1420" s="5">
        <f>IF(Táblázat1[[#This Row],[Karb./akt.év]]-Táblázat1[[#This Row],[Kész2020_2]]&lt;0,0,Táblázat1[[#This Row],[Karb./akt.év]]-Táblázat1[[#This Row],[Kész2020_2]])</f>
        <v>1</v>
      </c>
    </row>
    <row r="1421" spans="1:14" hidden="1" x14ac:dyDescent="0.25">
      <c r="A1421" s="17" t="s">
        <v>7299</v>
      </c>
      <c r="B1421" s="17" t="s">
        <v>1244</v>
      </c>
      <c r="C1421" s="17" t="s">
        <v>1737</v>
      </c>
      <c r="D1421" s="17" t="s">
        <v>3054</v>
      </c>
      <c r="E1421" s="17" t="s">
        <v>4743</v>
      </c>
      <c r="F1421" s="17" t="s">
        <v>4744</v>
      </c>
      <c r="G1421" s="17" t="s">
        <v>6170</v>
      </c>
      <c r="H1421" t="s">
        <v>7476</v>
      </c>
      <c r="I1421" s="1">
        <v>2</v>
      </c>
      <c r="J1421" s="1">
        <v>2</v>
      </c>
      <c r="K1421" t="s">
        <v>6640</v>
      </c>
      <c r="L1421" s="5">
        <f>VLOOKUP(D:D,[1]Munka2!$A:$B,2,FALSE)</f>
        <v>1</v>
      </c>
      <c r="M1421" s="5">
        <f>_xlfn.IFNA(Táblázat1[[#This Row],[Kész2020]],0)</f>
        <v>1</v>
      </c>
      <c r="N1421" s="5">
        <f>IF(Táblázat1[[#This Row],[Karb./akt.év]]-Táblázat1[[#This Row],[Kész2020_2]]&lt;0,0,Táblázat1[[#This Row],[Karb./akt.év]]-Táblázat1[[#This Row],[Kész2020_2]])</f>
        <v>1</v>
      </c>
    </row>
    <row r="1422" spans="1:14" hidden="1" x14ac:dyDescent="0.25">
      <c r="A1422" s="17" t="s">
        <v>7299</v>
      </c>
      <c r="B1422" s="17" t="s">
        <v>1258</v>
      </c>
      <c r="C1422" s="17" t="s">
        <v>1737</v>
      </c>
      <c r="D1422" s="17" t="s">
        <v>3070</v>
      </c>
      <c r="E1422" s="17" t="s">
        <v>4758</v>
      </c>
      <c r="F1422" s="17" t="s">
        <v>4759</v>
      </c>
      <c r="G1422" s="17" t="s">
        <v>6184</v>
      </c>
      <c r="H1422" t="s">
        <v>7476</v>
      </c>
      <c r="I1422" s="1">
        <v>2</v>
      </c>
      <c r="J1422" s="1">
        <v>2</v>
      </c>
      <c r="K1422" t="s">
        <v>6640</v>
      </c>
      <c r="L1422" s="5">
        <f>VLOOKUP(D:D,[1]Munka2!$A:$B,2,FALSE)</f>
        <v>1</v>
      </c>
      <c r="M1422" s="5">
        <f>_xlfn.IFNA(Táblázat1[[#This Row],[Kész2020]],0)</f>
        <v>1</v>
      </c>
      <c r="N1422" s="5">
        <f>IF(Táblázat1[[#This Row],[Karb./akt.év]]-Táblázat1[[#This Row],[Kész2020_2]]&lt;0,0,Táblázat1[[#This Row],[Karb./akt.év]]-Táblázat1[[#This Row],[Kész2020_2]])</f>
        <v>1</v>
      </c>
    </row>
    <row r="1423" spans="1:14" x14ac:dyDescent="0.25">
      <c r="A1423" s="17" t="s">
        <v>7299</v>
      </c>
      <c r="B1423" s="17" t="s">
        <v>190</v>
      </c>
      <c r="C1423" s="17" t="s">
        <v>1737</v>
      </c>
      <c r="D1423" s="17" t="s">
        <v>1931</v>
      </c>
      <c r="E1423" s="17" t="s">
        <v>3806</v>
      </c>
      <c r="F1423" s="17" t="s">
        <v>3807</v>
      </c>
      <c r="G1423" s="17" t="s">
        <v>7641</v>
      </c>
      <c r="H1423" t="s">
        <v>7476</v>
      </c>
      <c r="I1423" s="1">
        <v>2</v>
      </c>
      <c r="J1423" s="1">
        <v>2</v>
      </c>
      <c r="K1423" t="s">
        <v>6640</v>
      </c>
      <c r="L1423" s="5" t="e">
        <f>VLOOKUP(D:D,[1]Munka2!$A:$B,2,FALSE)</f>
        <v>#N/A</v>
      </c>
      <c r="M1423" s="5">
        <f>_xlfn.IFNA(Táblázat1[[#This Row],[Kész2020]],0)</f>
        <v>0</v>
      </c>
      <c r="N1423" s="5">
        <f>IF(Táblázat1[[#This Row],[Karb./akt.év]]-Táblázat1[[#This Row],[Kész2020_2]]&lt;0,0,Táblázat1[[#This Row],[Karb./akt.év]]-Táblázat1[[#This Row],[Kész2020_2]])</f>
        <v>2</v>
      </c>
    </row>
    <row r="1424" spans="1:14" hidden="1" x14ac:dyDescent="0.25">
      <c r="A1424" s="17" t="s">
        <v>7299</v>
      </c>
      <c r="B1424" s="17" t="s">
        <v>368</v>
      </c>
      <c r="C1424" s="17" t="s">
        <v>1737</v>
      </c>
      <c r="D1424" s="17" t="s">
        <v>2124</v>
      </c>
      <c r="E1424" s="17" t="s">
        <v>4003</v>
      </c>
      <c r="F1424" s="17" t="s">
        <v>4004</v>
      </c>
      <c r="G1424" s="17" t="s">
        <v>5336</v>
      </c>
      <c r="H1424" t="s">
        <v>7476</v>
      </c>
      <c r="I1424" s="1">
        <v>2</v>
      </c>
      <c r="J1424" s="1">
        <v>2</v>
      </c>
      <c r="K1424" t="s">
        <v>6640</v>
      </c>
      <c r="L1424" s="5">
        <f>VLOOKUP(D:D,[1]Munka2!$A:$B,2,FALSE)</f>
        <v>1</v>
      </c>
      <c r="M1424" s="5">
        <f>_xlfn.IFNA(Táblázat1[[#This Row],[Kész2020]],0)</f>
        <v>1</v>
      </c>
      <c r="N1424" s="5">
        <f>IF(Táblázat1[[#This Row],[Karb./akt.év]]-Táblázat1[[#This Row],[Kész2020_2]]&lt;0,0,Táblázat1[[#This Row],[Karb./akt.év]]-Táblázat1[[#This Row],[Kész2020_2]])</f>
        <v>1</v>
      </c>
    </row>
    <row r="1425" spans="1:14" hidden="1" x14ac:dyDescent="0.25">
      <c r="A1425" s="17" t="s">
        <v>7299</v>
      </c>
      <c r="B1425" s="17" t="s">
        <v>1456</v>
      </c>
      <c r="C1425" s="17" t="s">
        <v>1737</v>
      </c>
      <c r="D1425" s="17" t="s">
        <v>3287</v>
      </c>
      <c r="E1425" s="17" t="s">
        <v>4897</v>
      </c>
      <c r="F1425" s="17" t="s">
        <v>4898</v>
      </c>
      <c r="G1425" s="17" t="s">
        <v>7642</v>
      </c>
      <c r="H1425" t="s">
        <v>7476</v>
      </c>
      <c r="I1425" s="1">
        <v>2</v>
      </c>
      <c r="J1425" s="1">
        <v>2</v>
      </c>
      <c r="K1425" t="s">
        <v>6640</v>
      </c>
      <c r="L1425" s="5">
        <f>VLOOKUP(D:D,[1]Munka2!$A:$B,2,FALSE)</f>
        <v>1</v>
      </c>
      <c r="M1425" s="5">
        <f>_xlfn.IFNA(Táblázat1[[#This Row],[Kész2020]],0)</f>
        <v>1</v>
      </c>
      <c r="N1425" s="5">
        <f>IF(Táblázat1[[#This Row],[Karb./akt.év]]-Táblázat1[[#This Row],[Kész2020_2]]&lt;0,0,Táblázat1[[#This Row],[Karb./akt.év]]-Táblázat1[[#This Row],[Kész2020_2]])</f>
        <v>1</v>
      </c>
    </row>
    <row r="1426" spans="1:14" hidden="1" x14ac:dyDescent="0.25">
      <c r="A1426" s="17" t="s">
        <v>7299</v>
      </c>
      <c r="B1426" s="17" t="s">
        <v>279</v>
      </c>
      <c r="C1426" s="17" t="s">
        <v>1738</v>
      </c>
      <c r="D1426" s="17" t="s">
        <v>2028</v>
      </c>
      <c r="E1426" s="17" t="s">
        <v>3901</v>
      </c>
      <c r="F1426" s="17" t="s">
        <v>3902</v>
      </c>
      <c r="G1426" s="17" t="s">
        <v>5247</v>
      </c>
      <c r="H1426" t="s">
        <v>7476</v>
      </c>
      <c r="I1426" s="1">
        <v>2</v>
      </c>
      <c r="J1426" s="1">
        <v>2</v>
      </c>
      <c r="K1426" t="s">
        <v>6640</v>
      </c>
      <c r="L1426" s="5">
        <f>VLOOKUP(D:D,[1]Munka2!$A:$B,2,FALSE)</f>
        <v>1</v>
      </c>
      <c r="M1426" s="5">
        <f>_xlfn.IFNA(Táblázat1[[#This Row],[Kész2020]],0)</f>
        <v>1</v>
      </c>
      <c r="N1426" s="5">
        <f>IF(Táblázat1[[#This Row],[Karb./akt.év]]-Táblázat1[[#This Row],[Kész2020_2]]&lt;0,0,Táblázat1[[#This Row],[Karb./akt.év]]-Táblázat1[[#This Row],[Kész2020_2]])</f>
        <v>1</v>
      </c>
    </row>
    <row r="1427" spans="1:14" hidden="1" x14ac:dyDescent="0.25">
      <c r="A1427" s="17" t="s">
        <v>7299</v>
      </c>
      <c r="B1427" s="17" t="s">
        <v>1058</v>
      </c>
      <c r="C1427" s="17" t="s">
        <v>1737</v>
      </c>
      <c r="D1427" s="17" t="s">
        <v>2846</v>
      </c>
      <c r="E1427" s="17" t="s">
        <v>4601</v>
      </c>
      <c r="F1427" s="17" t="s">
        <v>3755</v>
      </c>
      <c r="G1427" s="17" t="s">
        <v>7643</v>
      </c>
      <c r="H1427" t="s">
        <v>7476</v>
      </c>
      <c r="I1427" s="1">
        <v>2</v>
      </c>
      <c r="J1427" s="1">
        <v>2</v>
      </c>
      <c r="K1427" t="s">
        <v>6640</v>
      </c>
      <c r="L1427" s="5">
        <f>VLOOKUP(D:D,[1]Munka2!$A:$B,2,FALSE)</f>
        <v>1</v>
      </c>
      <c r="M1427" s="5">
        <f>_xlfn.IFNA(Táblázat1[[#This Row],[Kész2020]],0)</f>
        <v>1</v>
      </c>
      <c r="N1427" s="5">
        <f>IF(Táblázat1[[#This Row],[Karb./akt.év]]-Táblázat1[[#This Row],[Kész2020_2]]&lt;0,0,Táblázat1[[#This Row],[Karb./akt.év]]-Táblázat1[[#This Row],[Kész2020_2]])</f>
        <v>1</v>
      </c>
    </row>
    <row r="1428" spans="1:14" hidden="1" x14ac:dyDescent="0.25">
      <c r="A1428" s="17" t="s">
        <v>7299</v>
      </c>
      <c r="B1428" s="17" t="s">
        <v>633</v>
      </c>
      <c r="C1428" s="17" t="s">
        <v>1738</v>
      </c>
      <c r="D1428" s="17" t="s">
        <v>7433</v>
      </c>
      <c r="E1428" s="17" t="s">
        <v>4246</v>
      </c>
      <c r="F1428" s="17" t="s">
        <v>4247</v>
      </c>
      <c r="G1428" s="17" t="s">
        <v>5593</v>
      </c>
      <c r="H1428" t="s">
        <v>7476</v>
      </c>
      <c r="I1428" s="1">
        <v>2</v>
      </c>
      <c r="J1428" s="1">
        <v>2</v>
      </c>
      <c r="K1428" t="s">
        <v>6640</v>
      </c>
      <c r="L1428" s="5">
        <f>VLOOKUP(D:D,[1]Munka2!$A:$B,2,FALSE)</f>
        <v>1</v>
      </c>
      <c r="M1428" s="5">
        <f>_xlfn.IFNA(Táblázat1[[#This Row],[Kész2020]],0)</f>
        <v>1</v>
      </c>
      <c r="N1428" s="5">
        <f>IF(Táblázat1[[#This Row],[Karb./akt.év]]-Táblázat1[[#This Row],[Kész2020_2]]&lt;0,0,Táblázat1[[#This Row],[Karb./akt.év]]-Táblázat1[[#This Row],[Kész2020_2]])</f>
        <v>1</v>
      </c>
    </row>
    <row r="1429" spans="1:14" x14ac:dyDescent="0.25">
      <c r="A1429" s="17" t="s">
        <v>7299</v>
      </c>
      <c r="B1429" s="17" t="s">
        <v>968</v>
      </c>
      <c r="C1429" s="17" t="s">
        <v>1737</v>
      </c>
      <c r="D1429" s="17" t="s">
        <v>2755</v>
      </c>
      <c r="E1429" s="17" t="s">
        <v>4550</v>
      </c>
      <c r="F1429" s="17" t="s">
        <v>4551</v>
      </c>
      <c r="G1429" s="17" t="s">
        <v>5897</v>
      </c>
      <c r="H1429" t="s">
        <v>7476</v>
      </c>
      <c r="I1429" s="1">
        <v>2</v>
      </c>
      <c r="J1429" s="1">
        <v>2</v>
      </c>
      <c r="K1429" t="s">
        <v>6640</v>
      </c>
      <c r="L1429" s="5" t="e">
        <f>VLOOKUP(D:D,[1]Munka2!$A:$B,2,FALSE)</f>
        <v>#N/A</v>
      </c>
      <c r="M1429" s="5">
        <f>_xlfn.IFNA(Táblázat1[[#This Row],[Kész2020]],0)</f>
        <v>0</v>
      </c>
      <c r="N1429" s="5">
        <f>IF(Táblázat1[[#This Row],[Karb./akt.év]]-Táblázat1[[#This Row],[Kész2020_2]]&lt;0,0,Táblázat1[[#This Row],[Karb./akt.év]]-Táblázat1[[#This Row],[Kész2020_2]])</f>
        <v>2</v>
      </c>
    </row>
    <row r="1430" spans="1:14" x14ac:dyDescent="0.25">
      <c r="A1430" s="17" t="s">
        <v>7299</v>
      </c>
      <c r="B1430" s="17" t="s">
        <v>1516</v>
      </c>
      <c r="C1430" s="17" t="s">
        <v>1735</v>
      </c>
      <c r="D1430" s="17" t="s">
        <v>3357</v>
      </c>
      <c r="E1430" s="17" t="s">
        <v>4916</v>
      </c>
      <c r="F1430" s="17" t="s">
        <v>4917</v>
      </c>
      <c r="G1430" s="17" t="s">
        <v>6421</v>
      </c>
      <c r="H1430" t="s">
        <v>7476</v>
      </c>
      <c r="I1430" s="1">
        <v>2</v>
      </c>
      <c r="J1430" s="1">
        <v>2</v>
      </c>
      <c r="K1430" t="s">
        <v>6640</v>
      </c>
      <c r="L1430" s="5" t="e">
        <f>VLOOKUP(D:D,[1]Munka2!$A:$B,2,FALSE)</f>
        <v>#N/A</v>
      </c>
      <c r="M1430" s="5">
        <f>_xlfn.IFNA(Táblázat1[[#This Row],[Kész2020]],0)</f>
        <v>0</v>
      </c>
      <c r="N1430" s="5">
        <f>IF(Táblázat1[[#This Row],[Karb./akt.év]]-Táblázat1[[#This Row],[Kész2020_2]]&lt;0,0,Táblázat1[[#This Row],[Karb./akt.év]]-Táblázat1[[#This Row],[Kész2020_2]])</f>
        <v>2</v>
      </c>
    </row>
    <row r="1431" spans="1:14" x14ac:dyDescent="0.25">
      <c r="A1431" s="17" t="s">
        <v>7299</v>
      </c>
      <c r="B1431" s="17" t="s">
        <v>1240</v>
      </c>
      <c r="C1431" s="17" t="s">
        <v>1735</v>
      </c>
      <c r="D1431" s="17" t="s">
        <v>3049</v>
      </c>
      <c r="E1431" s="17" t="s">
        <v>4505</v>
      </c>
      <c r="F1431" s="17" t="s">
        <v>4506</v>
      </c>
      <c r="G1431" s="17" t="s">
        <v>6166</v>
      </c>
      <c r="H1431" t="s">
        <v>7476</v>
      </c>
      <c r="I1431" s="1">
        <v>2</v>
      </c>
      <c r="J1431" s="1">
        <v>2</v>
      </c>
      <c r="K1431" t="s">
        <v>6640</v>
      </c>
      <c r="L1431" s="5" t="e">
        <f>VLOOKUP(D:D,[1]Munka2!$A:$B,2,FALSE)</f>
        <v>#N/A</v>
      </c>
      <c r="M1431" s="5">
        <f>_xlfn.IFNA(Táblázat1[[#This Row],[Kész2020]],0)</f>
        <v>0</v>
      </c>
      <c r="N1431" s="5">
        <f>IF(Táblázat1[[#This Row],[Karb./akt.év]]-Táblázat1[[#This Row],[Kész2020_2]]&lt;0,0,Táblázat1[[#This Row],[Karb./akt.év]]-Táblázat1[[#This Row],[Kész2020_2]])</f>
        <v>2</v>
      </c>
    </row>
    <row r="1432" spans="1:14" hidden="1" x14ac:dyDescent="0.25">
      <c r="A1432" s="17" t="s">
        <v>7299</v>
      </c>
      <c r="B1432" s="17" t="s">
        <v>7749</v>
      </c>
      <c r="C1432" s="17" t="s">
        <v>1737</v>
      </c>
      <c r="D1432" s="17" t="s">
        <v>7853</v>
      </c>
      <c r="E1432" s="17" t="s">
        <v>7973</v>
      </c>
      <c r="F1432" s="17" t="s">
        <v>7974</v>
      </c>
      <c r="G1432" s="17" t="s">
        <v>8070</v>
      </c>
      <c r="H1432" t="s">
        <v>7476</v>
      </c>
      <c r="I1432" s="1">
        <v>2</v>
      </c>
      <c r="J1432" s="1">
        <v>0</v>
      </c>
      <c r="K1432" t="s">
        <v>6640</v>
      </c>
      <c r="L1432" s="5" t="e">
        <f>VLOOKUP(D:D,[1]Munka2!$A:$B,2,FALSE)</f>
        <v>#N/A</v>
      </c>
      <c r="M1432" s="5">
        <f>_xlfn.IFNA(Táblázat1[[#This Row],[Kész2020]],0)</f>
        <v>0</v>
      </c>
      <c r="N1432" s="5">
        <f>IF(Táblázat1[[#This Row],[Karb./akt.év]]-Táblázat1[[#This Row],[Kész2020_2]]&lt;0,0,Táblázat1[[#This Row],[Karb./akt.év]]-Táblázat1[[#This Row],[Kész2020_2]])</f>
        <v>0</v>
      </c>
    </row>
    <row r="1433" spans="1:14" x14ac:dyDescent="0.25">
      <c r="A1433" s="17" t="s">
        <v>7299</v>
      </c>
      <c r="B1433" s="17" t="s">
        <v>146</v>
      </c>
      <c r="C1433" s="17" t="s">
        <v>1748</v>
      </c>
      <c r="D1433" s="17" t="s">
        <v>1886</v>
      </c>
      <c r="E1433" s="17" t="s">
        <v>3747</v>
      </c>
      <c r="F1433" s="17" t="s">
        <v>3748</v>
      </c>
      <c r="G1433" s="17" t="s">
        <v>5118</v>
      </c>
      <c r="H1433" t="s">
        <v>7476</v>
      </c>
      <c r="I1433" s="1">
        <v>2</v>
      </c>
      <c r="J1433" s="1">
        <v>2</v>
      </c>
      <c r="K1433" t="s">
        <v>6640</v>
      </c>
      <c r="L1433" s="5" t="e">
        <f>VLOOKUP(D:D,[1]Munka2!$A:$B,2,FALSE)</f>
        <v>#N/A</v>
      </c>
      <c r="M1433" s="5">
        <f>_xlfn.IFNA(Táblázat1[[#This Row],[Kész2020]],0)</f>
        <v>0</v>
      </c>
      <c r="N1433" s="5">
        <f>IF(Táblázat1[[#This Row],[Karb./akt.év]]-Táblázat1[[#This Row],[Kész2020_2]]&lt;0,0,Táblázat1[[#This Row],[Karb./akt.év]]-Táblázat1[[#This Row],[Kész2020_2]])</f>
        <v>2</v>
      </c>
    </row>
    <row r="1434" spans="1:14" x14ac:dyDescent="0.25">
      <c r="A1434" s="17" t="s">
        <v>7299</v>
      </c>
      <c r="B1434" s="17" t="s">
        <v>1337</v>
      </c>
      <c r="C1434" s="17" t="s">
        <v>1735</v>
      </c>
      <c r="D1434" s="17" t="s">
        <v>3153</v>
      </c>
      <c r="E1434" s="17" t="s">
        <v>4822</v>
      </c>
      <c r="F1434" s="17" t="s">
        <v>4823</v>
      </c>
      <c r="G1434" s="17" t="s">
        <v>6255</v>
      </c>
      <c r="H1434" t="s">
        <v>7476</v>
      </c>
      <c r="I1434" s="1">
        <v>2</v>
      </c>
      <c r="J1434" s="1">
        <v>2</v>
      </c>
      <c r="K1434" t="s">
        <v>6640</v>
      </c>
      <c r="L1434" s="5" t="e">
        <f>VLOOKUP(D:D,[1]Munka2!$A:$B,2,FALSE)</f>
        <v>#N/A</v>
      </c>
      <c r="M1434" s="5">
        <f>_xlfn.IFNA(Táblázat1[[#This Row],[Kész2020]],0)</f>
        <v>0</v>
      </c>
      <c r="N1434" s="5">
        <f>IF(Táblázat1[[#This Row],[Karb./akt.év]]-Táblázat1[[#This Row],[Kész2020_2]]&lt;0,0,Táblázat1[[#This Row],[Karb./akt.év]]-Táblázat1[[#This Row],[Kész2020_2]])</f>
        <v>2</v>
      </c>
    </row>
    <row r="1435" spans="1:14" x14ac:dyDescent="0.25">
      <c r="A1435" s="17" t="s">
        <v>7299</v>
      </c>
      <c r="B1435" s="17" t="s">
        <v>1085</v>
      </c>
      <c r="C1435" s="17" t="s">
        <v>1735</v>
      </c>
      <c r="D1435" s="17" t="s">
        <v>2875</v>
      </c>
      <c r="E1435" s="17" t="s">
        <v>4614</v>
      </c>
      <c r="F1435" s="17" t="s">
        <v>4615</v>
      </c>
      <c r="G1435" s="17" t="s">
        <v>6013</v>
      </c>
      <c r="H1435" t="s">
        <v>7476</v>
      </c>
      <c r="I1435" s="1">
        <v>2</v>
      </c>
      <c r="J1435" s="1">
        <v>2</v>
      </c>
      <c r="K1435" t="s">
        <v>6640</v>
      </c>
      <c r="L1435" s="5" t="e">
        <f>VLOOKUP(D:D,[1]Munka2!$A:$B,2,FALSE)</f>
        <v>#N/A</v>
      </c>
      <c r="M1435" s="5">
        <f>_xlfn.IFNA(Táblázat1[[#This Row],[Kész2020]],0)</f>
        <v>0</v>
      </c>
      <c r="N1435" s="5">
        <f>IF(Táblázat1[[#This Row],[Karb./akt.év]]-Táblázat1[[#This Row],[Kész2020_2]]&lt;0,0,Táblázat1[[#This Row],[Karb./akt.év]]-Táblázat1[[#This Row],[Kész2020_2]])</f>
        <v>2</v>
      </c>
    </row>
    <row r="1436" spans="1:14" hidden="1" x14ac:dyDescent="0.25">
      <c r="A1436" s="17" t="s">
        <v>7299</v>
      </c>
      <c r="B1436" s="17" t="s">
        <v>914</v>
      </c>
      <c r="C1436" s="17" t="s">
        <v>1735</v>
      </c>
      <c r="D1436" s="17" t="s">
        <v>2696</v>
      </c>
      <c r="E1436" s="17" t="s">
        <v>4499</v>
      </c>
      <c r="F1436" s="17" t="s">
        <v>4500</v>
      </c>
      <c r="G1436" s="17" t="s">
        <v>5839</v>
      </c>
      <c r="H1436" t="s">
        <v>7476</v>
      </c>
      <c r="I1436" s="1">
        <v>2</v>
      </c>
      <c r="J1436" s="1">
        <v>2</v>
      </c>
      <c r="K1436" t="s">
        <v>6640</v>
      </c>
      <c r="L1436" s="5">
        <f>VLOOKUP(D:D,[1]Munka2!$A:$B,2,FALSE)</f>
        <v>1</v>
      </c>
      <c r="M1436" s="5">
        <f>_xlfn.IFNA(Táblázat1[[#This Row],[Kész2020]],0)</f>
        <v>1</v>
      </c>
      <c r="N1436" s="5">
        <f>IF(Táblázat1[[#This Row],[Karb./akt.év]]-Táblázat1[[#This Row],[Kész2020_2]]&lt;0,0,Táblázat1[[#This Row],[Karb./akt.év]]-Táblázat1[[#This Row],[Kész2020_2]])</f>
        <v>1</v>
      </c>
    </row>
    <row r="1437" spans="1:14" x14ac:dyDescent="0.25">
      <c r="A1437" s="17" t="s">
        <v>7299</v>
      </c>
      <c r="B1437" s="17" t="s">
        <v>7288</v>
      </c>
      <c r="C1437" s="17" t="s">
        <v>1735</v>
      </c>
      <c r="D1437" s="17" t="s">
        <v>7318</v>
      </c>
      <c r="E1437" s="17" t="s">
        <v>7334</v>
      </c>
      <c r="F1437" s="17" t="s">
        <v>3755</v>
      </c>
      <c r="G1437" s="17" t="s">
        <v>7349</v>
      </c>
      <c r="H1437" t="s">
        <v>7476</v>
      </c>
      <c r="I1437" s="1">
        <v>2</v>
      </c>
      <c r="J1437" s="1">
        <v>2</v>
      </c>
      <c r="K1437" t="s">
        <v>6640</v>
      </c>
      <c r="L1437" s="5" t="e">
        <f>VLOOKUP(D:D,[1]Munka2!$A:$B,2,FALSE)</f>
        <v>#N/A</v>
      </c>
      <c r="M1437" s="5">
        <f>_xlfn.IFNA(Táblázat1[[#This Row],[Kész2020]],0)</f>
        <v>0</v>
      </c>
      <c r="N1437" s="5">
        <f>IF(Táblázat1[[#This Row],[Karb./akt.év]]-Táblázat1[[#This Row],[Kész2020_2]]&lt;0,0,Táblázat1[[#This Row],[Karb./akt.év]]-Táblázat1[[#This Row],[Kész2020_2]])</f>
        <v>2</v>
      </c>
    </row>
    <row r="1438" spans="1:14" x14ac:dyDescent="0.25">
      <c r="A1438" s="17" t="s">
        <v>7299</v>
      </c>
      <c r="B1438" s="17" t="s">
        <v>7298</v>
      </c>
      <c r="C1438" s="17" t="s">
        <v>1754</v>
      </c>
      <c r="D1438" s="17" t="s">
        <v>2088</v>
      </c>
      <c r="E1438" s="17" t="s">
        <v>7338</v>
      </c>
      <c r="F1438" s="17" t="s">
        <v>7339</v>
      </c>
      <c r="G1438" s="17" t="s">
        <v>7353</v>
      </c>
      <c r="H1438" t="s">
        <v>7476</v>
      </c>
      <c r="I1438" s="1">
        <v>2</v>
      </c>
      <c r="J1438" s="1">
        <v>2</v>
      </c>
      <c r="K1438" t="s">
        <v>6640</v>
      </c>
      <c r="L1438" s="5" t="e">
        <f>VLOOKUP(D:D,[1]Munka2!$A:$B,2,FALSE)</f>
        <v>#N/A</v>
      </c>
      <c r="M1438" s="5">
        <f>_xlfn.IFNA(Táblázat1[[#This Row],[Kész2020]],0)</f>
        <v>0</v>
      </c>
      <c r="N1438" s="5">
        <f>IF(Táblázat1[[#This Row],[Karb./akt.év]]-Táblázat1[[#This Row],[Kész2020_2]]&lt;0,0,Táblázat1[[#This Row],[Karb./akt.év]]-Táblázat1[[#This Row],[Kész2020_2]])</f>
        <v>2</v>
      </c>
    </row>
    <row r="1439" spans="1:14" x14ac:dyDescent="0.25">
      <c r="A1439" s="17" t="s">
        <v>7299</v>
      </c>
      <c r="B1439" s="17" t="s">
        <v>7364</v>
      </c>
      <c r="C1439" s="17" t="s">
        <v>1738</v>
      </c>
      <c r="D1439" s="17" t="s">
        <v>7371</v>
      </c>
      <c r="E1439" s="17" t="s">
        <v>7372</v>
      </c>
      <c r="F1439" s="17" t="s">
        <v>7373</v>
      </c>
      <c r="G1439" s="17" t="s">
        <v>7378</v>
      </c>
      <c r="H1439" t="s">
        <v>7476</v>
      </c>
      <c r="I1439" s="1">
        <v>2</v>
      </c>
      <c r="J1439" s="1">
        <v>2</v>
      </c>
      <c r="K1439" t="s">
        <v>6639</v>
      </c>
      <c r="L1439" s="5" t="e">
        <f>VLOOKUP(D:D,[1]Munka2!$A:$B,2,FALSE)</f>
        <v>#N/A</v>
      </c>
      <c r="M1439" s="5">
        <f>_xlfn.IFNA(Táblázat1[[#This Row],[Kész2020]],0)</f>
        <v>0</v>
      </c>
      <c r="N1439" s="5">
        <f>IF(Táblázat1[[#This Row],[Karb./akt.év]]-Táblázat1[[#This Row],[Kész2020_2]]&lt;0,0,Táblázat1[[#This Row],[Karb./akt.év]]-Táblázat1[[#This Row],[Kész2020_2]])</f>
        <v>2</v>
      </c>
    </row>
    <row r="1440" spans="1:14" x14ac:dyDescent="0.25">
      <c r="A1440" s="17" t="s">
        <v>7299</v>
      </c>
      <c r="B1440" s="17" t="s">
        <v>1084</v>
      </c>
      <c r="C1440" s="17" t="s">
        <v>1747</v>
      </c>
      <c r="D1440" s="17" t="s">
        <v>7441</v>
      </c>
      <c r="E1440" s="17" t="s">
        <v>4612</v>
      </c>
      <c r="F1440" s="17" t="s">
        <v>4613</v>
      </c>
      <c r="G1440" s="17" t="s">
        <v>6012</v>
      </c>
      <c r="H1440" t="s">
        <v>7476</v>
      </c>
      <c r="I1440" s="1">
        <v>2</v>
      </c>
      <c r="J1440" s="1">
        <v>2</v>
      </c>
      <c r="K1440" t="s">
        <v>6640</v>
      </c>
      <c r="L1440" s="5" t="e">
        <f>VLOOKUP(D:D,[1]Munka2!$A:$B,2,FALSE)</f>
        <v>#N/A</v>
      </c>
      <c r="M1440" s="5">
        <f>_xlfn.IFNA(Táblázat1[[#This Row],[Kész2020]],0)</f>
        <v>0</v>
      </c>
      <c r="N1440" s="5">
        <f>IF(Táblázat1[[#This Row],[Karb./akt.év]]-Táblázat1[[#This Row],[Kész2020_2]]&lt;0,0,Táblázat1[[#This Row],[Karb./akt.év]]-Táblázat1[[#This Row],[Kész2020_2]])</f>
        <v>2</v>
      </c>
    </row>
    <row r="1441" spans="1:14" x14ac:dyDescent="0.25">
      <c r="A1441" s="17" t="s">
        <v>7299</v>
      </c>
      <c r="B1441" s="17" t="s">
        <v>888</v>
      </c>
      <c r="C1441" s="17" t="s">
        <v>1765</v>
      </c>
      <c r="D1441" s="17" t="s">
        <v>2673</v>
      </c>
      <c r="E1441" s="17" t="s">
        <v>4468</v>
      </c>
      <c r="F1441" s="17" t="s">
        <v>4469</v>
      </c>
      <c r="G1441" s="17" t="s">
        <v>5821</v>
      </c>
      <c r="H1441" t="s">
        <v>7476</v>
      </c>
      <c r="I1441" s="1">
        <v>2</v>
      </c>
      <c r="J1441" s="1">
        <v>2</v>
      </c>
      <c r="K1441" t="s">
        <v>6640</v>
      </c>
      <c r="L1441" s="5" t="e">
        <f>VLOOKUP(D:D,[1]Munka2!$A:$B,2,FALSE)</f>
        <v>#N/A</v>
      </c>
      <c r="M1441" s="5">
        <f>_xlfn.IFNA(Táblázat1[[#This Row],[Kész2020]],0)</f>
        <v>0</v>
      </c>
      <c r="N1441" s="5">
        <f>IF(Táblázat1[[#This Row],[Karb./akt.év]]-Táblázat1[[#This Row],[Kész2020_2]]&lt;0,0,Táblázat1[[#This Row],[Karb./akt.év]]-Táblázat1[[#This Row],[Kész2020_2]])</f>
        <v>2</v>
      </c>
    </row>
    <row r="1442" spans="1:14" hidden="1" x14ac:dyDescent="0.25">
      <c r="A1442" s="17" t="s">
        <v>7299</v>
      </c>
      <c r="B1442" s="17" t="s">
        <v>1669</v>
      </c>
      <c r="C1442" s="17" t="s">
        <v>1759</v>
      </c>
      <c r="D1442" s="17" t="s">
        <v>3526</v>
      </c>
      <c r="E1442" s="17" t="s">
        <v>4977</v>
      </c>
      <c r="F1442" s="17" t="s">
        <v>4978</v>
      </c>
      <c r="G1442" s="17" t="s">
        <v>6565</v>
      </c>
      <c r="H1442" t="s">
        <v>7476</v>
      </c>
      <c r="I1442" s="1">
        <v>2</v>
      </c>
      <c r="J1442" s="1">
        <v>0</v>
      </c>
      <c r="K1442" t="s">
        <v>6640</v>
      </c>
      <c r="L1442" s="5" t="e">
        <f>VLOOKUP(D:D,[1]Munka2!$A:$B,2,FALSE)</f>
        <v>#N/A</v>
      </c>
      <c r="M1442" s="5">
        <f>_xlfn.IFNA(Táblázat1[[#This Row],[Kész2020]],0)</f>
        <v>0</v>
      </c>
      <c r="N1442" s="5">
        <f>IF(Táblázat1[[#This Row],[Karb./akt.év]]-Táblázat1[[#This Row],[Kész2020_2]]&lt;0,0,Táblázat1[[#This Row],[Karb./akt.év]]-Táblázat1[[#This Row],[Kész2020_2]])</f>
        <v>0</v>
      </c>
    </row>
    <row r="1443" spans="1:14" hidden="1" x14ac:dyDescent="0.25">
      <c r="A1443" s="17" t="s">
        <v>7299</v>
      </c>
      <c r="B1443" s="17" t="s">
        <v>1245</v>
      </c>
      <c r="C1443" s="17" t="s">
        <v>1738</v>
      </c>
      <c r="D1443" s="17" t="s">
        <v>3055</v>
      </c>
      <c r="E1443" s="17" t="s">
        <v>4628</v>
      </c>
      <c r="F1443" s="17" t="s">
        <v>4629</v>
      </c>
      <c r="G1443" s="17" t="s">
        <v>6171</v>
      </c>
      <c r="H1443" t="s">
        <v>7476</v>
      </c>
      <c r="I1443" s="1">
        <v>2</v>
      </c>
      <c r="J1443" s="1">
        <v>2</v>
      </c>
      <c r="K1443" t="s">
        <v>6640</v>
      </c>
      <c r="L1443" s="5">
        <f>VLOOKUP(D:D,[1]Munka2!$A:$B,2,FALSE)</f>
        <v>1</v>
      </c>
      <c r="M1443" s="5">
        <f>_xlfn.IFNA(Táblázat1[[#This Row],[Kész2020]],0)</f>
        <v>1</v>
      </c>
      <c r="N1443" s="5">
        <f>IF(Táblázat1[[#This Row],[Karb./akt.év]]-Táblázat1[[#This Row],[Kész2020_2]]&lt;0,0,Táblázat1[[#This Row],[Karb./akt.év]]-Táblázat1[[#This Row],[Kész2020_2]])</f>
        <v>1</v>
      </c>
    </row>
    <row r="1444" spans="1:14" x14ac:dyDescent="0.25">
      <c r="A1444" s="17" t="s">
        <v>7299</v>
      </c>
      <c r="B1444" s="17" t="s">
        <v>553</v>
      </c>
      <c r="C1444" s="17" t="s">
        <v>1738</v>
      </c>
      <c r="D1444" s="17" t="s">
        <v>2322</v>
      </c>
      <c r="E1444" s="17" t="s">
        <v>4181</v>
      </c>
      <c r="F1444" s="17" t="s">
        <v>4182</v>
      </c>
      <c r="G1444" s="17" t="s">
        <v>5514</v>
      </c>
      <c r="H1444" t="s">
        <v>7476</v>
      </c>
      <c r="I1444" s="1">
        <v>2</v>
      </c>
      <c r="J1444" s="1">
        <v>2</v>
      </c>
      <c r="K1444" t="s">
        <v>6640</v>
      </c>
      <c r="L1444" s="5" t="e">
        <f>VLOOKUP(D:D,[1]Munka2!$A:$B,2,FALSE)</f>
        <v>#N/A</v>
      </c>
      <c r="M1444" s="5">
        <f>_xlfn.IFNA(Táblázat1[[#This Row],[Kész2020]],0)</f>
        <v>0</v>
      </c>
      <c r="N1444" s="5">
        <f>IF(Táblázat1[[#This Row],[Karb./akt.év]]-Táblázat1[[#This Row],[Kész2020_2]]&lt;0,0,Táblázat1[[#This Row],[Karb./akt.év]]-Táblázat1[[#This Row],[Kész2020_2]])</f>
        <v>2</v>
      </c>
    </row>
    <row r="1445" spans="1:14" hidden="1" x14ac:dyDescent="0.25">
      <c r="A1445" s="17" t="s">
        <v>7299</v>
      </c>
      <c r="B1445" s="17" t="s">
        <v>675</v>
      </c>
      <c r="C1445" s="17" t="s">
        <v>1735</v>
      </c>
      <c r="D1445" s="17" t="s">
        <v>2449</v>
      </c>
      <c r="E1445" s="17" t="s">
        <v>4284</v>
      </c>
      <c r="F1445" s="17" t="s">
        <v>4285</v>
      </c>
      <c r="G1445" s="17" t="s">
        <v>5631</v>
      </c>
      <c r="H1445" t="s">
        <v>7476</v>
      </c>
      <c r="I1445" s="1">
        <v>2</v>
      </c>
      <c r="J1445" s="1">
        <v>2</v>
      </c>
      <c r="K1445" t="s">
        <v>6640</v>
      </c>
      <c r="L1445" s="5">
        <f>VLOOKUP(D:D,[1]Munka2!$A:$B,2,FALSE)</f>
        <v>1</v>
      </c>
      <c r="M1445" s="5">
        <f>_xlfn.IFNA(Táblázat1[[#This Row],[Kész2020]],0)</f>
        <v>1</v>
      </c>
      <c r="N1445" s="5">
        <f>IF(Táblázat1[[#This Row],[Karb./akt.év]]-Táblázat1[[#This Row],[Kész2020_2]]&lt;0,0,Táblázat1[[#This Row],[Karb./akt.év]]-Táblázat1[[#This Row],[Kész2020_2]])</f>
        <v>1</v>
      </c>
    </row>
    <row r="1446" spans="1:14" x14ac:dyDescent="0.25">
      <c r="A1446" s="17" t="s">
        <v>7299</v>
      </c>
      <c r="B1446" s="17" t="s">
        <v>7750</v>
      </c>
      <c r="C1446" s="17" t="s">
        <v>1759</v>
      </c>
      <c r="D1446" s="17" t="s">
        <v>7854</v>
      </c>
      <c r="E1446" s="17" t="s">
        <v>3736</v>
      </c>
      <c r="F1446" s="17" t="s">
        <v>3737</v>
      </c>
      <c r="G1446" s="17" t="s">
        <v>8071</v>
      </c>
      <c r="H1446" t="s">
        <v>7476</v>
      </c>
      <c r="I1446" s="1">
        <v>2</v>
      </c>
      <c r="J1446" s="1">
        <v>2</v>
      </c>
      <c r="K1446" t="s">
        <v>6638</v>
      </c>
      <c r="L1446" s="5" t="e">
        <f>VLOOKUP(D:D,[1]Munka2!$A:$B,2,FALSE)</f>
        <v>#N/A</v>
      </c>
      <c r="M1446" s="5">
        <f>_xlfn.IFNA(Táblázat1[[#This Row],[Kész2020]],0)</f>
        <v>0</v>
      </c>
      <c r="N1446" s="5">
        <f>IF(Táblázat1[[#This Row],[Karb./akt.év]]-Táblázat1[[#This Row],[Kész2020_2]]&lt;0,0,Táblázat1[[#This Row],[Karb./akt.év]]-Táblázat1[[#This Row],[Kész2020_2]])</f>
        <v>2</v>
      </c>
    </row>
    <row r="1447" spans="1:14" hidden="1" x14ac:dyDescent="0.25">
      <c r="A1447" s="17" t="s">
        <v>7299</v>
      </c>
      <c r="B1447" s="17" t="s">
        <v>7751</v>
      </c>
      <c r="C1447" s="17" t="s">
        <v>1753</v>
      </c>
      <c r="D1447" s="17" t="s">
        <v>7855</v>
      </c>
      <c r="E1447" s="17" t="s">
        <v>7975</v>
      </c>
      <c r="F1447" s="17" t="s">
        <v>7976</v>
      </c>
      <c r="G1447" s="17" t="s">
        <v>8072</v>
      </c>
      <c r="H1447" t="s">
        <v>7476</v>
      </c>
      <c r="I1447" s="1">
        <v>2</v>
      </c>
      <c r="J1447" s="1">
        <v>2</v>
      </c>
      <c r="K1447" t="s">
        <v>7014</v>
      </c>
      <c r="L1447" s="5">
        <f>VLOOKUP(D:D,[1]Munka2!$A:$B,2,FALSE)</f>
        <v>1</v>
      </c>
      <c r="M1447" s="5">
        <f>_xlfn.IFNA(Táblázat1[[#This Row],[Kész2020]],0)</f>
        <v>1</v>
      </c>
      <c r="N1447" s="5">
        <f>IF(Táblázat1[[#This Row],[Karb./akt.év]]-Táblázat1[[#This Row],[Kész2020_2]]&lt;0,0,Táblázat1[[#This Row],[Karb./akt.év]]-Táblázat1[[#This Row],[Kész2020_2]])</f>
        <v>1</v>
      </c>
    </row>
    <row r="1448" spans="1:14" x14ac:dyDescent="0.25">
      <c r="A1448" s="17" t="s">
        <v>7299</v>
      </c>
      <c r="B1448" s="17" t="s">
        <v>6789</v>
      </c>
      <c r="C1448" s="17" t="s">
        <v>1757</v>
      </c>
      <c r="D1448" s="17" t="s">
        <v>6660</v>
      </c>
      <c r="E1448" s="17" t="s">
        <v>3736</v>
      </c>
      <c r="F1448" s="17" t="s">
        <v>3737</v>
      </c>
      <c r="G1448" s="17" t="s">
        <v>6661</v>
      </c>
      <c r="H1448" t="s">
        <v>7476</v>
      </c>
      <c r="I1448" s="1">
        <v>2</v>
      </c>
      <c r="J1448" s="1">
        <v>2</v>
      </c>
      <c r="K1448" t="s">
        <v>6638</v>
      </c>
      <c r="L1448" s="5" t="e">
        <f>VLOOKUP(D:D,[1]Munka2!$A:$B,2,FALSE)</f>
        <v>#N/A</v>
      </c>
      <c r="M1448" s="5">
        <f>_xlfn.IFNA(Táblázat1[[#This Row],[Kész2020]],0)</f>
        <v>0</v>
      </c>
      <c r="N1448" s="5">
        <f>IF(Táblázat1[[#This Row],[Karb./akt.év]]-Táblázat1[[#This Row],[Kész2020_2]]&lt;0,0,Táblázat1[[#This Row],[Karb./akt.év]]-Táblázat1[[#This Row],[Kész2020_2]])</f>
        <v>2</v>
      </c>
    </row>
    <row r="1449" spans="1:14" hidden="1" x14ac:dyDescent="0.25">
      <c r="A1449" s="17" t="s">
        <v>7299</v>
      </c>
      <c r="B1449" s="17" t="s">
        <v>6787</v>
      </c>
      <c r="C1449" s="17" t="s">
        <v>1757</v>
      </c>
      <c r="D1449" s="17" t="s">
        <v>6653</v>
      </c>
      <c r="E1449" s="17" t="s">
        <v>6654</v>
      </c>
      <c r="F1449" s="17" t="s">
        <v>6655</v>
      </c>
      <c r="G1449" s="17" t="s">
        <v>5496</v>
      </c>
      <c r="H1449" t="s">
        <v>7476</v>
      </c>
      <c r="I1449" s="1">
        <v>2</v>
      </c>
      <c r="J1449" s="1">
        <v>2</v>
      </c>
      <c r="K1449" t="s">
        <v>7014</v>
      </c>
      <c r="L1449" s="5">
        <f>VLOOKUP(D:D,[1]Munka2!$A:$B,2,FALSE)</f>
        <v>1</v>
      </c>
      <c r="M1449" s="5">
        <f>_xlfn.IFNA(Táblázat1[[#This Row],[Kész2020]],0)</f>
        <v>1</v>
      </c>
      <c r="N1449" s="5">
        <f>IF(Táblázat1[[#This Row],[Karb./akt.év]]-Táblázat1[[#This Row],[Kész2020_2]]&lt;0,0,Táblázat1[[#This Row],[Karb./akt.év]]-Táblázat1[[#This Row],[Kész2020_2]])</f>
        <v>1</v>
      </c>
    </row>
    <row r="1450" spans="1:14" hidden="1" x14ac:dyDescent="0.25">
      <c r="A1450" s="17" t="s">
        <v>7299</v>
      </c>
      <c r="B1450" s="17" t="s">
        <v>6793</v>
      </c>
      <c r="C1450" s="17" t="s">
        <v>1746</v>
      </c>
      <c r="D1450" s="17" t="s">
        <v>6670</v>
      </c>
      <c r="E1450" s="17" t="s">
        <v>6671</v>
      </c>
      <c r="F1450" s="17" t="s">
        <v>6672</v>
      </c>
      <c r="G1450" s="17" t="s">
        <v>6673</v>
      </c>
      <c r="H1450" t="s">
        <v>7476</v>
      </c>
      <c r="I1450" s="1">
        <v>2</v>
      </c>
      <c r="J1450" s="1">
        <v>2</v>
      </c>
      <c r="K1450" t="s">
        <v>7014</v>
      </c>
      <c r="L1450" s="5">
        <f>VLOOKUP(D:D,[1]Munka2!$A:$B,2,FALSE)</f>
        <v>1</v>
      </c>
      <c r="M1450" s="5">
        <f>_xlfn.IFNA(Táblázat1[[#This Row],[Kész2020]],0)</f>
        <v>1</v>
      </c>
      <c r="N1450" s="5">
        <f>IF(Táblázat1[[#This Row],[Karb./akt.év]]-Táblázat1[[#This Row],[Kész2020_2]]&lt;0,0,Táblázat1[[#This Row],[Karb./akt.év]]-Táblázat1[[#This Row],[Kész2020_2]])</f>
        <v>1</v>
      </c>
    </row>
    <row r="1451" spans="1:14" hidden="1" x14ac:dyDescent="0.25">
      <c r="A1451" s="17" t="s">
        <v>7299</v>
      </c>
      <c r="B1451" s="17" t="s">
        <v>6790</v>
      </c>
      <c r="C1451" s="17" t="s">
        <v>1757</v>
      </c>
      <c r="D1451" s="17" t="s">
        <v>6662</v>
      </c>
      <c r="E1451" s="17" t="s">
        <v>3736</v>
      </c>
      <c r="F1451" s="17" t="s">
        <v>3737</v>
      </c>
      <c r="G1451" s="17" t="s">
        <v>6663</v>
      </c>
      <c r="H1451" t="s">
        <v>7476</v>
      </c>
      <c r="I1451" s="1">
        <v>2</v>
      </c>
      <c r="J1451" s="1">
        <v>2</v>
      </c>
      <c r="K1451" t="s">
        <v>6638</v>
      </c>
      <c r="L1451" s="5">
        <f>VLOOKUP(D:D,[1]Munka2!$A:$B,2,FALSE)</f>
        <v>1</v>
      </c>
      <c r="M1451" s="5">
        <f>_xlfn.IFNA(Táblázat1[[#This Row],[Kész2020]],0)</f>
        <v>1</v>
      </c>
      <c r="N1451" s="5">
        <f>IF(Táblázat1[[#This Row],[Karb./akt.év]]-Táblázat1[[#This Row],[Kész2020_2]]&lt;0,0,Táblázat1[[#This Row],[Karb./akt.év]]-Táblázat1[[#This Row],[Kész2020_2]])</f>
        <v>1</v>
      </c>
    </row>
    <row r="1452" spans="1:14" hidden="1" x14ac:dyDescent="0.25">
      <c r="A1452" s="17" t="s">
        <v>7299</v>
      </c>
      <c r="B1452" s="17" t="s">
        <v>6788</v>
      </c>
      <c r="C1452" s="17" t="s">
        <v>1757</v>
      </c>
      <c r="D1452" s="17" t="s">
        <v>6656</v>
      </c>
      <c r="E1452" s="17" t="s">
        <v>6657</v>
      </c>
      <c r="F1452" s="17" t="s">
        <v>6658</v>
      </c>
      <c r="G1452" s="17" t="s">
        <v>6659</v>
      </c>
      <c r="H1452" t="s">
        <v>7476</v>
      </c>
      <c r="I1452" s="1">
        <v>2</v>
      </c>
      <c r="J1452" s="1">
        <v>2</v>
      </c>
      <c r="K1452" t="s">
        <v>7014</v>
      </c>
      <c r="L1452" s="5">
        <f>VLOOKUP(D:D,[1]Munka2!$A:$B,2,FALSE)</f>
        <v>1</v>
      </c>
      <c r="M1452" s="5">
        <f>_xlfn.IFNA(Táblázat1[[#This Row],[Kész2020]],0)</f>
        <v>1</v>
      </c>
      <c r="N1452" s="5">
        <f>IF(Táblázat1[[#This Row],[Karb./akt.év]]-Táblázat1[[#This Row],[Kész2020_2]]&lt;0,0,Táblázat1[[#This Row],[Karb./akt.év]]-Táblázat1[[#This Row],[Kész2020_2]])</f>
        <v>1</v>
      </c>
    </row>
    <row r="1453" spans="1:14" hidden="1" x14ac:dyDescent="0.25">
      <c r="A1453" s="17" t="s">
        <v>7299</v>
      </c>
      <c r="B1453" s="17" t="s">
        <v>6786</v>
      </c>
      <c r="C1453" s="17" t="s">
        <v>1757</v>
      </c>
      <c r="D1453" s="17" t="s">
        <v>6649</v>
      </c>
      <c r="E1453" s="17" t="s">
        <v>6650</v>
      </c>
      <c r="F1453" s="17" t="s">
        <v>6651</v>
      </c>
      <c r="G1453" s="17" t="s">
        <v>6652</v>
      </c>
      <c r="H1453" t="s">
        <v>7476</v>
      </c>
      <c r="I1453" s="1">
        <v>2</v>
      </c>
      <c r="J1453" s="1">
        <v>2</v>
      </c>
      <c r="K1453" t="s">
        <v>7014</v>
      </c>
      <c r="L1453" s="5">
        <f>VLOOKUP(D:D,[1]Munka2!$A:$B,2,FALSE)</f>
        <v>1</v>
      </c>
      <c r="M1453" s="5">
        <f>_xlfn.IFNA(Táblázat1[[#This Row],[Kész2020]],0)</f>
        <v>1</v>
      </c>
      <c r="N1453" s="5">
        <f>IF(Táblázat1[[#This Row],[Karb./akt.év]]-Táblázat1[[#This Row],[Kész2020_2]]&lt;0,0,Táblázat1[[#This Row],[Karb./akt.év]]-Táblázat1[[#This Row],[Kész2020_2]])</f>
        <v>1</v>
      </c>
    </row>
    <row r="1454" spans="1:14" hidden="1" x14ac:dyDescent="0.25">
      <c r="A1454" s="17" t="s">
        <v>7299</v>
      </c>
      <c r="B1454" s="17" t="s">
        <v>6792</v>
      </c>
      <c r="C1454" s="17" t="s">
        <v>1757</v>
      </c>
      <c r="D1454" s="17" t="s">
        <v>6668</v>
      </c>
      <c r="E1454" s="17" t="s">
        <v>4797</v>
      </c>
      <c r="F1454" s="17" t="s">
        <v>4798</v>
      </c>
      <c r="G1454" s="17" t="s">
        <v>6669</v>
      </c>
      <c r="H1454" t="s">
        <v>7476</v>
      </c>
      <c r="I1454" s="1">
        <v>2</v>
      </c>
      <c r="J1454" s="1">
        <v>2</v>
      </c>
      <c r="K1454" t="s">
        <v>7014</v>
      </c>
      <c r="L1454" s="5">
        <f>VLOOKUP(D:D,[1]Munka2!$A:$B,2,FALSE)</f>
        <v>1</v>
      </c>
      <c r="M1454" s="5">
        <f>_xlfn.IFNA(Táblázat1[[#This Row],[Kész2020]],0)</f>
        <v>1</v>
      </c>
      <c r="N1454" s="5">
        <f>IF(Táblázat1[[#This Row],[Karb./akt.év]]-Táblázat1[[#This Row],[Kész2020_2]]&lt;0,0,Táblázat1[[#This Row],[Karb./akt.év]]-Táblázat1[[#This Row],[Kész2020_2]])</f>
        <v>1</v>
      </c>
    </row>
    <row r="1455" spans="1:14" hidden="1" x14ac:dyDescent="0.25">
      <c r="A1455" s="17" t="s">
        <v>7299</v>
      </c>
      <c r="B1455" s="17" t="s">
        <v>6794</v>
      </c>
      <c r="C1455" s="17" t="s">
        <v>1746</v>
      </c>
      <c r="D1455" s="17" t="s">
        <v>6674</v>
      </c>
      <c r="E1455" s="17" t="s">
        <v>4797</v>
      </c>
      <c r="F1455" s="17" t="s">
        <v>4798</v>
      </c>
      <c r="G1455" s="17" t="s">
        <v>6675</v>
      </c>
      <c r="H1455" t="s">
        <v>7476</v>
      </c>
      <c r="I1455" s="1">
        <v>2</v>
      </c>
      <c r="J1455" s="1">
        <v>2</v>
      </c>
      <c r="K1455" t="s">
        <v>7014</v>
      </c>
      <c r="L1455" s="5">
        <f>VLOOKUP(D:D,[1]Munka2!$A:$B,2,FALSE)</f>
        <v>1</v>
      </c>
      <c r="M1455" s="5">
        <f>_xlfn.IFNA(Táblázat1[[#This Row],[Kész2020]],0)</f>
        <v>1</v>
      </c>
      <c r="N1455" s="5">
        <f>IF(Táblázat1[[#This Row],[Karb./akt.év]]-Táblázat1[[#This Row],[Kész2020_2]]&lt;0,0,Táblázat1[[#This Row],[Karb./akt.év]]-Táblázat1[[#This Row],[Kész2020_2]])</f>
        <v>1</v>
      </c>
    </row>
    <row r="1456" spans="1:14" hidden="1" x14ac:dyDescent="0.25">
      <c r="A1456" s="17" t="s">
        <v>7299</v>
      </c>
      <c r="B1456" s="17" t="s">
        <v>7752</v>
      </c>
      <c r="C1456" s="17" t="s">
        <v>1746</v>
      </c>
      <c r="D1456" s="17" t="s">
        <v>7856</v>
      </c>
      <c r="E1456" s="17" t="s">
        <v>7977</v>
      </c>
      <c r="F1456" s="17" t="s">
        <v>7978</v>
      </c>
      <c r="G1456" s="17" t="s">
        <v>8073</v>
      </c>
      <c r="H1456" t="s">
        <v>7476</v>
      </c>
      <c r="I1456" s="1">
        <v>2</v>
      </c>
      <c r="J1456" s="1">
        <v>2</v>
      </c>
      <c r="K1456" t="s">
        <v>7014</v>
      </c>
      <c r="L1456" s="5">
        <f>VLOOKUP(D:D,[1]Munka2!$A:$B,2,FALSE)</f>
        <v>1</v>
      </c>
      <c r="M1456" s="5">
        <f>_xlfn.IFNA(Táblázat1[[#This Row],[Kész2020]],0)</f>
        <v>1</v>
      </c>
      <c r="N1456" s="5">
        <f>IF(Táblázat1[[#This Row],[Karb./akt.év]]-Táblázat1[[#This Row],[Kész2020_2]]&lt;0,0,Táblázat1[[#This Row],[Karb./akt.év]]-Táblázat1[[#This Row],[Kész2020_2]])</f>
        <v>1</v>
      </c>
    </row>
    <row r="1457" spans="1:14" hidden="1" x14ac:dyDescent="0.25">
      <c r="A1457" s="17" t="s">
        <v>7299</v>
      </c>
      <c r="B1457" s="17" t="s">
        <v>1019</v>
      </c>
      <c r="C1457" s="17" t="s">
        <v>1754</v>
      </c>
      <c r="D1457" s="17" t="s">
        <v>2808</v>
      </c>
      <c r="E1457" s="17" t="s">
        <v>3834</v>
      </c>
      <c r="F1457" s="17" t="s">
        <v>3835</v>
      </c>
      <c r="G1457" s="17" t="s">
        <v>5947</v>
      </c>
      <c r="H1457" t="s">
        <v>7476</v>
      </c>
      <c r="I1457" s="1">
        <v>2</v>
      </c>
      <c r="J1457" s="1">
        <v>2</v>
      </c>
      <c r="K1457" t="s">
        <v>6636</v>
      </c>
      <c r="L1457" s="5">
        <f>VLOOKUP(D:D,[1]Munka2!$A:$B,2,FALSE)</f>
        <v>1</v>
      </c>
      <c r="M1457" s="5">
        <f>_xlfn.IFNA(Táblázat1[[#This Row],[Kész2020]],0)</f>
        <v>1</v>
      </c>
      <c r="N1457" s="5">
        <f>IF(Táblázat1[[#This Row],[Karb./akt.év]]-Táblázat1[[#This Row],[Kész2020_2]]&lt;0,0,Táblázat1[[#This Row],[Karb./akt.év]]-Táblázat1[[#This Row],[Kész2020_2]])</f>
        <v>1</v>
      </c>
    </row>
    <row r="1458" spans="1:14" hidden="1" x14ac:dyDescent="0.25">
      <c r="A1458" s="17" t="s">
        <v>7299</v>
      </c>
      <c r="B1458" s="17" t="s">
        <v>482</v>
      </c>
      <c r="C1458" s="17" t="s">
        <v>1735</v>
      </c>
      <c r="D1458" s="17" t="s">
        <v>7385</v>
      </c>
      <c r="E1458" s="17" t="s">
        <v>4083</v>
      </c>
      <c r="F1458" s="17" t="s">
        <v>4084</v>
      </c>
      <c r="G1458" s="17" t="s">
        <v>5443</v>
      </c>
      <c r="H1458" t="s">
        <v>7476</v>
      </c>
      <c r="I1458" s="1">
        <v>2</v>
      </c>
      <c r="J1458" s="1">
        <v>2</v>
      </c>
      <c r="K1458" t="s">
        <v>7014</v>
      </c>
      <c r="L1458" s="5">
        <f>VLOOKUP(D:D,[1]Munka2!$A:$B,2,FALSE)</f>
        <v>1</v>
      </c>
      <c r="M1458" s="5">
        <f>_xlfn.IFNA(Táblázat1[[#This Row],[Kész2020]],0)</f>
        <v>1</v>
      </c>
      <c r="N1458" s="5">
        <f>IF(Táblázat1[[#This Row],[Karb./akt.év]]-Táblázat1[[#This Row],[Kész2020_2]]&lt;0,0,Táblázat1[[#This Row],[Karb./akt.év]]-Táblázat1[[#This Row],[Kész2020_2]])</f>
        <v>1</v>
      </c>
    </row>
    <row r="1459" spans="1:14" hidden="1" x14ac:dyDescent="0.25">
      <c r="A1459" s="17" t="s">
        <v>7299</v>
      </c>
      <c r="B1459" s="17" t="s">
        <v>311</v>
      </c>
      <c r="C1459" s="17" t="s">
        <v>1735</v>
      </c>
      <c r="D1459" s="17" t="s">
        <v>2060</v>
      </c>
      <c r="E1459" s="17" t="s">
        <v>3934</v>
      </c>
      <c r="F1459" s="17" t="s">
        <v>3935</v>
      </c>
      <c r="G1459" s="17" t="s">
        <v>5278</v>
      </c>
      <c r="H1459" t="s">
        <v>7476</v>
      </c>
      <c r="I1459" s="1">
        <v>2</v>
      </c>
      <c r="J1459" s="1">
        <v>2</v>
      </c>
      <c r="K1459" t="s">
        <v>7014</v>
      </c>
      <c r="L1459" s="5">
        <f>VLOOKUP(D:D,[1]Munka2!$A:$B,2,FALSE)</f>
        <v>1</v>
      </c>
      <c r="M1459" s="5">
        <f>_xlfn.IFNA(Táblázat1[[#This Row],[Kész2020]],0)</f>
        <v>1</v>
      </c>
      <c r="N1459" s="5">
        <f>IF(Táblázat1[[#This Row],[Karb./akt.év]]-Táblázat1[[#This Row],[Kész2020_2]]&lt;0,0,Táblázat1[[#This Row],[Karb./akt.év]]-Táblázat1[[#This Row],[Kész2020_2]])</f>
        <v>1</v>
      </c>
    </row>
    <row r="1460" spans="1:14" hidden="1" x14ac:dyDescent="0.25">
      <c r="A1460" s="17" t="s">
        <v>7299</v>
      </c>
      <c r="B1460" s="17" t="s">
        <v>353</v>
      </c>
      <c r="C1460" s="17" t="s">
        <v>1737</v>
      </c>
      <c r="D1460" s="17" t="s">
        <v>2107</v>
      </c>
      <c r="E1460" s="17" t="s">
        <v>3982</v>
      </c>
      <c r="F1460" s="17" t="s">
        <v>3983</v>
      </c>
      <c r="G1460" s="17" t="s">
        <v>5319</v>
      </c>
      <c r="H1460" t="s">
        <v>7476</v>
      </c>
      <c r="I1460" s="1">
        <v>2</v>
      </c>
      <c r="J1460" s="1">
        <v>2</v>
      </c>
      <c r="K1460" t="s">
        <v>6636</v>
      </c>
      <c r="L1460" s="5">
        <f>VLOOKUP(D:D,[1]Munka2!$A:$B,2,FALSE)</f>
        <v>1</v>
      </c>
      <c r="M1460" s="5">
        <f>_xlfn.IFNA(Táblázat1[[#This Row],[Kész2020]],0)</f>
        <v>1</v>
      </c>
      <c r="N1460" s="5">
        <f>IF(Táblázat1[[#This Row],[Karb./akt.év]]-Táblázat1[[#This Row],[Kész2020_2]]&lt;0,0,Táblázat1[[#This Row],[Karb./akt.év]]-Táblázat1[[#This Row],[Kész2020_2]])</f>
        <v>1</v>
      </c>
    </row>
    <row r="1461" spans="1:14" hidden="1" x14ac:dyDescent="0.25">
      <c r="A1461" s="17" t="s">
        <v>7299</v>
      </c>
      <c r="B1461" s="17" t="s">
        <v>850</v>
      </c>
      <c r="C1461" s="17" t="s">
        <v>1738</v>
      </c>
      <c r="D1461" s="17" t="s">
        <v>7387</v>
      </c>
      <c r="E1461" s="17" t="s">
        <v>3798</v>
      </c>
      <c r="F1461" s="17" t="s">
        <v>3799</v>
      </c>
      <c r="G1461" s="17" t="s">
        <v>5787</v>
      </c>
      <c r="H1461" t="s">
        <v>7476</v>
      </c>
      <c r="I1461" s="1">
        <v>2</v>
      </c>
      <c r="J1461" s="1">
        <v>2</v>
      </c>
      <c r="K1461" t="s">
        <v>7014</v>
      </c>
      <c r="L1461" s="5">
        <f>VLOOKUP(D:D,[1]Munka2!$A:$B,2,FALSE)</f>
        <v>1</v>
      </c>
      <c r="M1461" s="5">
        <f>_xlfn.IFNA(Táblázat1[[#This Row],[Kész2020]],0)</f>
        <v>1</v>
      </c>
      <c r="N1461" s="5">
        <f>IF(Táblázat1[[#This Row],[Karb./akt.év]]-Táblázat1[[#This Row],[Kész2020_2]]&lt;0,0,Táblázat1[[#This Row],[Karb./akt.év]]-Táblázat1[[#This Row],[Kész2020_2]])</f>
        <v>1</v>
      </c>
    </row>
    <row r="1462" spans="1:14" hidden="1" x14ac:dyDescent="0.25">
      <c r="A1462" s="17" t="s">
        <v>7299</v>
      </c>
      <c r="B1462" s="17" t="s">
        <v>1049</v>
      </c>
      <c r="C1462" s="17" t="s">
        <v>1738</v>
      </c>
      <c r="D1462" s="17" t="s">
        <v>7388</v>
      </c>
      <c r="E1462" s="17" t="s">
        <v>4597</v>
      </c>
      <c r="F1462" s="17" t="s">
        <v>4598</v>
      </c>
      <c r="G1462" s="17" t="s">
        <v>5978</v>
      </c>
      <c r="H1462" t="s">
        <v>7476</v>
      </c>
      <c r="I1462" s="1">
        <v>2</v>
      </c>
      <c r="J1462" s="1">
        <v>2</v>
      </c>
      <c r="K1462" t="s">
        <v>7014</v>
      </c>
      <c r="L1462" s="5">
        <f>VLOOKUP(D:D,[1]Munka2!$A:$B,2,FALSE)</f>
        <v>1</v>
      </c>
      <c r="M1462" s="5">
        <f>_xlfn.IFNA(Táblázat1[[#This Row],[Kész2020]],0)</f>
        <v>1</v>
      </c>
      <c r="N1462" s="5">
        <f>IF(Táblázat1[[#This Row],[Karb./akt.év]]-Táblázat1[[#This Row],[Kész2020_2]]&lt;0,0,Táblázat1[[#This Row],[Karb./akt.év]]-Táblázat1[[#This Row],[Kész2020_2]])</f>
        <v>1</v>
      </c>
    </row>
    <row r="1463" spans="1:14" hidden="1" x14ac:dyDescent="0.25">
      <c r="A1463" s="17" t="s">
        <v>7299</v>
      </c>
      <c r="B1463" s="17" t="s">
        <v>1354</v>
      </c>
      <c r="C1463" s="17" t="s">
        <v>1738</v>
      </c>
      <c r="D1463" s="17" t="s">
        <v>7389</v>
      </c>
      <c r="E1463" s="17" t="s">
        <v>4837</v>
      </c>
      <c r="F1463" s="17" t="s">
        <v>4838</v>
      </c>
      <c r="G1463" s="17" t="s">
        <v>6267</v>
      </c>
      <c r="H1463" t="s">
        <v>7476</v>
      </c>
      <c r="I1463" s="1">
        <v>2</v>
      </c>
      <c r="J1463" s="1">
        <v>2</v>
      </c>
      <c r="K1463" t="s">
        <v>7014</v>
      </c>
      <c r="L1463" s="5">
        <f>VLOOKUP(D:D,[1]Munka2!$A:$B,2,FALSE)</f>
        <v>1</v>
      </c>
      <c r="M1463" s="5">
        <f>_xlfn.IFNA(Táblázat1[[#This Row],[Kész2020]],0)</f>
        <v>1</v>
      </c>
      <c r="N1463" s="5">
        <f>IF(Táblázat1[[#This Row],[Karb./akt.év]]-Táblázat1[[#This Row],[Kész2020_2]]&lt;0,0,Táblázat1[[#This Row],[Karb./akt.év]]-Táblázat1[[#This Row],[Kész2020_2]])</f>
        <v>1</v>
      </c>
    </row>
    <row r="1464" spans="1:14" hidden="1" x14ac:dyDescent="0.25">
      <c r="A1464" s="17" t="s">
        <v>7299</v>
      </c>
      <c r="B1464" s="17" t="s">
        <v>542</v>
      </c>
      <c r="C1464" s="17" t="s">
        <v>1738</v>
      </c>
      <c r="D1464" s="17" t="s">
        <v>7386</v>
      </c>
      <c r="E1464" s="17" t="s">
        <v>4117</v>
      </c>
      <c r="F1464" s="17" t="s">
        <v>4118</v>
      </c>
      <c r="G1464" s="17" t="s">
        <v>5500</v>
      </c>
      <c r="H1464" t="s">
        <v>7476</v>
      </c>
      <c r="I1464" s="1">
        <v>2</v>
      </c>
      <c r="J1464" s="1">
        <v>2</v>
      </c>
      <c r="K1464" t="s">
        <v>7014</v>
      </c>
      <c r="L1464" s="5">
        <f>VLOOKUP(D:D,[1]Munka2!$A:$B,2,FALSE)</f>
        <v>1</v>
      </c>
      <c r="M1464" s="5">
        <f>_xlfn.IFNA(Táblázat1[[#This Row],[Kész2020]],0)</f>
        <v>1</v>
      </c>
      <c r="N1464" s="5">
        <f>IF(Táblázat1[[#This Row],[Karb./akt.év]]-Táblázat1[[#This Row],[Kész2020_2]]&lt;0,0,Táblázat1[[#This Row],[Karb./akt.év]]-Táblázat1[[#This Row],[Kész2020_2]])</f>
        <v>1</v>
      </c>
    </row>
    <row r="1465" spans="1:14" hidden="1" x14ac:dyDescent="0.25">
      <c r="A1465" s="17" t="s">
        <v>7299</v>
      </c>
      <c r="B1465" s="17" t="s">
        <v>6791</v>
      </c>
      <c r="C1465" s="17" t="s">
        <v>1735</v>
      </c>
      <c r="D1465" s="17" t="s">
        <v>6664</v>
      </c>
      <c r="E1465" s="17" t="s">
        <v>6665</v>
      </c>
      <c r="F1465" s="17" t="s">
        <v>6666</v>
      </c>
      <c r="G1465" s="17" t="s">
        <v>6667</v>
      </c>
      <c r="H1465" t="s">
        <v>7476</v>
      </c>
      <c r="I1465" s="1">
        <v>2</v>
      </c>
      <c r="J1465" s="1">
        <v>2</v>
      </c>
      <c r="K1465" t="s">
        <v>7014</v>
      </c>
      <c r="L1465" s="5">
        <f>VLOOKUP(D:D,[1]Munka2!$A:$B,2,FALSE)</f>
        <v>1</v>
      </c>
      <c r="M1465" s="5">
        <f>_xlfn.IFNA(Táblázat1[[#This Row],[Kész2020]],0)</f>
        <v>1</v>
      </c>
      <c r="N1465" s="5">
        <f>IF(Táblázat1[[#This Row],[Karb./akt.év]]-Táblázat1[[#This Row],[Kész2020_2]]&lt;0,0,Táblázat1[[#This Row],[Karb./akt.év]]-Táblázat1[[#This Row],[Kész2020_2]])</f>
        <v>1</v>
      </c>
    </row>
    <row r="1466" spans="1:14" x14ac:dyDescent="0.25">
      <c r="A1466" s="17" t="s">
        <v>7299</v>
      </c>
      <c r="B1466" s="17" t="s">
        <v>7753</v>
      </c>
      <c r="C1466" s="17" t="s">
        <v>1759</v>
      </c>
      <c r="D1466" s="17" t="s">
        <v>7857</v>
      </c>
      <c r="E1466" s="17" t="s">
        <v>3834</v>
      </c>
      <c r="F1466" s="17" t="s">
        <v>3835</v>
      </c>
      <c r="G1466" s="17" t="s">
        <v>8074</v>
      </c>
      <c r="H1466" t="s">
        <v>7476</v>
      </c>
      <c r="I1466" s="1">
        <v>2</v>
      </c>
      <c r="J1466" s="1">
        <v>2</v>
      </c>
      <c r="K1466" t="s">
        <v>7014</v>
      </c>
      <c r="L1466" s="5" t="e">
        <f>VLOOKUP(D:D,[1]Munka2!$A:$B,2,FALSE)</f>
        <v>#N/A</v>
      </c>
      <c r="M1466" s="5">
        <f>_xlfn.IFNA(Táblázat1[[#This Row],[Kész2020]],0)</f>
        <v>0</v>
      </c>
      <c r="N1466" s="5">
        <f>IF(Táblázat1[[#This Row],[Karb./akt.év]]-Táblázat1[[#This Row],[Kész2020_2]]&lt;0,0,Táblázat1[[#This Row],[Karb./akt.év]]-Táblázat1[[#This Row],[Kész2020_2]])</f>
        <v>2</v>
      </c>
    </row>
    <row r="1467" spans="1:14" hidden="1" x14ac:dyDescent="0.25">
      <c r="A1467" s="17" t="s">
        <v>7299</v>
      </c>
      <c r="B1467" s="17" t="s">
        <v>1495</v>
      </c>
      <c r="C1467" s="17" t="s">
        <v>1746</v>
      </c>
      <c r="D1467" s="17" t="s">
        <v>3334</v>
      </c>
      <c r="E1467" s="17" t="s">
        <v>3736</v>
      </c>
      <c r="F1467" s="17" t="s">
        <v>3737</v>
      </c>
      <c r="G1467" s="17" t="s">
        <v>6402</v>
      </c>
      <c r="H1467" t="s">
        <v>7476</v>
      </c>
      <c r="I1467" s="1">
        <v>2</v>
      </c>
      <c r="J1467" s="1">
        <v>2</v>
      </c>
      <c r="K1467" t="s">
        <v>6638</v>
      </c>
      <c r="L1467" s="5">
        <f>VLOOKUP(D:D,[1]Munka2!$A:$B,2,FALSE)</f>
        <v>1</v>
      </c>
      <c r="M1467" s="5">
        <f>_xlfn.IFNA(Táblázat1[[#This Row],[Kész2020]],0)</f>
        <v>1</v>
      </c>
      <c r="N1467" s="5">
        <f>IF(Táblázat1[[#This Row],[Karb./akt.év]]-Táblázat1[[#This Row],[Kész2020_2]]&lt;0,0,Táblázat1[[#This Row],[Karb./akt.év]]-Táblázat1[[#This Row],[Kész2020_2]])</f>
        <v>1</v>
      </c>
    </row>
    <row r="1468" spans="1:14" hidden="1" x14ac:dyDescent="0.25">
      <c r="A1468" s="17" t="s">
        <v>7299</v>
      </c>
      <c r="B1468" s="17" t="s">
        <v>787</v>
      </c>
      <c r="C1468" s="17" t="s">
        <v>1746</v>
      </c>
      <c r="D1468" s="17" t="s">
        <v>2563</v>
      </c>
      <c r="E1468" s="17" t="s">
        <v>4357</v>
      </c>
      <c r="F1468" s="17" t="s">
        <v>4358</v>
      </c>
      <c r="G1468" s="17" t="s">
        <v>5730</v>
      </c>
      <c r="H1468" t="s">
        <v>7476</v>
      </c>
      <c r="I1468" s="1">
        <v>2</v>
      </c>
      <c r="J1468" s="1">
        <v>2</v>
      </c>
      <c r="K1468" t="s">
        <v>7014</v>
      </c>
      <c r="L1468" s="5">
        <f>VLOOKUP(D:D,[1]Munka2!$A:$B,2,FALSE)</f>
        <v>1</v>
      </c>
      <c r="M1468" s="5">
        <f>_xlfn.IFNA(Táblázat1[[#This Row],[Kész2020]],0)</f>
        <v>1</v>
      </c>
      <c r="N1468" s="5">
        <f>IF(Táblázat1[[#This Row],[Karb./akt.év]]-Táblázat1[[#This Row],[Kész2020_2]]&lt;0,0,Táblázat1[[#This Row],[Karb./akt.év]]-Táblázat1[[#This Row],[Kész2020_2]])</f>
        <v>1</v>
      </c>
    </row>
    <row r="1469" spans="1:14" hidden="1" x14ac:dyDescent="0.25">
      <c r="A1469" s="17" t="s">
        <v>7299</v>
      </c>
      <c r="B1469" s="17" t="s">
        <v>1374</v>
      </c>
      <c r="C1469" s="17" t="s">
        <v>1746</v>
      </c>
      <c r="D1469" s="17" t="s">
        <v>3193</v>
      </c>
      <c r="E1469" s="17" t="s">
        <v>4847</v>
      </c>
      <c r="F1469" s="17" t="s">
        <v>4848</v>
      </c>
      <c r="G1469" s="17" t="s">
        <v>6276</v>
      </c>
      <c r="H1469" t="s">
        <v>7476</v>
      </c>
      <c r="I1469" s="1">
        <v>2</v>
      </c>
      <c r="J1469" s="1">
        <v>2</v>
      </c>
      <c r="K1469" t="s">
        <v>7014</v>
      </c>
      <c r="L1469" s="5">
        <f>VLOOKUP(D:D,[1]Munka2!$A:$B,2,FALSE)</f>
        <v>1</v>
      </c>
      <c r="M1469" s="5">
        <f>_xlfn.IFNA(Táblázat1[[#This Row],[Kész2020]],0)</f>
        <v>1</v>
      </c>
      <c r="N1469" s="5">
        <f>IF(Táblázat1[[#This Row],[Karb./akt.év]]-Táblázat1[[#This Row],[Kész2020_2]]&lt;0,0,Táblázat1[[#This Row],[Karb./akt.év]]-Táblázat1[[#This Row],[Kész2020_2]])</f>
        <v>1</v>
      </c>
    </row>
    <row r="1470" spans="1:14" x14ac:dyDescent="0.25">
      <c r="A1470" s="17" t="s">
        <v>7299</v>
      </c>
      <c r="B1470" s="17" t="s">
        <v>1500</v>
      </c>
      <c r="C1470" s="17" t="s">
        <v>1759</v>
      </c>
      <c r="D1470" s="17" t="s">
        <v>3339</v>
      </c>
      <c r="E1470" s="17" t="s">
        <v>4569</v>
      </c>
      <c r="F1470" s="17" t="s">
        <v>4570</v>
      </c>
      <c r="G1470" s="17" t="s">
        <v>6408</v>
      </c>
      <c r="H1470" t="s">
        <v>7476</v>
      </c>
      <c r="I1470" s="1">
        <v>2</v>
      </c>
      <c r="J1470" s="1">
        <v>2</v>
      </c>
      <c r="K1470" t="s">
        <v>7014</v>
      </c>
      <c r="L1470" s="5" t="e">
        <f>VLOOKUP(D:D,[1]Munka2!$A:$B,2,FALSE)</f>
        <v>#N/A</v>
      </c>
      <c r="M1470" s="5">
        <f>_xlfn.IFNA(Táblázat1[[#This Row],[Kész2020]],0)</f>
        <v>0</v>
      </c>
      <c r="N1470" s="5">
        <f>IF(Táblázat1[[#This Row],[Karb./akt.év]]-Táblázat1[[#This Row],[Kész2020_2]]&lt;0,0,Táblázat1[[#This Row],[Karb./akt.év]]-Táblázat1[[#This Row],[Kész2020_2]])</f>
        <v>2</v>
      </c>
    </row>
    <row r="1471" spans="1:14" hidden="1" x14ac:dyDescent="0.25">
      <c r="A1471" s="17" t="s">
        <v>7299</v>
      </c>
      <c r="B1471" s="17" t="s">
        <v>715</v>
      </c>
      <c r="C1471" s="17" t="s">
        <v>1757</v>
      </c>
      <c r="D1471" s="17" t="s">
        <v>2492</v>
      </c>
      <c r="E1471" s="17" t="s">
        <v>3736</v>
      </c>
      <c r="F1471" s="17" t="s">
        <v>3737</v>
      </c>
      <c r="G1471" s="17" t="s">
        <v>5668</v>
      </c>
      <c r="H1471" t="s">
        <v>7476</v>
      </c>
      <c r="I1471" s="1">
        <v>2</v>
      </c>
      <c r="J1471" s="1">
        <v>2</v>
      </c>
      <c r="K1471" t="s">
        <v>6638</v>
      </c>
      <c r="L1471" s="5">
        <f>VLOOKUP(D:D,[1]Munka2!$A:$B,2,FALSE)</f>
        <v>1</v>
      </c>
      <c r="M1471" s="5">
        <f>_xlfn.IFNA(Táblázat1[[#This Row],[Kész2020]],0)</f>
        <v>1</v>
      </c>
      <c r="N1471" s="5">
        <f>IF(Táblázat1[[#This Row],[Karb./akt.év]]-Táblázat1[[#This Row],[Kész2020_2]]&lt;0,0,Táblázat1[[#This Row],[Karb./akt.év]]-Táblázat1[[#This Row],[Kész2020_2]])</f>
        <v>1</v>
      </c>
    </row>
    <row r="1472" spans="1:14" hidden="1" x14ac:dyDescent="0.25">
      <c r="A1472" s="17" t="s">
        <v>7299</v>
      </c>
      <c r="B1472" s="17" t="s">
        <v>1352</v>
      </c>
      <c r="C1472" s="17" t="s">
        <v>1759</v>
      </c>
      <c r="D1472" s="17" t="s">
        <v>3170</v>
      </c>
      <c r="E1472" s="17" t="s">
        <v>4835</v>
      </c>
      <c r="F1472" s="17" t="s">
        <v>4836</v>
      </c>
      <c r="G1472" s="17" t="s">
        <v>6265</v>
      </c>
      <c r="H1472" t="s">
        <v>7476</v>
      </c>
      <c r="I1472" s="1">
        <v>2</v>
      </c>
      <c r="J1472" s="1">
        <v>2</v>
      </c>
      <c r="K1472" t="s">
        <v>7014</v>
      </c>
      <c r="L1472" s="5">
        <f>VLOOKUP(D:D,[1]Munka2!$A:$B,2,FALSE)</f>
        <v>1</v>
      </c>
      <c r="M1472" s="5">
        <f>_xlfn.IFNA(Táblázat1[[#This Row],[Kész2020]],0)</f>
        <v>1</v>
      </c>
      <c r="N1472" s="5">
        <f>IF(Táblázat1[[#This Row],[Karb./akt.év]]-Táblázat1[[#This Row],[Kész2020_2]]&lt;0,0,Táblázat1[[#This Row],[Karb./akt.év]]-Táblázat1[[#This Row],[Kész2020_2]])</f>
        <v>1</v>
      </c>
    </row>
    <row r="1473" spans="1:14" hidden="1" x14ac:dyDescent="0.25">
      <c r="A1473" s="17" t="s">
        <v>7299</v>
      </c>
      <c r="B1473" s="17" t="s">
        <v>1525</v>
      </c>
      <c r="C1473" s="17" t="s">
        <v>1759</v>
      </c>
      <c r="D1473" s="17" t="s">
        <v>3367</v>
      </c>
      <c r="E1473" s="17" t="s">
        <v>4924</v>
      </c>
      <c r="F1473" s="17" t="s">
        <v>4925</v>
      </c>
      <c r="G1473" s="17" t="s">
        <v>6432</v>
      </c>
      <c r="H1473" t="s">
        <v>7476</v>
      </c>
      <c r="I1473" s="1">
        <v>2</v>
      </c>
      <c r="J1473" s="1">
        <v>2</v>
      </c>
      <c r="K1473" t="s">
        <v>7014</v>
      </c>
      <c r="L1473" s="5">
        <f>VLOOKUP(D:D,[1]Munka2!$A:$B,2,FALSE)</f>
        <v>1</v>
      </c>
      <c r="M1473" s="5">
        <f>_xlfn.IFNA(Táblázat1[[#This Row],[Kész2020]],0)</f>
        <v>1</v>
      </c>
      <c r="N1473" s="5">
        <f>IF(Táblázat1[[#This Row],[Karb./akt.év]]-Táblázat1[[#This Row],[Kész2020_2]]&lt;0,0,Táblázat1[[#This Row],[Karb./akt.év]]-Táblázat1[[#This Row],[Kész2020_2]])</f>
        <v>1</v>
      </c>
    </row>
    <row r="1474" spans="1:14" x14ac:dyDescent="0.25">
      <c r="A1474" s="17" t="s">
        <v>7299</v>
      </c>
      <c r="B1474" s="17" t="s">
        <v>1242</v>
      </c>
      <c r="C1474" s="17" t="s">
        <v>1747</v>
      </c>
      <c r="D1474" s="17" t="s">
        <v>3052</v>
      </c>
      <c r="E1474" s="17" t="s">
        <v>4740</v>
      </c>
      <c r="F1474" s="17" t="s">
        <v>4741</v>
      </c>
      <c r="G1474" s="17" t="s">
        <v>6168</v>
      </c>
      <c r="H1474" t="s">
        <v>7476</v>
      </c>
      <c r="I1474" s="1">
        <v>2</v>
      </c>
      <c r="J1474" s="1">
        <v>2</v>
      </c>
      <c r="K1474" t="s">
        <v>7014</v>
      </c>
      <c r="L1474" s="5" t="e">
        <f>VLOOKUP(D:D,[1]Munka2!$A:$B,2,FALSE)</f>
        <v>#N/A</v>
      </c>
      <c r="M1474" s="5">
        <f>_xlfn.IFNA(Táblázat1[[#This Row],[Kész2020]],0)</f>
        <v>0</v>
      </c>
      <c r="N1474" s="5">
        <f>IF(Táblázat1[[#This Row],[Karb./akt.év]]-Táblázat1[[#This Row],[Kész2020_2]]&lt;0,0,Táblázat1[[#This Row],[Karb./akt.év]]-Táblázat1[[#This Row],[Kész2020_2]])</f>
        <v>2</v>
      </c>
    </row>
    <row r="1475" spans="1:14" hidden="1" x14ac:dyDescent="0.25">
      <c r="A1475" s="17" t="s">
        <v>7299</v>
      </c>
      <c r="B1475" s="17" t="s">
        <v>664</v>
      </c>
      <c r="C1475" s="17" t="s">
        <v>1746</v>
      </c>
      <c r="D1475" s="17" t="s">
        <v>2438</v>
      </c>
      <c r="E1475" s="17" t="s">
        <v>4276</v>
      </c>
      <c r="F1475" s="17" t="s">
        <v>4277</v>
      </c>
      <c r="G1475" s="17" t="s">
        <v>5621</v>
      </c>
      <c r="H1475" t="s">
        <v>7476</v>
      </c>
      <c r="I1475" s="1">
        <v>2</v>
      </c>
      <c r="J1475" s="1">
        <v>2</v>
      </c>
      <c r="K1475" t="s">
        <v>7014</v>
      </c>
      <c r="L1475" s="5">
        <f>VLOOKUP(D:D,[1]Munka2!$A:$B,2,FALSE)</f>
        <v>1</v>
      </c>
      <c r="M1475" s="5">
        <f>_xlfn.IFNA(Táblázat1[[#This Row],[Kész2020]],0)</f>
        <v>1</v>
      </c>
      <c r="N1475" s="5">
        <f>IF(Táblázat1[[#This Row],[Karb./akt.év]]-Táblázat1[[#This Row],[Kész2020_2]]&lt;0,0,Táblázat1[[#This Row],[Karb./akt.év]]-Táblázat1[[#This Row],[Kész2020_2]])</f>
        <v>1</v>
      </c>
    </row>
    <row r="1476" spans="1:14" x14ac:dyDescent="0.25">
      <c r="A1476" s="17" t="s">
        <v>7299</v>
      </c>
      <c r="B1476" s="17" t="s">
        <v>642</v>
      </c>
      <c r="C1476" s="17" t="s">
        <v>1759</v>
      </c>
      <c r="D1476" s="17" t="s">
        <v>2416</v>
      </c>
      <c r="E1476" s="17" t="s">
        <v>4258</v>
      </c>
      <c r="F1476" s="17" t="s">
        <v>4259</v>
      </c>
      <c r="G1476" s="17" t="s">
        <v>5600</v>
      </c>
      <c r="H1476" t="s">
        <v>7476</v>
      </c>
      <c r="I1476" s="1">
        <v>2</v>
      </c>
      <c r="J1476" s="1">
        <v>2</v>
      </c>
      <c r="K1476" t="s">
        <v>7014</v>
      </c>
      <c r="L1476" s="5" t="e">
        <f>VLOOKUP(D:D,[1]Munka2!$A:$B,2,FALSE)</f>
        <v>#N/A</v>
      </c>
      <c r="M1476" s="5">
        <f>_xlfn.IFNA(Táblázat1[[#This Row],[Kész2020]],0)</f>
        <v>0</v>
      </c>
      <c r="N1476" s="5">
        <f>IF(Táblázat1[[#This Row],[Karb./akt.év]]-Táblázat1[[#This Row],[Kész2020_2]]&lt;0,0,Táblázat1[[#This Row],[Karb./akt.év]]-Táblázat1[[#This Row],[Kész2020_2]])</f>
        <v>2</v>
      </c>
    </row>
    <row r="1477" spans="1:14" hidden="1" x14ac:dyDescent="0.25">
      <c r="A1477" s="17" t="s">
        <v>7299</v>
      </c>
      <c r="B1477" s="17" t="s">
        <v>7754</v>
      </c>
      <c r="C1477" s="17" t="s">
        <v>1737</v>
      </c>
      <c r="D1477" s="17" t="s">
        <v>3215</v>
      </c>
      <c r="E1477" s="17" t="s">
        <v>4865</v>
      </c>
      <c r="F1477" s="17" t="s">
        <v>4866</v>
      </c>
      <c r="G1477" s="17" t="s">
        <v>6296</v>
      </c>
      <c r="H1477" t="s">
        <v>7476</v>
      </c>
      <c r="I1477" s="1">
        <v>0</v>
      </c>
      <c r="J1477" s="1">
        <v>0</v>
      </c>
      <c r="K1477" t="s">
        <v>7014</v>
      </c>
      <c r="L1477" s="5" t="e">
        <f>VLOOKUP(D:D,[1]Munka2!$A:$B,2,FALSE)</f>
        <v>#N/A</v>
      </c>
      <c r="M1477" s="5">
        <f>_xlfn.IFNA(Táblázat1[[#This Row],[Kész2020]],0)</f>
        <v>0</v>
      </c>
      <c r="N1477" s="5">
        <f>IF(Táblázat1[[#This Row],[Karb./akt.év]]-Táblázat1[[#This Row],[Kész2020_2]]&lt;0,0,Táblázat1[[#This Row],[Karb./akt.év]]-Táblázat1[[#This Row],[Kész2020_2]])</f>
        <v>0</v>
      </c>
    </row>
    <row r="1478" spans="1:14" hidden="1" x14ac:dyDescent="0.25">
      <c r="A1478" s="17" t="s">
        <v>7299</v>
      </c>
      <c r="B1478" s="17" t="s">
        <v>1182</v>
      </c>
      <c r="C1478" s="17" t="s">
        <v>1735</v>
      </c>
      <c r="D1478" s="17" t="s">
        <v>2985</v>
      </c>
      <c r="E1478" s="17" t="s">
        <v>4698</v>
      </c>
      <c r="F1478" s="17" t="s">
        <v>4699</v>
      </c>
      <c r="G1478" s="17" t="s">
        <v>6109</v>
      </c>
      <c r="H1478" t="s">
        <v>7476</v>
      </c>
      <c r="I1478" s="1">
        <v>2</v>
      </c>
      <c r="J1478" s="1">
        <v>2</v>
      </c>
      <c r="K1478" t="s">
        <v>6642</v>
      </c>
      <c r="L1478" s="5">
        <f>VLOOKUP(D:D,[1]Munka2!$A:$B,2,FALSE)</f>
        <v>1</v>
      </c>
      <c r="M1478" s="5">
        <f>_xlfn.IFNA(Táblázat1[[#This Row],[Kész2020]],0)</f>
        <v>1</v>
      </c>
      <c r="N1478" s="5">
        <f>IF(Táblázat1[[#This Row],[Karb./akt.év]]-Táblázat1[[#This Row],[Kész2020_2]]&lt;0,0,Táblázat1[[#This Row],[Karb./akt.év]]-Táblázat1[[#This Row],[Kész2020_2]])</f>
        <v>1</v>
      </c>
    </row>
    <row r="1479" spans="1:14" hidden="1" x14ac:dyDescent="0.25">
      <c r="A1479" s="17" t="s">
        <v>7299</v>
      </c>
      <c r="B1479" s="17" t="s">
        <v>673</v>
      </c>
      <c r="C1479" s="17" t="s">
        <v>1742</v>
      </c>
      <c r="D1479" s="17" t="s">
        <v>2447</v>
      </c>
      <c r="E1479" s="17" t="s">
        <v>3669</v>
      </c>
      <c r="F1479" s="17" t="s">
        <v>3598</v>
      </c>
      <c r="G1479" s="17" t="s">
        <v>5629</v>
      </c>
      <c r="H1479" t="s">
        <v>7476</v>
      </c>
      <c r="I1479" s="1">
        <v>2</v>
      </c>
      <c r="J1479" s="1">
        <v>2</v>
      </c>
      <c r="K1479" t="s">
        <v>8101</v>
      </c>
      <c r="L1479" s="5">
        <f>VLOOKUP(D:D,[1]Munka2!$A:$B,2,FALSE)</f>
        <v>1</v>
      </c>
      <c r="M1479" s="5">
        <f>_xlfn.IFNA(Táblázat1[[#This Row],[Kész2020]],0)</f>
        <v>1</v>
      </c>
      <c r="N1479" s="5">
        <f>IF(Táblázat1[[#This Row],[Karb./akt.év]]-Táblázat1[[#This Row],[Kész2020_2]]&lt;0,0,Táblázat1[[#This Row],[Karb./akt.év]]-Táblázat1[[#This Row],[Kész2020_2]])</f>
        <v>1</v>
      </c>
    </row>
    <row r="1480" spans="1:14" x14ac:dyDescent="0.25">
      <c r="A1480" s="17" t="s">
        <v>7299</v>
      </c>
      <c r="B1480" s="17" t="s">
        <v>1202</v>
      </c>
      <c r="C1480" s="17" t="s">
        <v>1760</v>
      </c>
      <c r="D1480" s="17" t="s">
        <v>3008</v>
      </c>
      <c r="E1480" s="17" t="s">
        <v>4173</v>
      </c>
      <c r="F1480" s="17" t="s">
        <v>4174</v>
      </c>
      <c r="G1480" s="17" t="s">
        <v>6131</v>
      </c>
      <c r="H1480" t="s">
        <v>7476</v>
      </c>
      <c r="I1480" s="1">
        <v>2</v>
      </c>
      <c r="J1480" s="1">
        <v>2</v>
      </c>
      <c r="K1480" t="s">
        <v>6643</v>
      </c>
      <c r="L1480" s="5" t="e">
        <f>VLOOKUP(D:D,[1]Munka2!$A:$B,2,FALSE)</f>
        <v>#N/A</v>
      </c>
      <c r="M1480" s="5">
        <f>_xlfn.IFNA(Táblázat1[[#This Row],[Kész2020]],0)</f>
        <v>0</v>
      </c>
      <c r="N1480" s="5">
        <f>IF(Táblázat1[[#This Row],[Karb./akt.év]]-Táblázat1[[#This Row],[Kész2020_2]]&lt;0,0,Táblázat1[[#This Row],[Karb./akt.év]]-Táblázat1[[#This Row],[Kész2020_2]])</f>
        <v>2</v>
      </c>
    </row>
    <row r="1481" spans="1:14" x14ac:dyDescent="0.25">
      <c r="A1481" s="17" t="s">
        <v>7299</v>
      </c>
      <c r="B1481" s="17" t="s">
        <v>251</v>
      </c>
      <c r="C1481" s="17" t="s">
        <v>1760</v>
      </c>
      <c r="D1481" s="17" t="s">
        <v>1996</v>
      </c>
      <c r="E1481" s="17" t="s">
        <v>3869</v>
      </c>
      <c r="F1481" s="17" t="s">
        <v>3870</v>
      </c>
      <c r="G1481" s="17" t="s">
        <v>5218</v>
      </c>
      <c r="H1481" t="s">
        <v>7476</v>
      </c>
      <c r="I1481" s="1">
        <v>2</v>
      </c>
      <c r="J1481" s="1">
        <v>2</v>
      </c>
      <c r="K1481" t="s">
        <v>6643</v>
      </c>
      <c r="L1481" s="5" t="e">
        <f>VLOOKUP(D:D,[1]Munka2!$A:$B,2,FALSE)</f>
        <v>#N/A</v>
      </c>
      <c r="M1481" s="5">
        <f>_xlfn.IFNA(Táblázat1[[#This Row],[Kész2020]],0)</f>
        <v>0</v>
      </c>
      <c r="N1481" s="5">
        <f>IF(Táblázat1[[#This Row],[Karb./akt.év]]-Táblázat1[[#This Row],[Kész2020_2]]&lt;0,0,Táblázat1[[#This Row],[Karb./akt.év]]-Táblázat1[[#This Row],[Kész2020_2]])</f>
        <v>2</v>
      </c>
    </row>
    <row r="1482" spans="1:14" x14ac:dyDescent="0.25">
      <c r="A1482" s="17" t="s">
        <v>7299</v>
      </c>
      <c r="B1482" s="17" t="s">
        <v>1027</v>
      </c>
      <c r="C1482" s="17" t="s">
        <v>1746</v>
      </c>
      <c r="D1482" s="17" t="s">
        <v>2816</v>
      </c>
      <c r="E1482" s="17" t="s">
        <v>4582</v>
      </c>
      <c r="F1482" s="17" t="s">
        <v>4583</v>
      </c>
      <c r="G1482" s="17" t="s">
        <v>5955</v>
      </c>
      <c r="H1482" t="s">
        <v>7476</v>
      </c>
      <c r="I1482" s="1">
        <v>2</v>
      </c>
      <c r="J1482" s="1">
        <v>2</v>
      </c>
      <c r="K1482" t="s">
        <v>6643</v>
      </c>
      <c r="L1482" s="5" t="e">
        <f>VLOOKUP(D:D,[1]Munka2!$A:$B,2,FALSE)</f>
        <v>#N/A</v>
      </c>
      <c r="M1482" s="5">
        <f>_xlfn.IFNA(Táblázat1[[#This Row],[Kész2020]],0)</f>
        <v>0</v>
      </c>
      <c r="N1482" s="5">
        <f>IF(Táblázat1[[#This Row],[Karb./akt.év]]-Táblázat1[[#This Row],[Kész2020_2]]&lt;0,0,Táblázat1[[#This Row],[Karb./akt.év]]-Táblázat1[[#This Row],[Kész2020_2]])</f>
        <v>2</v>
      </c>
    </row>
    <row r="1483" spans="1:14" hidden="1" x14ac:dyDescent="0.25">
      <c r="A1483" s="17" t="s">
        <v>7299</v>
      </c>
      <c r="B1483" s="17" t="s">
        <v>1501</v>
      </c>
      <c r="C1483" s="17" t="s">
        <v>1760</v>
      </c>
      <c r="D1483" s="17" t="s">
        <v>3340</v>
      </c>
      <c r="E1483" s="17" t="s">
        <v>4908</v>
      </c>
      <c r="F1483" s="17" t="s">
        <v>4909</v>
      </c>
      <c r="G1483" s="17" t="s">
        <v>6409</v>
      </c>
      <c r="H1483" t="s">
        <v>7476</v>
      </c>
      <c r="I1483" s="1">
        <v>2</v>
      </c>
      <c r="J1483" s="1">
        <v>2</v>
      </c>
      <c r="K1483" t="s">
        <v>6643</v>
      </c>
      <c r="L1483" s="5">
        <f>VLOOKUP(D:D,[1]Munka2!$A:$B,2,FALSE)</f>
        <v>1</v>
      </c>
      <c r="M1483" s="5">
        <f>_xlfn.IFNA(Táblázat1[[#This Row],[Kész2020]],0)</f>
        <v>1</v>
      </c>
      <c r="N1483" s="5">
        <f>IF(Táblázat1[[#This Row],[Karb./akt.év]]-Táblázat1[[#This Row],[Kész2020_2]]&lt;0,0,Táblázat1[[#This Row],[Karb./akt.év]]-Táblázat1[[#This Row],[Kész2020_2]])</f>
        <v>1</v>
      </c>
    </row>
    <row r="1484" spans="1:14" hidden="1" x14ac:dyDescent="0.25">
      <c r="A1484" s="17" t="s">
        <v>7299</v>
      </c>
      <c r="B1484" s="17" t="s">
        <v>755</v>
      </c>
      <c r="C1484" s="17" t="s">
        <v>1753</v>
      </c>
      <c r="D1484" s="17" t="s">
        <v>2530</v>
      </c>
      <c r="E1484" s="17" t="s">
        <v>4331</v>
      </c>
      <c r="F1484" s="17" t="s">
        <v>3598</v>
      </c>
      <c r="G1484" s="17" t="s">
        <v>5701</v>
      </c>
      <c r="H1484" t="s">
        <v>7476</v>
      </c>
      <c r="I1484" s="1">
        <v>2</v>
      </c>
      <c r="J1484" s="1">
        <v>2</v>
      </c>
      <c r="K1484" t="s">
        <v>7014</v>
      </c>
      <c r="L1484" s="5">
        <f>VLOOKUP(D:D,[1]Munka2!$A:$B,2,FALSE)</f>
        <v>1</v>
      </c>
      <c r="M1484" s="5">
        <f>_xlfn.IFNA(Táblázat1[[#This Row],[Kész2020]],0)</f>
        <v>1</v>
      </c>
      <c r="N1484" s="5">
        <f>IF(Táblázat1[[#This Row],[Karb./akt.év]]-Táblázat1[[#This Row],[Kész2020_2]]&lt;0,0,Táblázat1[[#This Row],[Karb./akt.év]]-Táblázat1[[#This Row],[Kész2020_2]])</f>
        <v>1</v>
      </c>
    </row>
    <row r="1485" spans="1:14" hidden="1" x14ac:dyDescent="0.25">
      <c r="A1485" s="17" t="s">
        <v>7299</v>
      </c>
      <c r="B1485" s="17" t="s">
        <v>71</v>
      </c>
      <c r="C1485" s="17" t="s">
        <v>1753</v>
      </c>
      <c r="D1485" s="17" t="s">
        <v>1809</v>
      </c>
      <c r="E1485" s="17" t="s">
        <v>3655</v>
      </c>
      <c r="F1485" s="17" t="s">
        <v>3656</v>
      </c>
      <c r="G1485" s="17" t="s">
        <v>5045</v>
      </c>
      <c r="H1485" t="s">
        <v>7476</v>
      </c>
      <c r="I1485" s="1">
        <v>2</v>
      </c>
      <c r="J1485" s="1">
        <v>2</v>
      </c>
      <c r="K1485" t="s">
        <v>6643</v>
      </c>
      <c r="L1485" s="5">
        <f>VLOOKUP(D:D,[1]Munka2!$A:$B,2,FALSE)</f>
        <v>1</v>
      </c>
      <c r="M1485" s="5">
        <f>_xlfn.IFNA(Táblázat1[[#This Row],[Kész2020]],0)</f>
        <v>1</v>
      </c>
      <c r="N1485" s="5">
        <f>IF(Táblázat1[[#This Row],[Karb./akt.év]]-Táblázat1[[#This Row],[Kész2020_2]]&lt;0,0,Táblázat1[[#This Row],[Karb./akt.év]]-Táblázat1[[#This Row],[Kész2020_2]])</f>
        <v>1</v>
      </c>
    </row>
    <row r="1486" spans="1:14" hidden="1" x14ac:dyDescent="0.25">
      <c r="A1486" s="17" t="s">
        <v>7299</v>
      </c>
      <c r="B1486" s="17" t="s">
        <v>1301</v>
      </c>
      <c r="C1486" s="17" t="s">
        <v>1746</v>
      </c>
      <c r="D1486" s="17" t="s">
        <v>3115</v>
      </c>
      <c r="E1486" s="17" t="s">
        <v>4799</v>
      </c>
      <c r="F1486" s="17" t="s">
        <v>4800</v>
      </c>
      <c r="G1486" s="17" t="s">
        <v>6220</v>
      </c>
      <c r="H1486" t="s">
        <v>7476</v>
      </c>
      <c r="I1486" s="1">
        <v>2</v>
      </c>
      <c r="J1486" s="1">
        <v>2</v>
      </c>
      <c r="K1486" t="s">
        <v>6643</v>
      </c>
      <c r="L1486" s="5">
        <f>VLOOKUP(D:D,[1]Munka2!$A:$B,2,FALSE)</f>
        <v>1</v>
      </c>
      <c r="M1486" s="5">
        <f>_xlfn.IFNA(Táblázat1[[#This Row],[Kész2020]],0)</f>
        <v>1</v>
      </c>
      <c r="N1486" s="5">
        <f>IF(Táblázat1[[#This Row],[Karb./akt.év]]-Táblázat1[[#This Row],[Kész2020_2]]&lt;0,0,Táblázat1[[#This Row],[Karb./akt.év]]-Táblázat1[[#This Row],[Kész2020_2]])</f>
        <v>1</v>
      </c>
    </row>
    <row r="1487" spans="1:14" hidden="1" x14ac:dyDescent="0.25">
      <c r="A1487" s="17" t="s">
        <v>7299</v>
      </c>
      <c r="B1487" s="17" t="s">
        <v>729</v>
      </c>
      <c r="C1487" s="17" t="s">
        <v>1746</v>
      </c>
      <c r="D1487" s="17" t="s">
        <v>2506</v>
      </c>
      <c r="E1487" s="17" t="s">
        <v>4319</v>
      </c>
      <c r="F1487" s="17" t="s">
        <v>4320</v>
      </c>
      <c r="G1487" s="17" t="s">
        <v>5679</v>
      </c>
      <c r="H1487" t="s">
        <v>7476</v>
      </c>
      <c r="I1487" s="1">
        <v>2</v>
      </c>
      <c r="J1487" s="1">
        <v>2</v>
      </c>
      <c r="K1487" t="s">
        <v>6643</v>
      </c>
      <c r="L1487" s="5">
        <f>VLOOKUP(D:D,[1]Munka2!$A:$B,2,FALSE)</f>
        <v>1</v>
      </c>
      <c r="M1487" s="5">
        <f>_xlfn.IFNA(Táblázat1[[#This Row],[Kész2020]],0)</f>
        <v>1</v>
      </c>
      <c r="N1487" s="5">
        <f>IF(Táblázat1[[#This Row],[Karb./akt.év]]-Táblázat1[[#This Row],[Kész2020_2]]&lt;0,0,Táblázat1[[#This Row],[Karb./akt.év]]-Táblázat1[[#This Row],[Kész2020_2]])</f>
        <v>1</v>
      </c>
    </row>
    <row r="1488" spans="1:14" hidden="1" x14ac:dyDescent="0.25">
      <c r="A1488" s="17" t="s">
        <v>7299</v>
      </c>
      <c r="B1488" s="17" t="s">
        <v>1282</v>
      </c>
      <c r="C1488" s="17" t="s">
        <v>1753</v>
      </c>
      <c r="D1488" s="17" t="s">
        <v>3095</v>
      </c>
      <c r="E1488" s="17" t="s">
        <v>4773</v>
      </c>
      <c r="F1488" s="17" t="s">
        <v>4774</v>
      </c>
      <c r="G1488" s="17" t="s">
        <v>6204</v>
      </c>
      <c r="H1488" t="s">
        <v>7476</v>
      </c>
      <c r="I1488" s="1">
        <v>2</v>
      </c>
      <c r="J1488" s="1">
        <v>2</v>
      </c>
      <c r="K1488" t="s">
        <v>6643</v>
      </c>
      <c r="L1488" s="5">
        <f>VLOOKUP(D:D,[1]Munka2!$A:$B,2,FALSE)</f>
        <v>1</v>
      </c>
      <c r="M1488" s="5">
        <f>_xlfn.IFNA(Táblázat1[[#This Row],[Kész2020]],0)</f>
        <v>1</v>
      </c>
      <c r="N1488" s="5">
        <f>IF(Táblázat1[[#This Row],[Karb./akt.év]]-Táblázat1[[#This Row],[Kész2020_2]]&lt;0,0,Táblázat1[[#This Row],[Karb./akt.év]]-Táblázat1[[#This Row],[Kész2020_2]])</f>
        <v>1</v>
      </c>
    </row>
    <row r="1489" spans="1:14" x14ac:dyDescent="0.25">
      <c r="A1489" s="17" t="s">
        <v>7299</v>
      </c>
      <c r="B1489" s="17" t="s">
        <v>574</v>
      </c>
      <c r="C1489" s="17" t="s">
        <v>1748</v>
      </c>
      <c r="D1489" s="17" t="s">
        <v>2347</v>
      </c>
      <c r="E1489" s="17" t="s">
        <v>4201</v>
      </c>
      <c r="F1489" s="17" t="s">
        <v>4202</v>
      </c>
      <c r="G1489" s="17" t="s">
        <v>5539</v>
      </c>
      <c r="H1489" t="s">
        <v>7476</v>
      </c>
      <c r="I1489" s="1">
        <v>2</v>
      </c>
      <c r="J1489" s="1">
        <v>2</v>
      </c>
      <c r="K1489" t="s">
        <v>6635</v>
      </c>
      <c r="L1489" s="5" t="e">
        <f>VLOOKUP(D:D,[1]Munka2!$A:$B,2,FALSE)</f>
        <v>#N/A</v>
      </c>
      <c r="M1489" s="5">
        <f>_xlfn.IFNA(Táblázat1[[#This Row],[Kész2020]],0)</f>
        <v>0</v>
      </c>
      <c r="N1489" s="5">
        <f>IF(Táblázat1[[#This Row],[Karb./akt.év]]-Táblázat1[[#This Row],[Kész2020_2]]&lt;0,0,Táblázat1[[#This Row],[Karb./akt.év]]-Táblázat1[[#This Row],[Kész2020_2]])</f>
        <v>2</v>
      </c>
    </row>
    <row r="1490" spans="1:14" x14ac:dyDescent="0.25">
      <c r="A1490" s="17" t="s">
        <v>7299</v>
      </c>
      <c r="B1490" s="17" t="s">
        <v>428</v>
      </c>
      <c r="C1490" s="17" t="s">
        <v>1748</v>
      </c>
      <c r="D1490" s="17" t="s">
        <v>2185</v>
      </c>
      <c r="E1490" s="17" t="s">
        <v>4046</v>
      </c>
      <c r="F1490" s="17" t="s">
        <v>4047</v>
      </c>
      <c r="G1490" s="17" t="s">
        <v>5394</v>
      </c>
      <c r="H1490" t="s">
        <v>7476</v>
      </c>
      <c r="I1490" s="1">
        <v>2</v>
      </c>
      <c r="J1490" s="1">
        <v>2</v>
      </c>
      <c r="K1490" t="s">
        <v>6635</v>
      </c>
      <c r="L1490" s="5" t="e">
        <f>VLOOKUP(D:D,[1]Munka2!$A:$B,2,FALSE)</f>
        <v>#N/A</v>
      </c>
      <c r="M1490" s="5">
        <f>_xlfn.IFNA(Táblázat1[[#This Row],[Kész2020]],0)</f>
        <v>0</v>
      </c>
      <c r="N1490" s="5">
        <f>IF(Táblázat1[[#This Row],[Karb./akt.év]]-Táblázat1[[#This Row],[Kész2020_2]]&lt;0,0,Táblázat1[[#This Row],[Karb./akt.év]]-Táblázat1[[#This Row],[Kész2020_2]])</f>
        <v>2</v>
      </c>
    </row>
    <row r="1491" spans="1:14" x14ac:dyDescent="0.25">
      <c r="A1491" s="17" t="s">
        <v>7299</v>
      </c>
      <c r="B1491" s="17" t="s">
        <v>1051</v>
      </c>
      <c r="C1491" s="17" t="s">
        <v>1735</v>
      </c>
      <c r="D1491" s="17" t="s">
        <v>2838</v>
      </c>
      <c r="E1491" s="17" t="s">
        <v>4599</v>
      </c>
      <c r="F1491" s="17" t="s">
        <v>4600</v>
      </c>
      <c r="G1491" s="17" t="s">
        <v>5980</v>
      </c>
      <c r="H1491" t="s">
        <v>7476</v>
      </c>
      <c r="I1491" s="1">
        <v>2</v>
      </c>
      <c r="J1491" s="1">
        <v>2</v>
      </c>
      <c r="K1491" t="s">
        <v>6635</v>
      </c>
      <c r="L1491" s="5" t="e">
        <f>VLOOKUP(D:D,[1]Munka2!$A:$B,2,FALSE)</f>
        <v>#N/A</v>
      </c>
      <c r="M1491" s="5">
        <f>_xlfn.IFNA(Táblázat1[[#This Row],[Kész2020]],0)</f>
        <v>0</v>
      </c>
      <c r="N1491" s="5">
        <f>IF(Táblázat1[[#This Row],[Karb./akt.év]]-Táblázat1[[#This Row],[Kész2020_2]]&lt;0,0,Táblázat1[[#This Row],[Karb./akt.év]]-Táblázat1[[#This Row],[Kész2020_2]])</f>
        <v>2</v>
      </c>
    </row>
    <row r="1492" spans="1:14" hidden="1" x14ac:dyDescent="0.25">
      <c r="A1492" s="17" t="s">
        <v>7299</v>
      </c>
      <c r="B1492" s="17" t="s">
        <v>1476</v>
      </c>
      <c r="C1492" s="17" t="s">
        <v>1735</v>
      </c>
      <c r="D1492" s="17" t="s">
        <v>3311</v>
      </c>
      <c r="E1492" s="17" t="s">
        <v>4900</v>
      </c>
      <c r="F1492" s="17" t="s">
        <v>4901</v>
      </c>
      <c r="G1492" s="17" t="s">
        <v>6385</v>
      </c>
      <c r="H1492" t="s">
        <v>7476</v>
      </c>
      <c r="I1492" s="1">
        <v>2</v>
      </c>
      <c r="J1492" s="1">
        <v>2</v>
      </c>
      <c r="K1492" t="s">
        <v>6635</v>
      </c>
      <c r="L1492" s="5">
        <f>VLOOKUP(D:D,[1]Munka2!$A:$B,2,FALSE)</f>
        <v>1</v>
      </c>
      <c r="M1492" s="5">
        <f>_xlfn.IFNA(Táblázat1[[#This Row],[Kész2020]],0)</f>
        <v>1</v>
      </c>
      <c r="N1492" s="5">
        <f>IF(Táblázat1[[#This Row],[Karb./akt.év]]-Táblázat1[[#This Row],[Kész2020_2]]&lt;0,0,Táblázat1[[#This Row],[Karb./akt.év]]-Táblázat1[[#This Row],[Kész2020_2]])</f>
        <v>1</v>
      </c>
    </row>
    <row r="1493" spans="1:14" hidden="1" x14ac:dyDescent="0.25">
      <c r="A1493" s="17" t="s">
        <v>7299</v>
      </c>
      <c r="B1493" s="17" t="s">
        <v>1543</v>
      </c>
      <c r="C1493" s="17" t="s">
        <v>1735</v>
      </c>
      <c r="D1493" s="17" t="s">
        <v>3387</v>
      </c>
      <c r="E1493" s="17" t="s">
        <v>4936</v>
      </c>
      <c r="F1493" s="17" t="s">
        <v>4937</v>
      </c>
      <c r="G1493" s="17" t="s">
        <v>7532</v>
      </c>
      <c r="H1493" t="s">
        <v>7476</v>
      </c>
      <c r="I1493" s="1">
        <v>2</v>
      </c>
      <c r="J1493" s="1">
        <v>2</v>
      </c>
      <c r="K1493" t="s">
        <v>6635</v>
      </c>
      <c r="L1493" s="5">
        <f>VLOOKUP(D:D,[1]Munka2!$A:$B,2,FALSE)</f>
        <v>1</v>
      </c>
      <c r="M1493" s="5">
        <f>_xlfn.IFNA(Táblázat1[[#This Row],[Kész2020]],0)</f>
        <v>1</v>
      </c>
      <c r="N1493" s="5">
        <f>IF(Táblázat1[[#This Row],[Karb./akt.év]]-Táblázat1[[#This Row],[Kész2020_2]]&lt;0,0,Táblázat1[[#This Row],[Karb./akt.év]]-Táblázat1[[#This Row],[Kész2020_2]])</f>
        <v>1</v>
      </c>
    </row>
    <row r="1494" spans="1:14" hidden="1" x14ac:dyDescent="0.25">
      <c r="A1494" s="17" t="s">
        <v>7299</v>
      </c>
      <c r="B1494" s="17" t="s">
        <v>280</v>
      </c>
      <c r="C1494" s="17" t="s">
        <v>1735</v>
      </c>
      <c r="D1494" s="17" t="s">
        <v>2029</v>
      </c>
      <c r="E1494" s="17" t="s">
        <v>3903</v>
      </c>
      <c r="F1494" s="17" t="s">
        <v>3904</v>
      </c>
      <c r="G1494" s="17" t="s">
        <v>5248</v>
      </c>
      <c r="H1494" t="s">
        <v>7476</v>
      </c>
      <c r="I1494" s="1">
        <v>2</v>
      </c>
      <c r="J1494" s="1">
        <v>2</v>
      </c>
      <c r="K1494" t="s">
        <v>6635</v>
      </c>
      <c r="L1494" s="5">
        <f>VLOOKUP(D:D,[1]Munka2!$A:$B,2,FALSE)</f>
        <v>1</v>
      </c>
      <c r="M1494" s="5">
        <f>_xlfn.IFNA(Táblázat1[[#This Row],[Kész2020]],0)</f>
        <v>1</v>
      </c>
      <c r="N1494" s="5">
        <f>IF(Táblázat1[[#This Row],[Karb./akt.év]]-Táblázat1[[#This Row],[Kész2020_2]]&lt;0,0,Táblázat1[[#This Row],[Karb./akt.év]]-Táblázat1[[#This Row],[Kész2020_2]])</f>
        <v>1</v>
      </c>
    </row>
    <row r="1495" spans="1:14" x14ac:dyDescent="0.25">
      <c r="A1495" s="17" t="s">
        <v>7299</v>
      </c>
      <c r="B1495" s="17" t="s">
        <v>1535</v>
      </c>
      <c r="C1495" s="17" t="s">
        <v>1746</v>
      </c>
      <c r="D1495" s="17" t="s">
        <v>3379</v>
      </c>
      <c r="E1495" s="17" t="s">
        <v>4932</v>
      </c>
      <c r="F1495" s="17" t="s">
        <v>4933</v>
      </c>
      <c r="G1495" s="17" t="s">
        <v>6442</v>
      </c>
      <c r="H1495" t="s">
        <v>7476</v>
      </c>
      <c r="I1495" s="1">
        <v>2</v>
      </c>
      <c r="J1495" s="1">
        <v>2</v>
      </c>
      <c r="K1495" t="s">
        <v>6643</v>
      </c>
      <c r="L1495" s="5" t="e">
        <f>VLOOKUP(D:D,[1]Munka2!$A:$B,2,FALSE)</f>
        <v>#N/A</v>
      </c>
      <c r="M1495" s="5">
        <f>_xlfn.IFNA(Táblázat1[[#This Row],[Kész2020]],0)</f>
        <v>0</v>
      </c>
      <c r="N1495" s="5">
        <f>IF(Táblázat1[[#This Row],[Karb./akt.év]]-Táblázat1[[#This Row],[Kész2020_2]]&lt;0,0,Táblázat1[[#This Row],[Karb./akt.év]]-Táblázat1[[#This Row],[Kész2020_2]])</f>
        <v>2</v>
      </c>
    </row>
    <row r="1496" spans="1:14" hidden="1" x14ac:dyDescent="0.25">
      <c r="A1496" s="17" t="s">
        <v>7299</v>
      </c>
      <c r="B1496" s="17" t="s">
        <v>628</v>
      </c>
      <c r="C1496" s="17" t="s">
        <v>1746</v>
      </c>
      <c r="D1496" s="17" t="s">
        <v>2403</v>
      </c>
      <c r="E1496" s="17" t="s">
        <v>4011</v>
      </c>
      <c r="F1496" s="17" t="s">
        <v>3679</v>
      </c>
      <c r="G1496" s="17" t="s">
        <v>5588</v>
      </c>
      <c r="H1496" t="s">
        <v>7476</v>
      </c>
      <c r="I1496" s="1">
        <v>2</v>
      </c>
      <c r="J1496" s="1">
        <v>2</v>
      </c>
      <c r="K1496" t="s">
        <v>6643</v>
      </c>
      <c r="L1496" s="5">
        <f>VLOOKUP(D:D,[1]Munka2!$A:$B,2,FALSE)</f>
        <v>1</v>
      </c>
      <c r="M1496" s="5">
        <f>_xlfn.IFNA(Táblázat1[[#This Row],[Kész2020]],0)</f>
        <v>1</v>
      </c>
      <c r="N1496" s="5">
        <f>IF(Táblázat1[[#This Row],[Karb./akt.év]]-Táblázat1[[#This Row],[Kész2020_2]]&lt;0,0,Táblázat1[[#This Row],[Karb./akt.év]]-Táblázat1[[#This Row],[Kész2020_2]])</f>
        <v>1</v>
      </c>
    </row>
    <row r="1497" spans="1:14" hidden="1" x14ac:dyDescent="0.25">
      <c r="A1497" s="17" t="s">
        <v>7299</v>
      </c>
      <c r="B1497" s="17" t="s">
        <v>1131</v>
      </c>
      <c r="C1497" s="17" t="s">
        <v>1746</v>
      </c>
      <c r="D1497" s="17" t="s">
        <v>2928</v>
      </c>
      <c r="E1497" s="17" t="s">
        <v>4639</v>
      </c>
      <c r="F1497" s="17" t="s">
        <v>4640</v>
      </c>
      <c r="G1497" s="17" t="s">
        <v>6061</v>
      </c>
      <c r="H1497" t="s">
        <v>7476</v>
      </c>
      <c r="I1497" s="1">
        <v>2</v>
      </c>
      <c r="J1497" s="1">
        <v>2</v>
      </c>
      <c r="K1497" t="s">
        <v>6643</v>
      </c>
      <c r="L1497" s="5">
        <f>VLOOKUP(D:D,[1]Munka2!$A:$B,2,FALSE)</f>
        <v>1</v>
      </c>
      <c r="M1497" s="5">
        <f>_xlfn.IFNA(Táblázat1[[#This Row],[Kész2020]],0)</f>
        <v>1</v>
      </c>
      <c r="N1497" s="5">
        <f>IF(Táblázat1[[#This Row],[Karb./akt.év]]-Táblázat1[[#This Row],[Kész2020_2]]&lt;0,0,Táblázat1[[#This Row],[Karb./akt.év]]-Táblázat1[[#This Row],[Kész2020_2]])</f>
        <v>1</v>
      </c>
    </row>
    <row r="1498" spans="1:14" x14ac:dyDescent="0.25">
      <c r="A1498" s="17" t="s">
        <v>7299</v>
      </c>
      <c r="B1498" s="17" t="s">
        <v>1325</v>
      </c>
      <c r="C1498" s="17" t="s">
        <v>1746</v>
      </c>
      <c r="D1498" s="17" t="s">
        <v>3141</v>
      </c>
      <c r="E1498" s="17" t="s">
        <v>4816</v>
      </c>
      <c r="F1498" s="17" t="s">
        <v>4817</v>
      </c>
      <c r="G1498" s="17" t="s">
        <v>6245</v>
      </c>
      <c r="H1498" t="s">
        <v>7476</v>
      </c>
      <c r="I1498" s="1">
        <v>2</v>
      </c>
      <c r="J1498" s="1">
        <v>2</v>
      </c>
      <c r="K1498" t="s">
        <v>6643</v>
      </c>
      <c r="L1498" s="5" t="e">
        <f>VLOOKUP(D:D,[1]Munka2!$A:$B,2,FALSE)</f>
        <v>#N/A</v>
      </c>
      <c r="M1498" s="5">
        <f>_xlfn.IFNA(Táblázat1[[#This Row],[Kész2020]],0)</f>
        <v>0</v>
      </c>
      <c r="N1498" s="5">
        <f>IF(Táblázat1[[#This Row],[Karb./akt.év]]-Táblázat1[[#This Row],[Kész2020_2]]&lt;0,0,Táblázat1[[#This Row],[Karb./akt.év]]-Táblázat1[[#This Row],[Kész2020_2]])</f>
        <v>2</v>
      </c>
    </row>
    <row r="1499" spans="1:14" x14ac:dyDescent="0.25">
      <c r="A1499" s="17" t="s">
        <v>7299</v>
      </c>
      <c r="B1499" s="17" t="s">
        <v>1689</v>
      </c>
      <c r="C1499" s="17" t="s">
        <v>1754</v>
      </c>
      <c r="D1499" s="17" t="s">
        <v>3544</v>
      </c>
      <c r="E1499" s="17" t="s">
        <v>3802</v>
      </c>
      <c r="F1499" s="17" t="s">
        <v>3803</v>
      </c>
      <c r="G1499" s="17" t="s">
        <v>6586</v>
      </c>
      <c r="H1499" t="s">
        <v>7476</v>
      </c>
      <c r="I1499" s="1">
        <v>2</v>
      </c>
      <c r="J1499" s="1">
        <v>2</v>
      </c>
      <c r="K1499" t="s">
        <v>6635</v>
      </c>
      <c r="L1499" s="5" t="e">
        <f>VLOOKUP(D:D,[1]Munka2!$A:$B,2,FALSE)</f>
        <v>#N/A</v>
      </c>
      <c r="M1499" s="5">
        <f>_xlfn.IFNA(Táblázat1[[#This Row],[Kész2020]],0)</f>
        <v>0</v>
      </c>
      <c r="N1499" s="5">
        <f>IF(Táblázat1[[#This Row],[Karb./akt.év]]-Táblázat1[[#This Row],[Kész2020_2]]&lt;0,0,Táblázat1[[#This Row],[Karb./akt.év]]-Táblázat1[[#This Row],[Kész2020_2]])</f>
        <v>2</v>
      </c>
    </row>
    <row r="1500" spans="1:14" hidden="1" x14ac:dyDescent="0.25">
      <c r="A1500" s="17" t="s">
        <v>7299</v>
      </c>
      <c r="B1500" s="17" t="s">
        <v>64</v>
      </c>
      <c r="C1500" s="17" t="s">
        <v>1735</v>
      </c>
      <c r="D1500" s="17" t="s">
        <v>1803</v>
      </c>
      <c r="E1500" s="17" t="s">
        <v>3652</v>
      </c>
      <c r="F1500" s="17" t="s">
        <v>3653</v>
      </c>
      <c r="G1500" s="17" t="s">
        <v>5039</v>
      </c>
      <c r="H1500" t="s">
        <v>7476</v>
      </c>
      <c r="I1500" s="1">
        <v>2</v>
      </c>
      <c r="J1500" s="1">
        <v>2</v>
      </c>
      <c r="K1500" t="s">
        <v>6635</v>
      </c>
      <c r="L1500" s="5">
        <f>VLOOKUP(D:D,[1]Munka2!$A:$B,2,FALSE)</f>
        <v>1</v>
      </c>
      <c r="M1500" s="5">
        <f>_xlfn.IFNA(Táblázat1[[#This Row],[Kész2020]],0)</f>
        <v>1</v>
      </c>
      <c r="N1500" s="5">
        <f>IF(Táblázat1[[#This Row],[Karb./akt.év]]-Táblázat1[[#This Row],[Kész2020_2]]&lt;0,0,Táblázat1[[#This Row],[Karb./akt.év]]-Táblázat1[[#This Row],[Kész2020_2]])</f>
        <v>1</v>
      </c>
    </row>
    <row r="1501" spans="1:14" hidden="1" x14ac:dyDescent="0.25">
      <c r="A1501" s="17" t="s">
        <v>7299</v>
      </c>
      <c r="B1501" s="17" t="s">
        <v>1261</v>
      </c>
      <c r="C1501" s="17" t="s">
        <v>1735</v>
      </c>
      <c r="D1501" s="17" t="s">
        <v>3073</v>
      </c>
      <c r="E1501" s="17" t="s">
        <v>4543</v>
      </c>
      <c r="F1501" s="17" t="s">
        <v>4544</v>
      </c>
      <c r="G1501" s="17" t="s">
        <v>6187</v>
      </c>
      <c r="H1501" t="s">
        <v>7476</v>
      </c>
      <c r="I1501" s="1">
        <v>2</v>
      </c>
      <c r="J1501" s="1">
        <v>2</v>
      </c>
      <c r="K1501" t="s">
        <v>6635</v>
      </c>
      <c r="L1501" s="5">
        <f>VLOOKUP(D:D,[1]Munka2!$A:$B,2,FALSE)</f>
        <v>1</v>
      </c>
      <c r="M1501" s="5">
        <f>_xlfn.IFNA(Táblázat1[[#This Row],[Kész2020]],0)</f>
        <v>1</v>
      </c>
      <c r="N1501" s="5">
        <f>IF(Táblázat1[[#This Row],[Karb./akt.év]]-Táblázat1[[#This Row],[Kész2020_2]]&lt;0,0,Táblázat1[[#This Row],[Karb./akt.év]]-Táblázat1[[#This Row],[Kész2020_2]])</f>
        <v>1</v>
      </c>
    </row>
    <row r="1502" spans="1:14" hidden="1" x14ac:dyDescent="0.25">
      <c r="A1502" s="17" t="s">
        <v>7299</v>
      </c>
      <c r="B1502" s="17" t="s">
        <v>1527</v>
      </c>
      <c r="C1502" s="17" t="s">
        <v>1735</v>
      </c>
      <c r="D1502" s="17" t="s">
        <v>3369</v>
      </c>
      <c r="E1502" s="17" t="s">
        <v>3802</v>
      </c>
      <c r="F1502" s="17" t="s">
        <v>3803</v>
      </c>
      <c r="G1502" s="17" t="s">
        <v>6434</v>
      </c>
      <c r="H1502" t="s">
        <v>7476</v>
      </c>
      <c r="I1502" s="1">
        <v>2</v>
      </c>
      <c r="J1502" s="1">
        <v>2</v>
      </c>
      <c r="K1502" t="s">
        <v>6635</v>
      </c>
      <c r="L1502" s="5">
        <f>VLOOKUP(D:D,[1]Munka2!$A:$B,2,FALSE)</f>
        <v>1</v>
      </c>
      <c r="M1502" s="5">
        <f>_xlfn.IFNA(Táblázat1[[#This Row],[Kész2020]],0)</f>
        <v>1</v>
      </c>
      <c r="N1502" s="5">
        <f>IF(Táblázat1[[#This Row],[Karb./akt.év]]-Táblázat1[[#This Row],[Kész2020_2]]&lt;0,0,Táblázat1[[#This Row],[Karb./akt.év]]-Táblázat1[[#This Row],[Kész2020_2]])</f>
        <v>1</v>
      </c>
    </row>
    <row r="1503" spans="1:14" hidden="1" x14ac:dyDescent="0.25">
      <c r="A1503" s="17" t="s">
        <v>7299</v>
      </c>
      <c r="B1503" s="17" t="s">
        <v>7755</v>
      </c>
      <c r="C1503" s="17" t="s">
        <v>1735</v>
      </c>
      <c r="D1503" s="17" t="s">
        <v>7858</v>
      </c>
      <c r="E1503" s="17" t="s">
        <v>7979</v>
      </c>
      <c r="F1503" s="17" t="s">
        <v>7980</v>
      </c>
      <c r="G1503" s="17" t="s">
        <v>8075</v>
      </c>
      <c r="H1503" t="s">
        <v>7476</v>
      </c>
      <c r="I1503" s="1">
        <v>2</v>
      </c>
      <c r="J1503" s="1">
        <v>0</v>
      </c>
      <c r="K1503" t="s">
        <v>7014</v>
      </c>
      <c r="L1503" s="5" t="e">
        <f>VLOOKUP(D:D,[1]Munka2!$A:$B,2,FALSE)</f>
        <v>#N/A</v>
      </c>
      <c r="M1503" s="5">
        <f>_xlfn.IFNA(Táblázat1[[#This Row],[Kész2020]],0)</f>
        <v>0</v>
      </c>
      <c r="N1503" s="5">
        <f>IF(Táblázat1[[#This Row],[Karb./akt.év]]-Táblázat1[[#This Row],[Kész2020_2]]&lt;0,0,Táblázat1[[#This Row],[Karb./akt.év]]-Táblázat1[[#This Row],[Kész2020_2]])</f>
        <v>0</v>
      </c>
    </row>
    <row r="1504" spans="1:14" hidden="1" x14ac:dyDescent="0.25">
      <c r="A1504" s="17" t="s">
        <v>7299</v>
      </c>
      <c r="B1504" s="17" t="s">
        <v>6824</v>
      </c>
      <c r="C1504" s="17" t="s">
        <v>1757</v>
      </c>
      <c r="D1504" s="17" t="s">
        <v>6857</v>
      </c>
      <c r="E1504" s="17" t="s">
        <v>6889</v>
      </c>
      <c r="F1504" s="17" t="s">
        <v>6890</v>
      </c>
      <c r="G1504" s="17" t="s">
        <v>6901</v>
      </c>
      <c r="H1504" t="s">
        <v>7476</v>
      </c>
      <c r="I1504" s="1">
        <v>2</v>
      </c>
      <c r="J1504" s="1">
        <v>2</v>
      </c>
      <c r="K1504" t="s">
        <v>7014</v>
      </c>
      <c r="L1504" s="5">
        <f>VLOOKUP(D:D,[1]Munka2!$A:$B,2,FALSE)</f>
        <v>1</v>
      </c>
      <c r="M1504" s="5">
        <f>_xlfn.IFNA(Táblázat1[[#This Row],[Kész2020]],0)</f>
        <v>1</v>
      </c>
      <c r="N1504" s="5">
        <f>IF(Táblázat1[[#This Row],[Karb./akt.év]]-Táblázat1[[#This Row],[Kész2020_2]]&lt;0,0,Táblázat1[[#This Row],[Karb./akt.év]]-Táblázat1[[#This Row],[Kész2020_2]])</f>
        <v>1</v>
      </c>
    </row>
    <row r="1505" spans="1:14" hidden="1" x14ac:dyDescent="0.25">
      <c r="A1505" s="17" t="s">
        <v>7299</v>
      </c>
      <c r="B1505" s="17" t="s">
        <v>831</v>
      </c>
      <c r="C1505" s="17" t="s">
        <v>1735</v>
      </c>
      <c r="D1505" s="17" t="s">
        <v>2609</v>
      </c>
      <c r="E1505" s="17" t="s">
        <v>4399</v>
      </c>
      <c r="F1505" s="17" t="s">
        <v>4400</v>
      </c>
      <c r="G1505" s="17" t="s">
        <v>5771</v>
      </c>
      <c r="H1505" t="s">
        <v>7476</v>
      </c>
      <c r="I1505" s="1">
        <v>2</v>
      </c>
      <c r="J1505" s="1">
        <v>2</v>
      </c>
      <c r="K1505" t="s">
        <v>7014</v>
      </c>
      <c r="L1505" s="5">
        <f>VLOOKUP(D:D,[1]Munka2!$A:$B,2,FALSE)</f>
        <v>1</v>
      </c>
      <c r="M1505" s="5">
        <f>_xlfn.IFNA(Táblázat1[[#This Row],[Kész2020]],0)</f>
        <v>1</v>
      </c>
      <c r="N1505" s="5">
        <f>IF(Táblázat1[[#This Row],[Karb./akt.év]]-Táblázat1[[#This Row],[Kész2020_2]]&lt;0,0,Táblázat1[[#This Row],[Karb./akt.év]]-Táblázat1[[#This Row],[Kész2020_2]])</f>
        <v>1</v>
      </c>
    </row>
    <row r="1506" spans="1:14" hidden="1" x14ac:dyDescent="0.25">
      <c r="A1506" s="17" t="s">
        <v>7299</v>
      </c>
      <c r="B1506" s="17" t="s">
        <v>1448</v>
      </c>
      <c r="C1506" s="17" t="s">
        <v>1737</v>
      </c>
      <c r="D1506" s="17" t="s">
        <v>3280</v>
      </c>
      <c r="E1506" s="17" t="s">
        <v>4892</v>
      </c>
      <c r="F1506" s="17" t="s">
        <v>4893</v>
      </c>
      <c r="G1506" s="17" t="s">
        <v>6354</v>
      </c>
      <c r="H1506" t="s">
        <v>7476</v>
      </c>
      <c r="I1506" s="1">
        <v>2</v>
      </c>
      <c r="J1506" s="1">
        <v>2</v>
      </c>
      <c r="K1506" t="s">
        <v>6641</v>
      </c>
      <c r="L1506" s="5">
        <f>VLOOKUP(D:D,[1]Munka2!$A:$B,2,FALSE)</f>
        <v>1</v>
      </c>
      <c r="M1506" s="5">
        <f>_xlfn.IFNA(Táblázat1[[#This Row],[Kész2020]],0)</f>
        <v>1</v>
      </c>
      <c r="N1506" s="5">
        <f>IF(Táblázat1[[#This Row],[Karb./akt.év]]-Táblázat1[[#This Row],[Kész2020_2]]&lt;0,0,Táblázat1[[#This Row],[Karb./akt.év]]-Táblázat1[[#This Row],[Kész2020_2]])</f>
        <v>1</v>
      </c>
    </row>
    <row r="1507" spans="1:14" hidden="1" x14ac:dyDescent="0.25">
      <c r="A1507" s="17" t="s">
        <v>7299</v>
      </c>
      <c r="B1507" s="17" t="s">
        <v>1539</v>
      </c>
      <c r="C1507" s="17" t="s">
        <v>1744</v>
      </c>
      <c r="D1507" s="17" t="s">
        <v>3383</v>
      </c>
      <c r="E1507" s="17" t="s">
        <v>4934</v>
      </c>
      <c r="F1507" s="17" t="s">
        <v>4935</v>
      </c>
      <c r="G1507" s="17" t="s">
        <v>6447</v>
      </c>
      <c r="H1507" t="s">
        <v>7476</v>
      </c>
      <c r="I1507" s="1">
        <v>2</v>
      </c>
      <c r="J1507" s="1">
        <v>2</v>
      </c>
      <c r="K1507" t="s">
        <v>6641</v>
      </c>
      <c r="L1507" s="5">
        <f>VLOOKUP(D:D,[1]Munka2!$A:$B,2,FALSE)</f>
        <v>1</v>
      </c>
      <c r="M1507" s="5">
        <f>_xlfn.IFNA(Táblázat1[[#This Row],[Kész2020]],0)</f>
        <v>1</v>
      </c>
      <c r="N1507" s="5">
        <f>IF(Táblázat1[[#This Row],[Karb./akt.év]]-Táblázat1[[#This Row],[Kész2020_2]]&lt;0,0,Táblázat1[[#This Row],[Karb./akt.év]]-Táblázat1[[#This Row],[Kész2020_2]])</f>
        <v>1</v>
      </c>
    </row>
    <row r="1508" spans="1:14" hidden="1" x14ac:dyDescent="0.25">
      <c r="A1508" s="17" t="s">
        <v>7299</v>
      </c>
      <c r="B1508" s="17" t="s">
        <v>113</v>
      </c>
      <c r="C1508" s="17" t="s">
        <v>1744</v>
      </c>
      <c r="D1508" s="17" t="s">
        <v>1853</v>
      </c>
      <c r="E1508" s="17" t="s">
        <v>3705</v>
      </c>
      <c r="F1508" s="17" t="s">
        <v>3706</v>
      </c>
      <c r="G1508" s="17" t="s">
        <v>5085</v>
      </c>
      <c r="H1508" t="s">
        <v>7476</v>
      </c>
      <c r="I1508" s="1">
        <v>2</v>
      </c>
      <c r="J1508" s="1">
        <v>2</v>
      </c>
      <c r="K1508" t="s">
        <v>6641</v>
      </c>
      <c r="L1508" s="5">
        <f>VLOOKUP(D:D,[1]Munka2!$A:$B,2,FALSE)</f>
        <v>1</v>
      </c>
      <c r="M1508" s="5">
        <f>_xlfn.IFNA(Táblázat1[[#This Row],[Kész2020]],0)</f>
        <v>1</v>
      </c>
      <c r="N1508" s="5">
        <f>IF(Táblázat1[[#This Row],[Karb./akt.év]]-Táblázat1[[#This Row],[Kész2020_2]]&lt;0,0,Táblázat1[[#This Row],[Karb./akt.év]]-Táblázat1[[#This Row],[Kész2020_2]])</f>
        <v>1</v>
      </c>
    </row>
    <row r="1509" spans="1:14" hidden="1" x14ac:dyDescent="0.25">
      <c r="A1509" s="17" t="s">
        <v>7299</v>
      </c>
      <c r="B1509" s="17" t="s">
        <v>329</v>
      </c>
      <c r="C1509" s="17" t="s">
        <v>1737</v>
      </c>
      <c r="D1509" s="17" t="s">
        <v>2078</v>
      </c>
      <c r="E1509" s="17" t="s">
        <v>3951</v>
      </c>
      <c r="F1509" s="17" t="s">
        <v>3952</v>
      </c>
      <c r="G1509" s="17" t="s">
        <v>5296</v>
      </c>
      <c r="H1509" t="s">
        <v>7476</v>
      </c>
      <c r="I1509" s="1">
        <v>2</v>
      </c>
      <c r="J1509" s="1">
        <v>2</v>
      </c>
      <c r="K1509" t="s">
        <v>6641</v>
      </c>
      <c r="L1509" s="5">
        <f>VLOOKUP(D:D,[1]Munka2!$A:$B,2,FALSE)</f>
        <v>1</v>
      </c>
      <c r="M1509" s="5">
        <f>_xlfn.IFNA(Táblázat1[[#This Row],[Kész2020]],0)</f>
        <v>1</v>
      </c>
      <c r="N1509" s="5">
        <f>IF(Táblázat1[[#This Row],[Karb./akt.év]]-Táblázat1[[#This Row],[Kész2020_2]]&lt;0,0,Táblázat1[[#This Row],[Karb./akt.év]]-Táblázat1[[#This Row],[Kész2020_2]])</f>
        <v>1</v>
      </c>
    </row>
    <row r="1510" spans="1:14" hidden="1" x14ac:dyDescent="0.25">
      <c r="A1510" s="17" t="s">
        <v>7299</v>
      </c>
      <c r="B1510" s="17" t="s">
        <v>151</v>
      </c>
      <c r="C1510" s="17" t="s">
        <v>1737</v>
      </c>
      <c r="D1510" s="17" t="s">
        <v>1891</v>
      </c>
      <c r="E1510" s="17" t="s">
        <v>3752</v>
      </c>
      <c r="F1510" s="17" t="s">
        <v>3753</v>
      </c>
      <c r="G1510" s="17" t="s">
        <v>5123</v>
      </c>
      <c r="H1510" t="s">
        <v>7476</v>
      </c>
      <c r="I1510" s="1">
        <v>2</v>
      </c>
      <c r="J1510" s="1">
        <v>2</v>
      </c>
      <c r="K1510" t="s">
        <v>6641</v>
      </c>
      <c r="L1510" s="5">
        <f>VLOOKUP(D:D,[1]Munka2!$A:$B,2,FALSE)</f>
        <v>1</v>
      </c>
      <c r="M1510" s="5">
        <f>_xlfn.IFNA(Táblázat1[[#This Row],[Kész2020]],0)</f>
        <v>1</v>
      </c>
      <c r="N1510" s="5">
        <f>IF(Táblázat1[[#This Row],[Karb./akt.év]]-Táblázat1[[#This Row],[Kész2020_2]]&lt;0,0,Táblázat1[[#This Row],[Karb./akt.év]]-Táblázat1[[#This Row],[Kész2020_2]])</f>
        <v>1</v>
      </c>
    </row>
    <row r="1511" spans="1:14" hidden="1" x14ac:dyDescent="0.25">
      <c r="A1511" s="17" t="s">
        <v>7299</v>
      </c>
      <c r="B1511" s="17" t="s">
        <v>1545</v>
      </c>
      <c r="C1511" s="17" t="s">
        <v>1744</v>
      </c>
      <c r="D1511" s="17" t="s">
        <v>3389</v>
      </c>
      <c r="E1511" s="17" t="s">
        <v>4940</v>
      </c>
      <c r="F1511" s="17" t="s">
        <v>4935</v>
      </c>
      <c r="G1511" s="17" t="s">
        <v>6451</v>
      </c>
      <c r="H1511" t="s">
        <v>7476</v>
      </c>
      <c r="I1511" s="1">
        <v>2</v>
      </c>
      <c r="J1511" s="1">
        <v>2</v>
      </c>
      <c r="K1511" t="s">
        <v>6641</v>
      </c>
      <c r="L1511" s="5">
        <f>VLOOKUP(D:D,[1]Munka2!$A:$B,2,FALSE)</f>
        <v>1</v>
      </c>
      <c r="M1511" s="5">
        <f>_xlfn.IFNA(Táblázat1[[#This Row],[Kész2020]],0)</f>
        <v>1</v>
      </c>
      <c r="N1511" s="5">
        <f>IF(Táblázat1[[#This Row],[Karb./akt.év]]-Táblázat1[[#This Row],[Kész2020_2]]&lt;0,0,Táblázat1[[#This Row],[Karb./akt.év]]-Táblázat1[[#This Row],[Kész2020_2]])</f>
        <v>1</v>
      </c>
    </row>
    <row r="1512" spans="1:14" hidden="1" x14ac:dyDescent="0.25">
      <c r="A1512" s="17" t="s">
        <v>7299</v>
      </c>
      <c r="B1512" s="17" t="s">
        <v>544</v>
      </c>
      <c r="C1512" s="17" t="s">
        <v>1744</v>
      </c>
      <c r="D1512" s="17" t="s">
        <v>2309</v>
      </c>
      <c r="E1512" s="17" t="s">
        <v>4161</v>
      </c>
      <c r="F1512" s="17" t="s">
        <v>4162</v>
      </c>
      <c r="G1512" s="17" t="s">
        <v>5502</v>
      </c>
      <c r="H1512" t="s">
        <v>7476</v>
      </c>
      <c r="I1512" s="1">
        <v>2</v>
      </c>
      <c r="J1512" s="1">
        <v>2</v>
      </c>
      <c r="K1512" t="s">
        <v>6641</v>
      </c>
      <c r="L1512" s="5">
        <f>VLOOKUP(D:D,[1]Munka2!$A:$B,2,FALSE)</f>
        <v>2</v>
      </c>
      <c r="M1512" s="5">
        <f>_xlfn.IFNA(Táblázat1[[#This Row],[Kész2020]],0)</f>
        <v>2</v>
      </c>
      <c r="N1512" s="5">
        <f>IF(Táblázat1[[#This Row],[Karb./akt.év]]-Táblázat1[[#This Row],[Kész2020_2]]&lt;0,0,Táblázat1[[#This Row],[Karb./akt.év]]-Táblázat1[[#This Row],[Kész2020_2]])</f>
        <v>0</v>
      </c>
    </row>
    <row r="1513" spans="1:14" hidden="1" x14ac:dyDescent="0.25">
      <c r="A1513" s="17" t="s">
        <v>7299</v>
      </c>
      <c r="B1513" s="17" t="s">
        <v>1604</v>
      </c>
      <c r="C1513" s="17" t="s">
        <v>1748</v>
      </c>
      <c r="D1513" s="17" t="s">
        <v>3454</v>
      </c>
      <c r="E1513" s="17" t="s">
        <v>4963</v>
      </c>
      <c r="F1513" s="17" t="s">
        <v>4964</v>
      </c>
      <c r="G1513" s="17" t="s">
        <v>6506</v>
      </c>
      <c r="H1513" t="s">
        <v>7476</v>
      </c>
      <c r="I1513" s="1">
        <v>2</v>
      </c>
      <c r="J1513" s="1">
        <v>2</v>
      </c>
      <c r="K1513" t="s">
        <v>6641</v>
      </c>
      <c r="L1513" s="5">
        <f>VLOOKUP(D:D,[1]Munka2!$A:$B,2,FALSE)</f>
        <v>1</v>
      </c>
      <c r="M1513" s="5">
        <f>_xlfn.IFNA(Táblázat1[[#This Row],[Kész2020]],0)</f>
        <v>1</v>
      </c>
      <c r="N1513" s="5">
        <f>IF(Táblázat1[[#This Row],[Karb./akt.év]]-Táblázat1[[#This Row],[Kész2020_2]]&lt;0,0,Táblázat1[[#This Row],[Karb./akt.év]]-Táblázat1[[#This Row],[Kész2020_2]])</f>
        <v>1</v>
      </c>
    </row>
    <row r="1514" spans="1:14" hidden="1" x14ac:dyDescent="0.25">
      <c r="A1514" s="17" t="s">
        <v>7299</v>
      </c>
      <c r="B1514" s="17" t="s">
        <v>132</v>
      </c>
      <c r="C1514" s="17" t="s">
        <v>1748</v>
      </c>
      <c r="D1514" s="17" t="s">
        <v>1872</v>
      </c>
      <c r="E1514" s="17" t="s">
        <v>3730</v>
      </c>
      <c r="F1514" s="17" t="s">
        <v>3731</v>
      </c>
      <c r="G1514" s="17" t="s">
        <v>5104</v>
      </c>
      <c r="H1514" t="s">
        <v>7476</v>
      </c>
      <c r="I1514" s="1">
        <v>2</v>
      </c>
      <c r="J1514" s="1">
        <v>2</v>
      </c>
      <c r="K1514" t="s">
        <v>6641</v>
      </c>
      <c r="L1514" s="5">
        <f>VLOOKUP(D:D,[1]Munka2!$A:$B,2,FALSE)</f>
        <v>1</v>
      </c>
      <c r="M1514" s="5">
        <f>_xlfn.IFNA(Táblázat1[[#This Row],[Kész2020]],0)</f>
        <v>1</v>
      </c>
      <c r="N1514" s="5">
        <f>IF(Táblázat1[[#This Row],[Karb./akt.év]]-Táblázat1[[#This Row],[Kész2020_2]]&lt;0,0,Táblázat1[[#This Row],[Karb./akt.év]]-Táblázat1[[#This Row],[Kész2020_2]])</f>
        <v>1</v>
      </c>
    </row>
    <row r="1515" spans="1:14" hidden="1" x14ac:dyDescent="0.25">
      <c r="A1515" s="17" t="s">
        <v>7299</v>
      </c>
      <c r="B1515" s="17" t="s">
        <v>1432</v>
      </c>
      <c r="C1515" s="17" t="s">
        <v>1735</v>
      </c>
      <c r="D1515" s="17" t="s">
        <v>3263</v>
      </c>
      <c r="E1515" s="17" t="s">
        <v>3752</v>
      </c>
      <c r="F1515" s="17" t="s">
        <v>3753</v>
      </c>
      <c r="G1515" s="17" t="s">
        <v>6336</v>
      </c>
      <c r="H1515" t="s">
        <v>7476</v>
      </c>
      <c r="I1515" s="1">
        <v>2</v>
      </c>
      <c r="J1515" s="1">
        <v>2</v>
      </c>
      <c r="K1515" t="s">
        <v>6641</v>
      </c>
      <c r="L1515" s="5">
        <f>VLOOKUP(D:D,[1]Munka2!$A:$B,2,FALSE)</f>
        <v>1</v>
      </c>
      <c r="M1515" s="5">
        <f>_xlfn.IFNA(Táblázat1[[#This Row],[Kész2020]],0)</f>
        <v>1</v>
      </c>
      <c r="N1515" s="5">
        <f>IF(Táblázat1[[#This Row],[Karb./akt.év]]-Táblázat1[[#This Row],[Kész2020_2]]&lt;0,0,Táblázat1[[#This Row],[Karb./akt.év]]-Táblázat1[[#This Row],[Kész2020_2]])</f>
        <v>1</v>
      </c>
    </row>
    <row r="1516" spans="1:14" hidden="1" x14ac:dyDescent="0.25">
      <c r="A1516" s="17" t="s">
        <v>7299</v>
      </c>
      <c r="B1516" s="17" t="s">
        <v>859</v>
      </c>
      <c r="C1516" s="17" t="s">
        <v>1753</v>
      </c>
      <c r="D1516" s="17" t="s">
        <v>2641</v>
      </c>
      <c r="E1516" s="17" t="s">
        <v>3939</v>
      </c>
      <c r="F1516" s="17" t="s">
        <v>3940</v>
      </c>
      <c r="G1516" s="17" t="s">
        <v>5798</v>
      </c>
      <c r="H1516" t="s">
        <v>7476</v>
      </c>
      <c r="I1516" s="1">
        <v>2</v>
      </c>
      <c r="J1516" s="1">
        <v>2</v>
      </c>
      <c r="K1516" t="s">
        <v>6643</v>
      </c>
      <c r="L1516" s="5">
        <f>VLOOKUP(D:D,[1]Munka2!$A:$B,2,FALSE)</f>
        <v>1</v>
      </c>
      <c r="M1516" s="5">
        <f>_xlfn.IFNA(Táblázat1[[#This Row],[Kész2020]],0)</f>
        <v>1</v>
      </c>
      <c r="N1516" s="5">
        <f>IF(Táblázat1[[#This Row],[Karb./akt.év]]-Táblázat1[[#This Row],[Kész2020_2]]&lt;0,0,Táblázat1[[#This Row],[Karb./akt.év]]-Táblázat1[[#This Row],[Kész2020_2]])</f>
        <v>1</v>
      </c>
    </row>
    <row r="1517" spans="1:14" x14ac:dyDescent="0.25">
      <c r="A1517" s="17" t="s">
        <v>7299</v>
      </c>
      <c r="B1517" s="17" t="s">
        <v>6647</v>
      </c>
      <c r="C1517" s="17" t="s">
        <v>1735</v>
      </c>
      <c r="D1517" s="17" t="s">
        <v>6648</v>
      </c>
      <c r="E1517" s="17" t="s">
        <v>4646</v>
      </c>
      <c r="F1517" s="17" t="s">
        <v>4649</v>
      </c>
      <c r="G1517" s="17" t="s">
        <v>5019</v>
      </c>
      <c r="H1517" t="s">
        <v>7476</v>
      </c>
      <c r="I1517" s="1">
        <v>2</v>
      </c>
      <c r="J1517" s="1">
        <v>2</v>
      </c>
      <c r="K1517" t="s">
        <v>7014</v>
      </c>
      <c r="L1517" s="5" t="e">
        <f>VLOOKUP(D:D,[1]Munka2!$A:$B,2,FALSE)</f>
        <v>#N/A</v>
      </c>
      <c r="M1517" s="5">
        <f>_xlfn.IFNA(Táblázat1[[#This Row],[Kész2020]],0)</f>
        <v>0</v>
      </c>
      <c r="N1517" s="5">
        <f>IF(Táblázat1[[#This Row],[Karb./akt.év]]-Táblázat1[[#This Row],[Kész2020_2]]&lt;0,0,Táblázat1[[#This Row],[Karb./akt.év]]-Táblázat1[[#This Row],[Kész2020_2]])</f>
        <v>2</v>
      </c>
    </row>
    <row r="1518" spans="1:14" hidden="1" x14ac:dyDescent="0.25">
      <c r="A1518" s="17" t="s">
        <v>7299</v>
      </c>
      <c r="B1518" s="17" t="s">
        <v>1308</v>
      </c>
      <c r="C1518" s="17" t="s">
        <v>1753</v>
      </c>
      <c r="D1518" s="17" t="s">
        <v>3123</v>
      </c>
      <c r="E1518" s="17" t="s">
        <v>4807</v>
      </c>
      <c r="F1518" s="17" t="s">
        <v>4808</v>
      </c>
      <c r="G1518" s="17" t="s">
        <v>6227</v>
      </c>
      <c r="H1518" t="s">
        <v>7476</v>
      </c>
      <c r="I1518" s="1">
        <v>2</v>
      </c>
      <c r="J1518" s="1">
        <v>2</v>
      </c>
      <c r="K1518" t="s">
        <v>6643</v>
      </c>
      <c r="L1518" s="5">
        <f>VLOOKUP(D:D,[1]Munka2!$A:$B,2,FALSE)</f>
        <v>1</v>
      </c>
      <c r="M1518" s="5">
        <f>_xlfn.IFNA(Táblázat1[[#This Row],[Kész2020]],0)</f>
        <v>1</v>
      </c>
      <c r="N1518" s="5">
        <f>IF(Táblázat1[[#This Row],[Karb./akt.év]]-Táblázat1[[#This Row],[Kész2020_2]]&lt;0,0,Táblázat1[[#This Row],[Karb./akt.év]]-Táblázat1[[#This Row],[Kész2020_2]])</f>
        <v>1</v>
      </c>
    </row>
    <row r="1519" spans="1:14" hidden="1" x14ac:dyDescent="0.25">
      <c r="A1519" s="17" t="s">
        <v>7299</v>
      </c>
      <c r="B1519" s="17" t="s">
        <v>1179</v>
      </c>
      <c r="C1519" s="17" t="s">
        <v>1753</v>
      </c>
      <c r="D1519" s="17" t="s">
        <v>2980</v>
      </c>
      <c r="E1519" s="17" t="s">
        <v>4692</v>
      </c>
      <c r="F1519" s="17" t="s">
        <v>4693</v>
      </c>
      <c r="G1519" s="17" t="s">
        <v>6104</v>
      </c>
      <c r="H1519" t="s">
        <v>7476</v>
      </c>
      <c r="I1519" s="1">
        <v>2</v>
      </c>
      <c r="J1519" s="1">
        <v>2</v>
      </c>
      <c r="K1519" t="s">
        <v>6643</v>
      </c>
      <c r="L1519" s="5">
        <f>VLOOKUP(D:D,[1]Munka2!$A:$B,2,FALSE)</f>
        <v>1</v>
      </c>
      <c r="M1519" s="5">
        <f>_xlfn.IFNA(Táblázat1[[#This Row],[Kész2020]],0)</f>
        <v>1</v>
      </c>
      <c r="N1519" s="5">
        <f>IF(Táblázat1[[#This Row],[Karb./akt.év]]-Táblázat1[[#This Row],[Kész2020_2]]&lt;0,0,Táblázat1[[#This Row],[Karb./akt.év]]-Táblázat1[[#This Row],[Kész2020_2]])</f>
        <v>1</v>
      </c>
    </row>
    <row r="1520" spans="1:14" hidden="1" x14ac:dyDescent="0.25">
      <c r="A1520" s="17" t="s">
        <v>7299</v>
      </c>
      <c r="B1520" s="17" t="s">
        <v>970</v>
      </c>
      <c r="C1520" s="17" t="s">
        <v>1757</v>
      </c>
      <c r="D1520" s="17" t="s">
        <v>2757</v>
      </c>
      <c r="E1520" s="17" t="s">
        <v>4554</v>
      </c>
      <c r="F1520" s="17" t="s">
        <v>4555</v>
      </c>
      <c r="G1520" s="17" t="s">
        <v>5898</v>
      </c>
      <c r="H1520" t="s">
        <v>7476</v>
      </c>
      <c r="I1520" s="1">
        <v>2</v>
      </c>
      <c r="J1520" s="1">
        <v>2</v>
      </c>
      <c r="K1520" t="s">
        <v>6643</v>
      </c>
      <c r="L1520" s="5">
        <f>VLOOKUP(D:D,[1]Munka2!$A:$B,2,FALSE)</f>
        <v>1</v>
      </c>
      <c r="M1520" s="5">
        <f>_xlfn.IFNA(Táblázat1[[#This Row],[Kész2020]],0)</f>
        <v>1</v>
      </c>
      <c r="N1520" s="5">
        <f>IF(Táblázat1[[#This Row],[Karb./akt.év]]-Táblázat1[[#This Row],[Kész2020_2]]&lt;0,0,Táblázat1[[#This Row],[Karb./akt.év]]-Táblázat1[[#This Row],[Kész2020_2]])</f>
        <v>1</v>
      </c>
    </row>
    <row r="1521" spans="1:14" hidden="1" x14ac:dyDescent="0.25">
      <c r="A1521" s="17" t="s">
        <v>7299</v>
      </c>
      <c r="B1521" s="17" t="s">
        <v>321</v>
      </c>
      <c r="C1521" s="17" t="s">
        <v>1757</v>
      </c>
      <c r="D1521" s="17" t="s">
        <v>2070</v>
      </c>
      <c r="E1521" s="17" t="s">
        <v>3947</v>
      </c>
      <c r="F1521" s="17" t="s">
        <v>3948</v>
      </c>
      <c r="G1521" s="17" t="s">
        <v>5288</v>
      </c>
      <c r="H1521" t="s">
        <v>7476</v>
      </c>
      <c r="I1521" s="1">
        <v>2</v>
      </c>
      <c r="J1521" s="1">
        <v>2</v>
      </c>
      <c r="K1521" t="s">
        <v>7014</v>
      </c>
      <c r="L1521" s="5">
        <f>VLOOKUP(D:D,[1]Munka2!$A:$B,2,FALSE)</f>
        <v>1</v>
      </c>
      <c r="M1521" s="5">
        <f>_xlfn.IFNA(Táblázat1[[#This Row],[Kész2020]],0)</f>
        <v>1</v>
      </c>
      <c r="N1521" s="5">
        <f>IF(Táblázat1[[#This Row],[Karb./akt.év]]-Táblázat1[[#This Row],[Kész2020_2]]&lt;0,0,Táblázat1[[#This Row],[Karb./akt.év]]-Táblázat1[[#This Row],[Kész2020_2]])</f>
        <v>1</v>
      </c>
    </row>
    <row r="1522" spans="1:14" hidden="1" x14ac:dyDescent="0.25">
      <c r="A1522" s="17" t="s">
        <v>7299</v>
      </c>
      <c r="B1522" s="17" t="s">
        <v>354</v>
      </c>
      <c r="C1522" s="17" t="s">
        <v>1746</v>
      </c>
      <c r="D1522" s="17" t="s">
        <v>2108</v>
      </c>
      <c r="E1522" s="17" t="s">
        <v>3984</v>
      </c>
      <c r="F1522" s="17" t="s">
        <v>3985</v>
      </c>
      <c r="G1522" s="17" t="s">
        <v>5320</v>
      </c>
      <c r="H1522" t="s">
        <v>7476</v>
      </c>
      <c r="I1522" s="1">
        <v>2</v>
      </c>
      <c r="J1522" s="1">
        <v>2</v>
      </c>
      <c r="K1522" t="s">
        <v>7014</v>
      </c>
      <c r="L1522" s="5">
        <f>VLOOKUP(D:D,[1]Munka2!$A:$B,2,FALSE)</f>
        <v>1</v>
      </c>
      <c r="M1522" s="5">
        <f>_xlfn.IFNA(Táblázat1[[#This Row],[Kész2020]],0)</f>
        <v>1</v>
      </c>
      <c r="N1522" s="5">
        <f>IF(Táblázat1[[#This Row],[Karb./akt.év]]-Táblázat1[[#This Row],[Kész2020_2]]&lt;0,0,Táblázat1[[#This Row],[Karb./akt.év]]-Táblázat1[[#This Row],[Kész2020_2]])</f>
        <v>1</v>
      </c>
    </row>
    <row r="1523" spans="1:14" hidden="1" x14ac:dyDescent="0.25">
      <c r="A1523" s="17" t="s">
        <v>7299</v>
      </c>
      <c r="B1523" s="17" t="s">
        <v>53</v>
      </c>
      <c r="C1523" s="17" t="s">
        <v>1746</v>
      </c>
      <c r="D1523" s="17" t="s">
        <v>1791</v>
      </c>
      <c r="E1523" s="17" t="s">
        <v>3635</v>
      </c>
      <c r="F1523" s="17" t="s">
        <v>3636</v>
      </c>
      <c r="G1523" s="17" t="s">
        <v>5029</v>
      </c>
      <c r="H1523" t="s">
        <v>7476</v>
      </c>
      <c r="I1523" s="1">
        <v>2</v>
      </c>
      <c r="J1523" s="1">
        <v>2</v>
      </c>
      <c r="K1523" t="s">
        <v>6643</v>
      </c>
      <c r="L1523" s="5">
        <f>VLOOKUP(D:D,[1]Munka2!$A:$B,2,FALSE)</f>
        <v>1</v>
      </c>
      <c r="M1523" s="5">
        <f>_xlfn.IFNA(Táblázat1[[#This Row],[Kész2020]],0)</f>
        <v>1</v>
      </c>
      <c r="N1523" s="5">
        <f>IF(Táblázat1[[#This Row],[Karb./akt.év]]-Táblázat1[[#This Row],[Kész2020_2]]&lt;0,0,Táblázat1[[#This Row],[Karb./akt.év]]-Táblázat1[[#This Row],[Kész2020_2]])</f>
        <v>1</v>
      </c>
    </row>
    <row r="1524" spans="1:14" hidden="1" x14ac:dyDescent="0.25">
      <c r="A1524" s="17" t="s">
        <v>7299</v>
      </c>
      <c r="B1524" s="17" t="s">
        <v>213</v>
      </c>
      <c r="C1524" s="17" t="s">
        <v>1738</v>
      </c>
      <c r="D1524" s="17" t="s">
        <v>1954</v>
      </c>
      <c r="E1524" s="17" t="s">
        <v>3693</v>
      </c>
      <c r="F1524" s="17" t="s">
        <v>3694</v>
      </c>
      <c r="G1524" s="17" t="s">
        <v>5181</v>
      </c>
      <c r="H1524" t="s">
        <v>7476</v>
      </c>
      <c r="I1524" s="1">
        <v>2</v>
      </c>
      <c r="J1524" s="1">
        <v>2</v>
      </c>
      <c r="K1524" t="s">
        <v>6643</v>
      </c>
      <c r="L1524" s="5">
        <f>VLOOKUP(D:D,[1]Munka2!$A:$B,2,FALSE)</f>
        <v>1</v>
      </c>
      <c r="M1524" s="5">
        <f>_xlfn.IFNA(Táblázat1[[#This Row],[Kész2020]],0)</f>
        <v>1</v>
      </c>
      <c r="N1524" s="5">
        <f>IF(Táblázat1[[#This Row],[Karb./akt.év]]-Táblázat1[[#This Row],[Kész2020_2]]&lt;0,0,Táblázat1[[#This Row],[Karb./akt.év]]-Táblázat1[[#This Row],[Kész2020_2]])</f>
        <v>1</v>
      </c>
    </row>
    <row r="1525" spans="1:14" x14ac:dyDescent="0.25">
      <c r="A1525" s="17" t="s">
        <v>7299</v>
      </c>
      <c r="B1525" s="17" t="s">
        <v>1043</v>
      </c>
      <c r="C1525" s="17" t="s">
        <v>1735</v>
      </c>
      <c r="D1525" s="17" t="s">
        <v>2831</v>
      </c>
      <c r="E1525" s="17" t="s">
        <v>3709</v>
      </c>
      <c r="F1525" s="17" t="s">
        <v>3710</v>
      </c>
      <c r="G1525" s="17" t="s">
        <v>5971</v>
      </c>
      <c r="H1525" t="s">
        <v>7476</v>
      </c>
      <c r="I1525" s="1">
        <v>2</v>
      </c>
      <c r="J1525" s="1">
        <v>2</v>
      </c>
      <c r="K1525" t="s">
        <v>6785</v>
      </c>
      <c r="L1525" s="5" t="e">
        <f>VLOOKUP(D:D,[1]Munka2!$A:$B,2,FALSE)</f>
        <v>#N/A</v>
      </c>
      <c r="M1525" s="5">
        <f>_xlfn.IFNA(Táblázat1[[#This Row],[Kész2020]],0)</f>
        <v>0</v>
      </c>
      <c r="N1525" s="5">
        <f>IF(Táblázat1[[#This Row],[Karb./akt.év]]-Táblázat1[[#This Row],[Kész2020_2]]&lt;0,0,Táblázat1[[#This Row],[Karb./akt.év]]-Táblázat1[[#This Row],[Kész2020_2]])</f>
        <v>2</v>
      </c>
    </row>
    <row r="1526" spans="1:14" hidden="1" x14ac:dyDescent="0.25">
      <c r="A1526" s="17" t="s">
        <v>7299</v>
      </c>
      <c r="B1526" s="17" t="s">
        <v>1304</v>
      </c>
      <c r="C1526" s="17" t="s">
        <v>1747</v>
      </c>
      <c r="D1526" s="17" t="s">
        <v>3119</v>
      </c>
      <c r="E1526" s="17" t="s">
        <v>4805</v>
      </c>
      <c r="F1526" s="17" t="s">
        <v>4806</v>
      </c>
      <c r="G1526" s="17" t="s">
        <v>6224</v>
      </c>
      <c r="H1526" t="s">
        <v>7476</v>
      </c>
      <c r="I1526" s="1">
        <v>2</v>
      </c>
      <c r="J1526" s="1">
        <v>2</v>
      </c>
      <c r="K1526" t="s">
        <v>6643</v>
      </c>
      <c r="L1526" s="5">
        <f>VLOOKUP(D:D,[1]Munka2!$A:$B,2,FALSE)</f>
        <v>1</v>
      </c>
      <c r="M1526" s="5">
        <f>_xlfn.IFNA(Táblázat1[[#This Row],[Kész2020]],0)</f>
        <v>1</v>
      </c>
      <c r="N1526" s="5">
        <f>IF(Táblázat1[[#This Row],[Karb./akt.év]]-Táblázat1[[#This Row],[Kész2020_2]]&lt;0,0,Táblázat1[[#This Row],[Karb./akt.év]]-Táblázat1[[#This Row],[Kész2020_2]])</f>
        <v>1</v>
      </c>
    </row>
    <row r="1527" spans="1:14" hidden="1" x14ac:dyDescent="0.25">
      <c r="A1527" s="17" t="s">
        <v>7299</v>
      </c>
      <c r="B1527" s="17" t="s">
        <v>1428</v>
      </c>
      <c r="C1527" s="17" t="s">
        <v>1738</v>
      </c>
      <c r="D1527" s="17" t="s">
        <v>3258</v>
      </c>
      <c r="E1527" s="17" t="s">
        <v>4376</v>
      </c>
      <c r="F1527" s="17" t="s">
        <v>4377</v>
      </c>
      <c r="G1527" s="17" t="s">
        <v>6332</v>
      </c>
      <c r="H1527" t="s">
        <v>7476</v>
      </c>
      <c r="I1527" s="1">
        <v>2</v>
      </c>
      <c r="J1527" s="1">
        <v>2</v>
      </c>
      <c r="K1527" t="s">
        <v>6643</v>
      </c>
      <c r="L1527" s="5">
        <f>VLOOKUP(D:D,[1]Munka2!$A:$B,2,FALSE)</f>
        <v>1</v>
      </c>
      <c r="M1527" s="5">
        <f>_xlfn.IFNA(Táblázat1[[#This Row],[Kész2020]],0)</f>
        <v>1</v>
      </c>
      <c r="N1527" s="5">
        <f>IF(Táblázat1[[#This Row],[Karb./akt.év]]-Táblázat1[[#This Row],[Kész2020_2]]&lt;0,0,Táblázat1[[#This Row],[Karb./akt.év]]-Táblázat1[[#This Row],[Kész2020_2]])</f>
        <v>1</v>
      </c>
    </row>
    <row r="1528" spans="1:14" x14ac:dyDescent="0.25">
      <c r="A1528" s="17" t="s">
        <v>7299</v>
      </c>
      <c r="B1528" s="17" t="s">
        <v>1053</v>
      </c>
      <c r="C1528" s="17" t="s">
        <v>1747</v>
      </c>
      <c r="D1528" s="17" t="s">
        <v>2840</v>
      </c>
      <c r="E1528" s="17" t="s">
        <v>4313</v>
      </c>
      <c r="F1528" s="17" t="s">
        <v>4314</v>
      </c>
      <c r="G1528" s="17" t="s">
        <v>5982</v>
      </c>
      <c r="H1528" t="s">
        <v>7476</v>
      </c>
      <c r="I1528" s="1">
        <v>2</v>
      </c>
      <c r="J1528" s="1">
        <v>2</v>
      </c>
      <c r="K1528" t="s">
        <v>6643</v>
      </c>
      <c r="L1528" s="5" t="e">
        <f>VLOOKUP(D:D,[1]Munka2!$A:$B,2,FALSE)</f>
        <v>#N/A</v>
      </c>
      <c r="M1528" s="5">
        <f>_xlfn.IFNA(Táblázat1[[#This Row],[Kész2020]],0)</f>
        <v>0</v>
      </c>
      <c r="N1528" s="5">
        <f>IF(Táblázat1[[#This Row],[Karb./akt.év]]-Táblázat1[[#This Row],[Kész2020_2]]&lt;0,0,Táblázat1[[#This Row],[Karb./akt.év]]-Táblázat1[[#This Row],[Kész2020_2]])</f>
        <v>2</v>
      </c>
    </row>
    <row r="1529" spans="1:14" hidden="1" x14ac:dyDescent="0.25">
      <c r="A1529" s="17" t="s">
        <v>7299</v>
      </c>
      <c r="B1529" s="17" t="s">
        <v>593</v>
      </c>
      <c r="C1529" s="17" t="s">
        <v>1738</v>
      </c>
      <c r="D1529" s="17" t="s">
        <v>2367</v>
      </c>
      <c r="E1529" s="17" t="s">
        <v>3693</v>
      </c>
      <c r="F1529" s="17" t="s">
        <v>3694</v>
      </c>
      <c r="G1529" s="17" t="s">
        <v>5556</v>
      </c>
      <c r="H1529" t="s">
        <v>7476</v>
      </c>
      <c r="I1529" s="1">
        <v>2</v>
      </c>
      <c r="J1529" s="1">
        <v>2</v>
      </c>
      <c r="K1529" t="s">
        <v>6643</v>
      </c>
      <c r="L1529" s="5">
        <f>VLOOKUP(D:D,[1]Munka2!$A:$B,2,FALSE)</f>
        <v>1</v>
      </c>
      <c r="M1529" s="5">
        <f>_xlfn.IFNA(Táblázat1[[#This Row],[Kész2020]],0)</f>
        <v>1</v>
      </c>
      <c r="N1529" s="5">
        <f>IF(Táblázat1[[#This Row],[Karb./akt.év]]-Táblázat1[[#This Row],[Kész2020_2]]&lt;0,0,Táblázat1[[#This Row],[Karb./akt.év]]-Táblázat1[[#This Row],[Kész2020_2]])</f>
        <v>1</v>
      </c>
    </row>
    <row r="1530" spans="1:14" hidden="1" x14ac:dyDescent="0.25">
      <c r="A1530" s="17" t="s">
        <v>7299</v>
      </c>
      <c r="B1530" s="17" t="s">
        <v>454</v>
      </c>
      <c r="C1530" s="17" t="s">
        <v>1735</v>
      </c>
      <c r="D1530" s="17" t="s">
        <v>7383</v>
      </c>
      <c r="E1530" s="17" t="s">
        <v>3693</v>
      </c>
      <c r="F1530" s="17" t="s">
        <v>3694</v>
      </c>
      <c r="G1530" s="17" t="s">
        <v>5419</v>
      </c>
      <c r="H1530" t="s">
        <v>7476</v>
      </c>
      <c r="I1530" s="1">
        <v>2</v>
      </c>
      <c r="J1530" s="1">
        <v>2</v>
      </c>
      <c r="K1530" t="s">
        <v>6641</v>
      </c>
      <c r="L1530" s="5">
        <f>VLOOKUP(D:D,[1]Munka2!$A:$B,2,FALSE)</f>
        <v>1</v>
      </c>
      <c r="M1530" s="5">
        <f>_xlfn.IFNA(Táblázat1[[#This Row],[Kész2020]],0)</f>
        <v>1</v>
      </c>
      <c r="N1530" s="5">
        <f>IF(Táblázat1[[#This Row],[Karb./akt.év]]-Táblázat1[[#This Row],[Kész2020_2]]&lt;0,0,Táblázat1[[#This Row],[Karb./akt.év]]-Táblázat1[[#This Row],[Kész2020_2]])</f>
        <v>1</v>
      </c>
    </row>
    <row r="1531" spans="1:14" hidden="1" x14ac:dyDescent="0.25">
      <c r="A1531" s="17" t="s">
        <v>7299</v>
      </c>
      <c r="B1531" s="17" t="s">
        <v>1708</v>
      </c>
      <c r="C1531" s="17" t="s">
        <v>1738</v>
      </c>
      <c r="D1531" s="17" t="s">
        <v>3565</v>
      </c>
      <c r="E1531" s="17" t="s">
        <v>4997</v>
      </c>
      <c r="F1531" s="17" t="s">
        <v>4998</v>
      </c>
      <c r="G1531" s="17" t="s">
        <v>6603</v>
      </c>
      <c r="H1531" t="s">
        <v>7476</v>
      </c>
      <c r="I1531" s="1">
        <v>2</v>
      </c>
      <c r="J1531" s="1">
        <v>2</v>
      </c>
      <c r="K1531" t="s">
        <v>6643</v>
      </c>
      <c r="L1531" s="5">
        <f>VLOOKUP(D:D,[1]Munka2!$A:$B,2,FALSE)</f>
        <v>1</v>
      </c>
      <c r="M1531" s="5">
        <f>_xlfn.IFNA(Táblázat1[[#This Row],[Kész2020]],0)</f>
        <v>1</v>
      </c>
      <c r="N1531" s="5">
        <f>IF(Táblázat1[[#This Row],[Karb./akt.év]]-Táblázat1[[#This Row],[Kész2020_2]]&lt;0,0,Táblázat1[[#This Row],[Karb./akt.év]]-Táblázat1[[#This Row],[Kész2020_2]])</f>
        <v>1</v>
      </c>
    </row>
    <row r="1532" spans="1:14" x14ac:dyDescent="0.25">
      <c r="A1532" s="17" t="s">
        <v>7299</v>
      </c>
      <c r="B1532" s="17" t="s">
        <v>512</v>
      </c>
      <c r="C1532" s="17" t="s">
        <v>1737</v>
      </c>
      <c r="D1532" s="17" t="s">
        <v>2275</v>
      </c>
      <c r="E1532" s="17" t="s">
        <v>4087</v>
      </c>
      <c r="F1532" s="17" t="s">
        <v>4088</v>
      </c>
      <c r="G1532" s="17" t="s">
        <v>5474</v>
      </c>
      <c r="H1532" t="s">
        <v>7476</v>
      </c>
      <c r="I1532" s="1">
        <v>2</v>
      </c>
      <c r="J1532" s="1">
        <v>2</v>
      </c>
      <c r="K1532" t="s">
        <v>7017</v>
      </c>
      <c r="L1532" s="5" t="e">
        <f>VLOOKUP(D:D,[1]Munka2!$A:$B,2,FALSE)</f>
        <v>#N/A</v>
      </c>
      <c r="M1532" s="5">
        <f>_xlfn.IFNA(Táblázat1[[#This Row],[Kész2020]],0)</f>
        <v>0</v>
      </c>
      <c r="N1532" s="5">
        <f>IF(Táblázat1[[#This Row],[Karb./akt.év]]-Táblázat1[[#This Row],[Kész2020_2]]&lt;0,0,Táblázat1[[#This Row],[Karb./akt.év]]-Táblázat1[[#This Row],[Kész2020_2]])</f>
        <v>2</v>
      </c>
    </row>
    <row r="1533" spans="1:14" hidden="1" x14ac:dyDescent="0.25">
      <c r="A1533" s="17" t="s">
        <v>7299</v>
      </c>
      <c r="B1533" s="17" t="s">
        <v>273</v>
      </c>
      <c r="C1533" s="17" t="s">
        <v>1748</v>
      </c>
      <c r="D1533" s="17" t="s">
        <v>2021</v>
      </c>
      <c r="E1533" s="17" t="s">
        <v>3804</v>
      </c>
      <c r="F1533" s="17" t="s">
        <v>3805</v>
      </c>
      <c r="G1533" s="17" t="s">
        <v>5240</v>
      </c>
      <c r="H1533" t="s">
        <v>7476</v>
      </c>
      <c r="I1533" s="1">
        <v>2</v>
      </c>
      <c r="J1533" s="1">
        <v>2</v>
      </c>
      <c r="K1533" t="s">
        <v>6635</v>
      </c>
      <c r="L1533" s="5">
        <f>VLOOKUP(D:D,[1]Munka2!$A:$B,2,FALSE)</f>
        <v>1</v>
      </c>
      <c r="M1533" s="5">
        <f>_xlfn.IFNA(Táblázat1[[#This Row],[Kész2020]],0)</f>
        <v>1</v>
      </c>
      <c r="N1533" s="5">
        <f>IF(Táblázat1[[#This Row],[Karb./akt.év]]-Táblázat1[[#This Row],[Kész2020_2]]&lt;0,0,Táblázat1[[#This Row],[Karb./akt.év]]-Táblázat1[[#This Row],[Kész2020_2]])</f>
        <v>1</v>
      </c>
    </row>
    <row r="1534" spans="1:14" hidden="1" x14ac:dyDescent="0.25">
      <c r="A1534" s="17" t="s">
        <v>7299</v>
      </c>
      <c r="B1534" s="17" t="s">
        <v>1387</v>
      </c>
      <c r="C1534" s="17" t="s">
        <v>1758</v>
      </c>
      <c r="D1534" s="17" t="s">
        <v>3209</v>
      </c>
      <c r="E1534" s="17" t="s">
        <v>3829</v>
      </c>
      <c r="F1534" s="17" t="s">
        <v>3830</v>
      </c>
      <c r="G1534" s="17" t="s">
        <v>6290</v>
      </c>
      <c r="H1534" t="s">
        <v>7476</v>
      </c>
      <c r="I1534" s="1">
        <v>2</v>
      </c>
      <c r="J1534" s="1">
        <v>2</v>
      </c>
      <c r="K1534" t="s">
        <v>6643</v>
      </c>
      <c r="L1534" s="5">
        <f>VLOOKUP(D:D,[1]Munka2!$A:$B,2,FALSE)</f>
        <v>1</v>
      </c>
      <c r="M1534" s="5">
        <f>_xlfn.IFNA(Táblázat1[[#This Row],[Kész2020]],0)</f>
        <v>1</v>
      </c>
      <c r="N1534" s="5">
        <f>IF(Táblázat1[[#This Row],[Karb./akt.év]]-Táblázat1[[#This Row],[Kész2020_2]]&lt;0,0,Táblázat1[[#This Row],[Karb./akt.év]]-Táblázat1[[#This Row],[Kész2020_2]])</f>
        <v>1</v>
      </c>
    </row>
    <row r="1535" spans="1:14" hidden="1" x14ac:dyDescent="0.25">
      <c r="A1535" s="17" t="s">
        <v>7299</v>
      </c>
      <c r="B1535" s="17" t="s">
        <v>1683</v>
      </c>
      <c r="C1535" s="17" t="s">
        <v>1742</v>
      </c>
      <c r="D1535" s="17" t="s">
        <v>3539</v>
      </c>
      <c r="E1535" s="17" t="s">
        <v>4984</v>
      </c>
      <c r="F1535" s="17" t="s">
        <v>4985</v>
      </c>
      <c r="G1535" s="17" t="s">
        <v>6578</v>
      </c>
      <c r="H1535" t="s">
        <v>7476</v>
      </c>
      <c r="I1535" s="1">
        <v>2</v>
      </c>
      <c r="J1535" s="1">
        <v>2</v>
      </c>
      <c r="K1535" t="s">
        <v>6635</v>
      </c>
      <c r="L1535" s="5">
        <f>VLOOKUP(D:D,[1]Munka2!$A:$B,2,FALSE)</f>
        <v>1</v>
      </c>
      <c r="M1535" s="5">
        <f>_xlfn.IFNA(Táblázat1[[#This Row],[Kész2020]],0)</f>
        <v>1</v>
      </c>
      <c r="N1535" s="5">
        <f>IF(Táblázat1[[#This Row],[Karb./akt.év]]-Táblázat1[[#This Row],[Kész2020_2]]&lt;0,0,Táblázat1[[#This Row],[Karb./akt.év]]-Táblázat1[[#This Row],[Kész2020_2]])</f>
        <v>1</v>
      </c>
    </row>
    <row r="1536" spans="1:14" hidden="1" x14ac:dyDescent="0.25">
      <c r="A1536" s="17" t="s">
        <v>7299</v>
      </c>
      <c r="B1536" s="17" t="s">
        <v>1729</v>
      </c>
      <c r="C1536" s="17" t="s">
        <v>1743</v>
      </c>
      <c r="D1536" s="17" t="s">
        <v>3589</v>
      </c>
      <c r="E1536" s="17" t="s">
        <v>5006</v>
      </c>
      <c r="F1536" s="17" t="s">
        <v>3598</v>
      </c>
      <c r="G1536" s="17" t="s">
        <v>6624</v>
      </c>
      <c r="H1536" t="s">
        <v>7476</v>
      </c>
      <c r="I1536" s="1">
        <v>2</v>
      </c>
      <c r="J1536" s="1">
        <v>2</v>
      </c>
      <c r="K1536" t="s">
        <v>6641</v>
      </c>
      <c r="L1536" s="5">
        <f>VLOOKUP(D:D,[1]Munka2!$A:$B,2,FALSE)</f>
        <v>1</v>
      </c>
      <c r="M1536" s="5">
        <f>_xlfn.IFNA(Táblázat1[[#This Row],[Kész2020]],0)</f>
        <v>1</v>
      </c>
      <c r="N1536" s="5">
        <f>IF(Táblázat1[[#This Row],[Karb./akt.év]]-Táblázat1[[#This Row],[Kész2020_2]]&lt;0,0,Táblázat1[[#This Row],[Karb./akt.év]]-Táblázat1[[#This Row],[Kész2020_2]])</f>
        <v>1</v>
      </c>
    </row>
    <row r="1537" spans="1:14" hidden="1" x14ac:dyDescent="0.25">
      <c r="A1537" s="17" t="s">
        <v>7299</v>
      </c>
      <c r="B1537" s="17" t="s">
        <v>1540</v>
      </c>
      <c r="C1537" s="17" t="s">
        <v>1748</v>
      </c>
      <c r="D1537" s="17" t="s">
        <v>3384</v>
      </c>
      <c r="E1537" s="17" t="s">
        <v>4097</v>
      </c>
      <c r="F1537" s="17" t="s">
        <v>4098</v>
      </c>
      <c r="G1537" s="17" t="s">
        <v>7644</v>
      </c>
      <c r="H1537" t="s">
        <v>7476</v>
      </c>
      <c r="I1537" s="1">
        <v>2</v>
      </c>
      <c r="J1537" s="1">
        <v>2</v>
      </c>
      <c r="K1537" t="s">
        <v>6641</v>
      </c>
      <c r="L1537" s="5">
        <f>VLOOKUP(D:D,[1]Munka2!$A:$B,2,FALSE)</f>
        <v>1</v>
      </c>
      <c r="M1537" s="5">
        <f>_xlfn.IFNA(Táblázat1[[#This Row],[Kész2020]],0)</f>
        <v>1</v>
      </c>
      <c r="N1537" s="5">
        <f>IF(Táblázat1[[#This Row],[Karb./akt.év]]-Táblázat1[[#This Row],[Kész2020_2]]&lt;0,0,Táblázat1[[#This Row],[Karb./akt.év]]-Táblázat1[[#This Row],[Kész2020_2]])</f>
        <v>1</v>
      </c>
    </row>
    <row r="1538" spans="1:14" hidden="1" x14ac:dyDescent="0.25">
      <c r="A1538" s="17" t="s">
        <v>7299</v>
      </c>
      <c r="B1538" s="17" t="s">
        <v>1023</v>
      </c>
      <c r="C1538" s="17" t="s">
        <v>1737</v>
      </c>
      <c r="D1538" s="17" t="s">
        <v>2812</v>
      </c>
      <c r="E1538" s="17" t="s">
        <v>4578</v>
      </c>
      <c r="F1538" s="17" t="s">
        <v>4579</v>
      </c>
      <c r="G1538" s="17" t="s">
        <v>7645</v>
      </c>
      <c r="H1538" t="s">
        <v>7476</v>
      </c>
      <c r="I1538" s="1">
        <v>2</v>
      </c>
      <c r="J1538" s="1">
        <v>2</v>
      </c>
      <c r="K1538" t="s">
        <v>6636</v>
      </c>
      <c r="L1538" s="5">
        <f>VLOOKUP(D:D,[1]Munka2!$A:$B,2,FALSE)</f>
        <v>1</v>
      </c>
      <c r="M1538" s="5">
        <f>_xlfn.IFNA(Táblázat1[[#This Row],[Kész2020]],0)</f>
        <v>1</v>
      </c>
      <c r="N1538" s="5">
        <f>IF(Táblázat1[[#This Row],[Karb./akt.év]]-Táblázat1[[#This Row],[Kész2020_2]]&lt;0,0,Táblázat1[[#This Row],[Karb./akt.év]]-Táblázat1[[#This Row],[Kész2020_2]])</f>
        <v>1</v>
      </c>
    </row>
    <row r="1539" spans="1:14" hidden="1" x14ac:dyDescent="0.25">
      <c r="A1539" s="17" t="s">
        <v>7299</v>
      </c>
      <c r="B1539" s="17" t="s">
        <v>1146</v>
      </c>
      <c r="C1539" s="17" t="s">
        <v>1748</v>
      </c>
      <c r="D1539" s="17" t="s">
        <v>2944</v>
      </c>
      <c r="E1539" s="17" t="s">
        <v>4650</v>
      </c>
      <c r="F1539" s="17" t="s">
        <v>4651</v>
      </c>
      <c r="G1539" s="17" t="s">
        <v>6076</v>
      </c>
      <c r="H1539" t="s">
        <v>7476</v>
      </c>
      <c r="I1539" s="1">
        <v>2</v>
      </c>
      <c r="J1539" s="1">
        <v>2</v>
      </c>
      <c r="K1539" t="s">
        <v>6641</v>
      </c>
      <c r="L1539" s="5">
        <f>VLOOKUP(D:D,[1]Munka2!$A:$B,2,FALSE)</f>
        <v>1</v>
      </c>
      <c r="M1539" s="5">
        <f>_xlfn.IFNA(Táblázat1[[#This Row],[Kész2020]],0)</f>
        <v>1</v>
      </c>
      <c r="N1539" s="5">
        <f>IF(Táblázat1[[#This Row],[Karb./akt.év]]-Táblázat1[[#This Row],[Kész2020_2]]&lt;0,0,Táblázat1[[#This Row],[Karb./akt.év]]-Táblázat1[[#This Row],[Kész2020_2]])</f>
        <v>1</v>
      </c>
    </row>
    <row r="1540" spans="1:14" hidden="1" x14ac:dyDescent="0.25">
      <c r="A1540" s="17" t="s">
        <v>7299</v>
      </c>
      <c r="B1540" s="17" t="s">
        <v>513</v>
      </c>
      <c r="C1540" s="17" t="s">
        <v>1742</v>
      </c>
      <c r="D1540" s="17" t="s">
        <v>2276</v>
      </c>
      <c r="E1540" s="17" t="s">
        <v>4022</v>
      </c>
      <c r="F1540" s="17" t="s">
        <v>4023</v>
      </c>
      <c r="G1540" s="17" t="s">
        <v>5444</v>
      </c>
      <c r="H1540" t="s">
        <v>7476</v>
      </c>
      <c r="I1540" s="1">
        <v>2</v>
      </c>
      <c r="J1540" s="1">
        <v>2</v>
      </c>
      <c r="K1540" t="s">
        <v>6636</v>
      </c>
      <c r="L1540" s="5">
        <f>VLOOKUP(D:D,[1]Munka2!$A:$B,2,FALSE)</f>
        <v>1</v>
      </c>
      <c r="M1540" s="5">
        <f>_xlfn.IFNA(Táblázat1[[#This Row],[Kész2020]],0)</f>
        <v>1</v>
      </c>
      <c r="N1540" s="5">
        <f>IF(Táblázat1[[#This Row],[Karb./akt.év]]-Táblázat1[[#This Row],[Kész2020_2]]&lt;0,0,Táblázat1[[#This Row],[Karb./akt.év]]-Táblázat1[[#This Row],[Kész2020_2]])</f>
        <v>1</v>
      </c>
    </row>
    <row r="1541" spans="1:14" hidden="1" x14ac:dyDescent="0.25">
      <c r="A1541" s="17" t="s">
        <v>7299</v>
      </c>
      <c r="B1541" s="17" t="s">
        <v>227</v>
      </c>
      <c r="C1541" s="17" t="s">
        <v>1735</v>
      </c>
      <c r="D1541" s="17" t="s">
        <v>1971</v>
      </c>
      <c r="E1541" s="17" t="s">
        <v>3643</v>
      </c>
      <c r="F1541" s="17" t="s">
        <v>3598</v>
      </c>
      <c r="G1541" s="17" t="s">
        <v>5195</v>
      </c>
      <c r="H1541" t="s">
        <v>7476</v>
      </c>
      <c r="I1541" s="1">
        <v>2</v>
      </c>
      <c r="J1541" s="1">
        <v>2</v>
      </c>
      <c r="K1541" t="s">
        <v>8101</v>
      </c>
      <c r="L1541" s="5">
        <f>VLOOKUP(D:D,[1]Munka2!$A:$B,2,FALSE)</f>
        <v>1</v>
      </c>
      <c r="M1541" s="5">
        <f>_xlfn.IFNA(Táblázat1[[#This Row],[Kész2020]],0)</f>
        <v>1</v>
      </c>
      <c r="N1541" s="5">
        <f>IF(Táblázat1[[#This Row],[Karb./akt.év]]-Táblázat1[[#This Row],[Kész2020_2]]&lt;0,0,Táblázat1[[#This Row],[Karb./akt.év]]-Táblázat1[[#This Row],[Kész2020_2]])</f>
        <v>1</v>
      </c>
    </row>
    <row r="1542" spans="1:14" hidden="1" x14ac:dyDescent="0.25">
      <c r="A1542" s="17" t="s">
        <v>7299</v>
      </c>
      <c r="B1542" s="17" t="s">
        <v>1570</v>
      </c>
      <c r="C1542" s="17" t="s">
        <v>1737</v>
      </c>
      <c r="D1542" s="17" t="s">
        <v>3211</v>
      </c>
      <c r="E1542" s="17" t="s">
        <v>4585</v>
      </c>
      <c r="F1542" s="17" t="s">
        <v>4586</v>
      </c>
      <c r="G1542" s="17" t="s">
        <v>7646</v>
      </c>
      <c r="H1542" t="s">
        <v>7476</v>
      </c>
      <c r="I1542" s="1">
        <v>2</v>
      </c>
      <c r="J1542" s="1">
        <v>2</v>
      </c>
      <c r="K1542" t="s">
        <v>6636</v>
      </c>
      <c r="L1542" s="5">
        <f>VLOOKUP(D:D,[1]Munka2!$A:$B,2,FALSE)</f>
        <v>1</v>
      </c>
      <c r="M1542" s="5">
        <f>_xlfn.IFNA(Táblázat1[[#This Row],[Kész2020]],0)</f>
        <v>1</v>
      </c>
      <c r="N1542" s="5">
        <f>IF(Táblázat1[[#This Row],[Karb./akt.év]]-Táblázat1[[#This Row],[Kész2020_2]]&lt;0,0,Táblázat1[[#This Row],[Karb./akt.év]]-Táblázat1[[#This Row],[Kész2020_2]])</f>
        <v>1</v>
      </c>
    </row>
    <row r="1543" spans="1:14" hidden="1" x14ac:dyDescent="0.25">
      <c r="A1543" s="17" t="s">
        <v>7299</v>
      </c>
      <c r="B1543" s="17" t="s">
        <v>1288</v>
      </c>
      <c r="C1543" s="17" t="s">
        <v>1748</v>
      </c>
      <c r="D1543" s="17" t="s">
        <v>3101</v>
      </c>
      <c r="E1543" s="17" t="s">
        <v>4785</v>
      </c>
      <c r="F1543" s="17" t="s">
        <v>4786</v>
      </c>
      <c r="G1543" s="17" t="s">
        <v>6210</v>
      </c>
      <c r="H1543" t="s">
        <v>7476</v>
      </c>
      <c r="I1543" s="1">
        <v>2</v>
      </c>
      <c r="J1543" s="1">
        <v>2</v>
      </c>
      <c r="K1543" t="s">
        <v>6636</v>
      </c>
      <c r="L1543" s="5">
        <f>VLOOKUP(D:D,[1]Munka2!$A:$B,2,FALSE)</f>
        <v>1</v>
      </c>
      <c r="M1543" s="5">
        <f>_xlfn.IFNA(Táblázat1[[#This Row],[Kész2020]],0)</f>
        <v>1</v>
      </c>
      <c r="N1543" s="5">
        <f>IF(Táblázat1[[#This Row],[Karb./akt.év]]-Táblázat1[[#This Row],[Kész2020_2]]&lt;0,0,Táblázat1[[#This Row],[Karb./akt.év]]-Táblázat1[[#This Row],[Kész2020_2]])</f>
        <v>1</v>
      </c>
    </row>
    <row r="1544" spans="1:14" hidden="1" x14ac:dyDescent="0.25">
      <c r="A1544" s="17" t="s">
        <v>7299</v>
      </c>
      <c r="B1544" s="17" t="s">
        <v>514</v>
      </c>
      <c r="C1544" s="17" t="s">
        <v>1735</v>
      </c>
      <c r="D1544" s="17" t="s">
        <v>2277</v>
      </c>
      <c r="E1544" s="17" t="s">
        <v>4127</v>
      </c>
      <c r="F1544" s="17" t="s">
        <v>4128</v>
      </c>
      <c r="G1544" s="17" t="s">
        <v>7647</v>
      </c>
      <c r="H1544" t="s">
        <v>7476</v>
      </c>
      <c r="I1544" s="1">
        <v>2</v>
      </c>
      <c r="J1544" s="1">
        <v>2</v>
      </c>
      <c r="K1544" t="s">
        <v>6636</v>
      </c>
      <c r="L1544" s="5">
        <f>VLOOKUP(D:D,[1]Munka2!$A:$B,2,FALSE)</f>
        <v>1</v>
      </c>
      <c r="M1544" s="5">
        <f>_xlfn.IFNA(Táblázat1[[#This Row],[Kész2020]],0)</f>
        <v>1</v>
      </c>
      <c r="N1544" s="5">
        <f>IF(Táblázat1[[#This Row],[Karb./akt.év]]-Táblázat1[[#This Row],[Kész2020_2]]&lt;0,0,Táblázat1[[#This Row],[Karb./akt.év]]-Táblázat1[[#This Row],[Kész2020_2]])</f>
        <v>1</v>
      </c>
    </row>
    <row r="1545" spans="1:14" hidden="1" x14ac:dyDescent="0.25">
      <c r="A1545" s="17" t="s">
        <v>7299</v>
      </c>
      <c r="B1545" s="17" t="s">
        <v>1514</v>
      </c>
      <c r="C1545" s="17" t="s">
        <v>1748</v>
      </c>
      <c r="D1545" s="17" t="s">
        <v>3355</v>
      </c>
      <c r="E1545" s="17" t="s">
        <v>4914</v>
      </c>
      <c r="F1545" s="17" t="s">
        <v>4915</v>
      </c>
      <c r="G1545" s="17" t="s">
        <v>6420</v>
      </c>
      <c r="H1545" t="s">
        <v>7476</v>
      </c>
      <c r="I1545" s="1">
        <v>2</v>
      </c>
      <c r="J1545" s="1">
        <v>2</v>
      </c>
      <c r="K1545" t="s">
        <v>6636</v>
      </c>
      <c r="L1545" s="5">
        <f>VLOOKUP(D:D,[1]Munka2!$A:$B,2,FALSE)</f>
        <v>1</v>
      </c>
      <c r="M1545" s="5">
        <f>_xlfn.IFNA(Táblázat1[[#This Row],[Kész2020]],0)</f>
        <v>1</v>
      </c>
      <c r="N1545" s="5">
        <f>IF(Táblázat1[[#This Row],[Karb./akt.év]]-Táblázat1[[#This Row],[Kész2020_2]]&lt;0,0,Táblázat1[[#This Row],[Karb./akt.év]]-Táblázat1[[#This Row],[Kész2020_2]])</f>
        <v>1</v>
      </c>
    </row>
    <row r="1546" spans="1:14" hidden="1" x14ac:dyDescent="0.25">
      <c r="A1546" s="17" t="s">
        <v>7299</v>
      </c>
      <c r="B1546" s="17" t="s">
        <v>1105</v>
      </c>
      <c r="C1546" s="17" t="s">
        <v>1743</v>
      </c>
      <c r="D1546" s="17" t="s">
        <v>2899</v>
      </c>
      <c r="E1546" s="17" t="s">
        <v>4623</v>
      </c>
      <c r="F1546" s="17" t="s">
        <v>4624</v>
      </c>
      <c r="G1546" s="17" t="s">
        <v>6035</v>
      </c>
      <c r="H1546" t="s">
        <v>7476</v>
      </c>
      <c r="I1546" s="1">
        <v>2</v>
      </c>
      <c r="J1546" s="1">
        <v>2</v>
      </c>
      <c r="K1546" t="s">
        <v>6641</v>
      </c>
      <c r="L1546" s="5">
        <f>VLOOKUP(D:D,[1]Munka2!$A:$B,2,FALSE)</f>
        <v>1</v>
      </c>
      <c r="M1546" s="5">
        <f>_xlfn.IFNA(Táblázat1[[#This Row],[Kész2020]],0)</f>
        <v>1</v>
      </c>
      <c r="N1546" s="5">
        <f>IF(Táblázat1[[#This Row],[Karb./akt.év]]-Táblázat1[[#This Row],[Kész2020_2]]&lt;0,0,Táblázat1[[#This Row],[Karb./akt.év]]-Táblázat1[[#This Row],[Kész2020_2]])</f>
        <v>1</v>
      </c>
    </row>
    <row r="1547" spans="1:14" hidden="1" x14ac:dyDescent="0.25">
      <c r="A1547" s="17" t="s">
        <v>7299</v>
      </c>
      <c r="B1547" s="17" t="s">
        <v>1040</v>
      </c>
      <c r="C1547" s="17" t="s">
        <v>1748</v>
      </c>
      <c r="D1547" s="17" t="s">
        <v>2828</v>
      </c>
      <c r="E1547" s="17" t="s">
        <v>4588</v>
      </c>
      <c r="F1547" s="17" t="s">
        <v>4589</v>
      </c>
      <c r="G1547" s="17" t="s">
        <v>5968</v>
      </c>
      <c r="H1547" t="s">
        <v>7476</v>
      </c>
      <c r="I1547" s="1">
        <v>2</v>
      </c>
      <c r="J1547" s="1">
        <v>2</v>
      </c>
      <c r="K1547" t="s">
        <v>6641</v>
      </c>
      <c r="L1547" s="5">
        <f>VLOOKUP(D:D,[1]Munka2!$A:$B,2,FALSE)</f>
        <v>1</v>
      </c>
      <c r="M1547" s="5">
        <f>_xlfn.IFNA(Táblázat1[[#This Row],[Kész2020]],0)</f>
        <v>1</v>
      </c>
      <c r="N1547" s="5">
        <f>IF(Táblázat1[[#This Row],[Karb./akt.év]]-Táblázat1[[#This Row],[Kész2020_2]]&lt;0,0,Táblázat1[[#This Row],[Karb./akt.év]]-Táblázat1[[#This Row],[Kész2020_2]])</f>
        <v>1</v>
      </c>
    </row>
    <row r="1548" spans="1:14" hidden="1" x14ac:dyDescent="0.25">
      <c r="A1548" s="17" t="s">
        <v>7299</v>
      </c>
      <c r="B1548" s="17" t="s">
        <v>266</v>
      </c>
      <c r="C1548" s="17" t="s">
        <v>1743</v>
      </c>
      <c r="D1548" s="17" t="s">
        <v>2013</v>
      </c>
      <c r="E1548" s="17" t="s">
        <v>3892</v>
      </c>
      <c r="F1548" s="17" t="s">
        <v>3598</v>
      </c>
      <c r="G1548" s="17" t="s">
        <v>5233</v>
      </c>
      <c r="H1548" t="s">
        <v>7476</v>
      </c>
      <c r="I1548" s="1">
        <v>2</v>
      </c>
      <c r="J1548" s="1">
        <v>2</v>
      </c>
      <c r="K1548" t="s">
        <v>7014</v>
      </c>
      <c r="L1548" s="5">
        <f>VLOOKUP(D:D,[1]Munka2!$A:$B,2,FALSE)</f>
        <v>1</v>
      </c>
      <c r="M1548" s="5">
        <f>_xlfn.IFNA(Táblázat1[[#This Row],[Kész2020]],0)</f>
        <v>1</v>
      </c>
      <c r="N1548" s="5">
        <f>IF(Táblázat1[[#This Row],[Karb./akt.év]]-Táblázat1[[#This Row],[Kész2020_2]]&lt;0,0,Táblázat1[[#This Row],[Karb./akt.év]]-Táblázat1[[#This Row],[Kész2020_2]])</f>
        <v>1</v>
      </c>
    </row>
    <row r="1549" spans="1:14" hidden="1" x14ac:dyDescent="0.25">
      <c r="A1549" s="17" t="s">
        <v>7299</v>
      </c>
      <c r="B1549" s="17" t="s">
        <v>910</v>
      </c>
      <c r="C1549" s="17" t="s">
        <v>1743</v>
      </c>
      <c r="D1549" s="17" t="s">
        <v>2691</v>
      </c>
      <c r="E1549" s="17" t="s">
        <v>3633</v>
      </c>
      <c r="F1549" s="17" t="s">
        <v>3634</v>
      </c>
      <c r="G1549" s="17" t="s">
        <v>5837</v>
      </c>
      <c r="H1549" t="s">
        <v>7476</v>
      </c>
      <c r="I1549" s="1">
        <v>2</v>
      </c>
      <c r="J1549" s="1">
        <v>2</v>
      </c>
      <c r="K1549" t="s">
        <v>6641</v>
      </c>
      <c r="L1549" s="5">
        <f>VLOOKUP(D:D,[1]Munka2!$A:$B,2,FALSE)</f>
        <v>1</v>
      </c>
      <c r="M1549" s="5">
        <f>_xlfn.IFNA(Táblázat1[[#This Row],[Kész2020]],0)</f>
        <v>1</v>
      </c>
      <c r="N1549" s="5">
        <f>IF(Táblázat1[[#This Row],[Karb./akt.év]]-Táblázat1[[#This Row],[Kész2020_2]]&lt;0,0,Táblázat1[[#This Row],[Karb./akt.év]]-Táblázat1[[#This Row],[Kész2020_2]])</f>
        <v>1</v>
      </c>
    </row>
    <row r="1550" spans="1:14" hidden="1" x14ac:dyDescent="0.25">
      <c r="A1550" s="17" t="s">
        <v>7299</v>
      </c>
      <c r="B1550" s="17" t="s">
        <v>1163</v>
      </c>
      <c r="C1550" s="17" t="s">
        <v>1735</v>
      </c>
      <c r="D1550" s="17" t="s">
        <v>2960</v>
      </c>
      <c r="E1550" s="17" t="s">
        <v>4668</v>
      </c>
      <c r="F1550" s="17" t="s">
        <v>4669</v>
      </c>
      <c r="G1550" s="17" t="s">
        <v>6089</v>
      </c>
      <c r="H1550" t="s">
        <v>7476</v>
      </c>
      <c r="I1550" s="1">
        <v>2</v>
      </c>
      <c r="J1550" s="1">
        <v>2</v>
      </c>
      <c r="K1550" t="s">
        <v>6641</v>
      </c>
      <c r="L1550" s="5">
        <f>VLOOKUP(D:D,[1]Munka2!$A:$B,2,FALSE)</f>
        <v>1</v>
      </c>
      <c r="M1550" s="5">
        <f>_xlfn.IFNA(Táblázat1[[#This Row],[Kész2020]],0)</f>
        <v>1</v>
      </c>
      <c r="N1550" s="5">
        <f>IF(Táblázat1[[#This Row],[Karb./akt.év]]-Táblázat1[[#This Row],[Kész2020_2]]&lt;0,0,Táblázat1[[#This Row],[Karb./akt.év]]-Táblázat1[[#This Row],[Kész2020_2]])</f>
        <v>1</v>
      </c>
    </row>
    <row r="1551" spans="1:14" hidden="1" x14ac:dyDescent="0.25">
      <c r="A1551" s="17" t="s">
        <v>7299</v>
      </c>
      <c r="B1551" s="17" t="s">
        <v>1142</v>
      </c>
      <c r="C1551" s="17" t="s">
        <v>1735</v>
      </c>
      <c r="D1551" s="17" t="s">
        <v>2940</v>
      </c>
      <c r="E1551" s="17" t="s">
        <v>4647</v>
      </c>
      <c r="F1551" s="17" t="s">
        <v>4648</v>
      </c>
      <c r="G1551" s="17" t="s">
        <v>6073</v>
      </c>
      <c r="H1551" t="s">
        <v>7476</v>
      </c>
      <c r="I1551" s="1">
        <v>2</v>
      </c>
      <c r="J1551" s="1">
        <v>2</v>
      </c>
      <c r="K1551" t="s">
        <v>6641</v>
      </c>
      <c r="L1551" s="5">
        <f>VLOOKUP(D:D,[1]Munka2!$A:$B,2,FALSE)</f>
        <v>1</v>
      </c>
      <c r="M1551" s="5">
        <f>_xlfn.IFNA(Táblázat1[[#This Row],[Kész2020]],0)</f>
        <v>1</v>
      </c>
      <c r="N1551" s="5">
        <f>IF(Táblázat1[[#This Row],[Karb./akt.év]]-Táblázat1[[#This Row],[Kész2020_2]]&lt;0,0,Táblázat1[[#This Row],[Karb./akt.év]]-Táblázat1[[#This Row],[Kész2020_2]])</f>
        <v>1</v>
      </c>
    </row>
    <row r="1552" spans="1:14" hidden="1" x14ac:dyDescent="0.25">
      <c r="A1552" s="17" t="s">
        <v>7299</v>
      </c>
      <c r="B1552" s="17" t="s">
        <v>1220</v>
      </c>
      <c r="C1552" s="17" t="s">
        <v>1748</v>
      </c>
      <c r="D1552" s="17" t="s">
        <v>3027</v>
      </c>
      <c r="E1552" s="17" t="s">
        <v>4415</v>
      </c>
      <c r="F1552" s="17" t="s">
        <v>4416</v>
      </c>
      <c r="G1552" s="17" t="s">
        <v>6149</v>
      </c>
      <c r="H1552" t="s">
        <v>7476</v>
      </c>
      <c r="I1552" s="1">
        <v>2</v>
      </c>
      <c r="J1552" s="1">
        <v>2</v>
      </c>
      <c r="K1552" t="s">
        <v>6636</v>
      </c>
      <c r="L1552" s="5">
        <f>VLOOKUP(D:D,[1]Munka2!$A:$B,2,FALSE)</f>
        <v>1</v>
      </c>
      <c r="M1552" s="5">
        <f>_xlfn.IFNA(Táblázat1[[#This Row],[Kész2020]],0)</f>
        <v>1</v>
      </c>
      <c r="N1552" s="5">
        <f>IF(Táblázat1[[#This Row],[Karb./akt.év]]-Táblázat1[[#This Row],[Kész2020_2]]&lt;0,0,Táblázat1[[#This Row],[Karb./akt.év]]-Táblázat1[[#This Row],[Kész2020_2]])</f>
        <v>1</v>
      </c>
    </row>
    <row r="1553" spans="1:14" hidden="1" x14ac:dyDescent="0.25">
      <c r="A1553" s="17" t="s">
        <v>7299</v>
      </c>
      <c r="B1553" s="17" t="s">
        <v>874</v>
      </c>
      <c r="C1553" s="17" t="s">
        <v>1748</v>
      </c>
      <c r="D1553" s="17" t="s">
        <v>2656</v>
      </c>
      <c r="E1553" s="17" t="s">
        <v>4448</v>
      </c>
      <c r="F1553" s="17" t="s">
        <v>4449</v>
      </c>
      <c r="G1553" s="17" t="s">
        <v>5811</v>
      </c>
      <c r="H1553" t="s">
        <v>7476</v>
      </c>
      <c r="I1553" s="1">
        <v>2</v>
      </c>
      <c r="J1553" s="1">
        <v>2</v>
      </c>
      <c r="K1553" t="s">
        <v>6636</v>
      </c>
      <c r="L1553" s="5">
        <f>VLOOKUP(D:D,[1]Munka2!$A:$B,2,FALSE)</f>
        <v>1</v>
      </c>
      <c r="M1553" s="5">
        <f>_xlfn.IFNA(Táblázat1[[#This Row],[Kész2020]],0)</f>
        <v>1</v>
      </c>
      <c r="N1553" s="5">
        <f>IF(Táblázat1[[#This Row],[Karb./akt.év]]-Táblázat1[[#This Row],[Kész2020_2]]&lt;0,0,Táblázat1[[#This Row],[Karb./akt.év]]-Táblázat1[[#This Row],[Kész2020_2]])</f>
        <v>1</v>
      </c>
    </row>
    <row r="1554" spans="1:14" hidden="1" x14ac:dyDescent="0.25">
      <c r="A1554" s="17" t="s">
        <v>7299</v>
      </c>
      <c r="B1554" s="17" t="s">
        <v>1518</v>
      </c>
      <c r="C1554" s="17" t="s">
        <v>1748</v>
      </c>
      <c r="D1554" s="17" t="s">
        <v>3360</v>
      </c>
      <c r="E1554" s="17" t="s">
        <v>4920</v>
      </c>
      <c r="F1554" s="17" t="s">
        <v>4921</v>
      </c>
      <c r="G1554" s="17" t="s">
        <v>6424</v>
      </c>
      <c r="H1554" t="s">
        <v>7476</v>
      </c>
      <c r="I1554" s="1">
        <v>2</v>
      </c>
      <c r="J1554" s="1">
        <v>2</v>
      </c>
      <c r="K1554" t="s">
        <v>6636</v>
      </c>
      <c r="L1554" s="5">
        <f>VLOOKUP(D:D,[1]Munka2!$A:$B,2,FALSE)</f>
        <v>1</v>
      </c>
      <c r="M1554" s="5">
        <f>_xlfn.IFNA(Táblázat1[[#This Row],[Kész2020]],0)</f>
        <v>1</v>
      </c>
      <c r="N1554" s="5">
        <f>IF(Táblázat1[[#This Row],[Karb./akt.év]]-Táblázat1[[#This Row],[Kész2020_2]]&lt;0,0,Táblázat1[[#This Row],[Karb./akt.év]]-Táblázat1[[#This Row],[Kész2020_2]])</f>
        <v>1</v>
      </c>
    </row>
    <row r="1555" spans="1:14" hidden="1" x14ac:dyDescent="0.25">
      <c r="A1555" s="17" t="s">
        <v>7299</v>
      </c>
      <c r="B1555" s="17" t="s">
        <v>1388</v>
      </c>
      <c r="C1555" s="17" t="s">
        <v>1737</v>
      </c>
      <c r="D1555" s="17" t="s">
        <v>3415</v>
      </c>
      <c r="E1555" s="17" t="s">
        <v>4212</v>
      </c>
      <c r="F1555" s="17" t="s">
        <v>4213</v>
      </c>
      <c r="G1555" s="17" t="s">
        <v>6292</v>
      </c>
      <c r="H1555" t="s">
        <v>7476</v>
      </c>
      <c r="I1555" s="1">
        <v>2</v>
      </c>
      <c r="J1555" s="1">
        <v>2</v>
      </c>
      <c r="K1555" t="s">
        <v>6636</v>
      </c>
      <c r="L1555" s="5">
        <f>VLOOKUP(D:D,[1]Munka2!$A:$B,2,FALSE)</f>
        <v>1</v>
      </c>
      <c r="M1555" s="5">
        <f>_xlfn.IFNA(Táblázat1[[#This Row],[Kész2020]],0)</f>
        <v>1</v>
      </c>
      <c r="N1555" s="5">
        <f>IF(Táblázat1[[#This Row],[Karb./akt.év]]-Táblázat1[[#This Row],[Kész2020_2]]&lt;0,0,Táblázat1[[#This Row],[Karb./akt.év]]-Táblázat1[[#This Row],[Kész2020_2]])</f>
        <v>1</v>
      </c>
    </row>
    <row r="1556" spans="1:14" x14ac:dyDescent="0.25">
      <c r="A1556" s="17" t="s">
        <v>7299</v>
      </c>
      <c r="B1556" s="17" t="s">
        <v>7756</v>
      </c>
      <c r="C1556" s="17" t="s">
        <v>1748</v>
      </c>
      <c r="D1556" s="17" t="s">
        <v>7859</v>
      </c>
      <c r="E1556" s="17" t="s">
        <v>7981</v>
      </c>
      <c r="F1556" s="17" t="s">
        <v>7982</v>
      </c>
      <c r="G1556" s="17" t="s">
        <v>8076</v>
      </c>
      <c r="H1556" t="s">
        <v>7476</v>
      </c>
      <c r="I1556" s="1">
        <v>2</v>
      </c>
      <c r="J1556" s="1">
        <v>2</v>
      </c>
      <c r="K1556" t="s">
        <v>6636</v>
      </c>
      <c r="L1556" s="5" t="e">
        <f>VLOOKUP(D:D,[1]Munka2!$A:$B,2,FALSE)</f>
        <v>#N/A</v>
      </c>
      <c r="M1556" s="5">
        <f>_xlfn.IFNA(Táblázat1[[#This Row],[Kész2020]],0)</f>
        <v>0</v>
      </c>
      <c r="N1556" s="5">
        <f>IF(Táblázat1[[#This Row],[Karb./akt.év]]-Táblázat1[[#This Row],[Kész2020_2]]&lt;0,0,Táblázat1[[#This Row],[Karb./akt.év]]-Táblázat1[[#This Row],[Kész2020_2]])</f>
        <v>2</v>
      </c>
    </row>
    <row r="1557" spans="1:14" hidden="1" x14ac:dyDescent="0.25">
      <c r="A1557" s="17" t="s">
        <v>7299</v>
      </c>
      <c r="B1557" s="17" t="s">
        <v>1158</v>
      </c>
      <c r="C1557" s="17" t="s">
        <v>1753</v>
      </c>
      <c r="D1557" s="17" t="s">
        <v>2956</v>
      </c>
      <c r="E1557" s="17" t="s">
        <v>3988</v>
      </c>
      <c r="F1557" s="17" t="s">
        <v>3989</v>
      </c>
      <c r="G1557" s="17" t="s">
        <v>6085</v>
      </c>
      <c r="H1557" t="s">
        <v>7476</v>
      </c>
      <c r="I1557" s="1">
        <v>2</v>
      </c>
      <c r="J1557" s="1">
        <v>2</v>
      </c>
      <c r="K1557" t="s">
        <v>7014</v>
      </c>
      <c r="L1557" s="5">
        <f>VLOOKUP(D:D,[1]Munka2!$A:$B,2,FALSE)</f>
        <v>1</v>
      </c>
      <c r="M1557" s="5">
        <f>_xlfn.IFNA(Táblázat1[[#This Row],[Kész2020]],0)</f>
        <v>1</v>
      </c>
      <c r="N1557" s="5">
        <f>IF(Táblázat1[[#This Row],[Karb./akt.év]]-Táblázat1[[#This Row],[Kész2020_2]]&lt;0,0,Táblázat1[[#This Row],[Karb./akt.év]]-Táblázat1[[#This Row],[Kész2020_2]])</f>
        <v>1</v>
      </c>
    </row>
    <row r="1558" spans="1:14" hidden="1" x14ac:dyDescent="0.25">
      <c r="A1558" s="17" t="s">
        <v>7299</v>
      </c>
      <c r="B1558" s="17" t="s">
        <v>779</v>
      </c>
      <c r="C1558" s="17" t="s">
        <v>1738</v>
      </c>
      <c r="D1558" s="17" t="s">
        <v>2555</v>
      </c>
      <c r="E1558" s="17" t="s">
        <v>4349</v>
      </c>
      <c r="F1558" s="17" t="s">
        <v>4350</v>
      </c>
      <c r="G1558" s="17" t="s">
        <v>5723</v>
      </c>
      <c r="H1558" t="s">
        <v>7476</v>
      </c>
      <c r="I1558" s="1">
        <v>2</v>
      </c>
      <c r="J1558" s="1">
        <v>2</v>
      </c>
      <c r="K1558" t="s">
        <v>6643</v>
      </c>
      <c r="L1558" s="5">
        <f>VLOOKUP(D:D,[1]Munka2!$A:$B,2,FALSE)</f>
        <v>1</v>
      </c>
      <c r="M1558" s="5">
        <f>_xlfn.IFNA(Táblázat1[[#This Row],[Kész2020]],0)</f>
        <v>1</v>
      </c>
      <c r="N1558" s="5">
        <f>IF(Táblázat1[[#This Row],[Karb./akt.év]]-Táblázat1[[#This Row],[Kész2020_2]]&lt;0,0,Táblázat1[[#This Row],[Karb./akt.év]]-Táblázat1[[#This Row],[Kész2020_2]])</f>
        <v>1</v>
      </c>
    </row>
    <row r="1559" spans="1:14" hidden="1" x14ac:dyDescent="0.25">
      <c r="A1559" s="17" t="s">
        <v>7299</v>
      </c>
      <c r="B1559" s="17" t="s">
        <v>1259</v>
      </c>
      <c r="C1559" s="17" t="s">
        <v>1738</v>
      </c>
      <c r="D1559" s="17" t="s">
        <v>3071</v>
      </c>
      <c r="E1559" s="17" t="s">
        <v>4760</v>
      </c>
      <c r="F1559" s="17" t="s">
        <v>4761</v>
      </c>
      <c r="G1559" s="17" t="s">
        <v>6185</v>
      </c>
      <c r="H1559" t="s">
        <v>7476</v>
      </c>
      <c r="I1559" s="1">
        <v>2</v>
      </c>
      <c r="J1559" s="1">
        <v>2</v>
      </c>
      <c r="K1559" t="s">
        <v>6643</v>
      </c>
      <c r="L1559" s="5">
        <f>VLOOKUP(D:D,[1]Munka2!$A:$B,2,FALSE)</f>
        <v>1</v>
      </c>
      <c r="M1559" s="5">
        <f>_xlfn.IFNA(Táblázat1[[#This Row],[Kész2020]],0)</f>
        <v>1</v>
      </c>
      <c r="N1559" s="5">
        <f>IF(Táblázat1[[#This Row],[Karb./akt.év]]-Táblázat1[[#This Row],[Kész2020_2]]&lt;0,0,Táblázat1[[#This Row],[Karb./akt.év]]-Táblázat1[[#This Row],[Kész2020_2]])</f>
        <v>1</v>
      </c>
    </row>
    <row r="1560" spans="1:14" hidden="1" x14ac:dyDescent="0.25">
      <c r="A1560" s="17" t="s">
        <v>7299</v>
      </c>
      <c r="B1560" s="17" t="s">
        <v>1251</v>
      </c>
      <c r="C1560" s="17" t="s">
        <v>1738</v>
      </c>
      <c r="D1560" s="17" t="s">
        <v>3062</v>
      </c>
      <c r="E1560" s="17" t="s">
        <v>4749</v>
      </c>
      <c r="F1560" s="17" t="s">
        <v>4750</v>
      </c>
      <c r="G1560" s="17" t="s">
        <v>6177</v>
      </c>
      <c r="H1560" t="s">
        <v>7476</v>
      </c>
      <c r="I1560" s="1">
        <v>2</v>
      </c>
      <c r="J1560" s="1">
        <v>2</v>
      </c>
      <c r="K1560" t="s">
        <v>6643</v>
      </c>
      <c r="L1560" s="5">
        <f>VLOOKUP(D:D,[1]Munka2!$A:$B,2,FALSE)</f>
        <v>1</v>
      </c>
      <c r="M1560" s="5">
        <f>_xlfn.IFNA(Táblázat1[[#This Row],[Kész2020]],0)</f>
        <v>1</v>
      </c>
      <c r="N1560" s="5">
        <f>IF(Táblázat1[[#This Row],[Karb./akt.év]]-Táblázat1[[#This Row],[Kész2020_2]]&lt;0,0,Táblázat1[[#This Row],[Karb./akt.év]]-Táblázat1[[#This Row],[Kész2020_2]])</f>
        <v>1</v>
      </c>
    </row>
    <row r="1561" spans="1:14" hidden="1" x14ac:dyDescent="0.25">
      <c r="A1561" s="17" t="s">
        <v>7299</v>
      </c>
      <c r="B1561" s="17" t="s">
        <v>409</v>
      </c>
      <c r="C1561" s="17" t="s">
        <v>1738</v>
      </c>
      <c r="D1561" s="17" t="s">
        <v>2164</v>
      </c>
      <c r="E1561" s="17" t="s">
        <v>4026</v>
      </c>
      <c r="F1561" s="17" t="s">
        <v>4027</v>
      </c>
      <c r="G1561" s="17" t="s">
        <v>5376</v>
      </c>
      <c r="H1561" t="s">
        <v>7476</v>
      </c>
      <c r="I1561" s="1">
        <v>2</v>
      </c>
      <c r="J1561" s="1">
        <v>2</v>
      </c>
      <c r="K1561" t="s">
        <v>7014</v>
      </c>
      <c r="L1561" s="5">
        <f>VLOOKUP(D:D,[1]Munka2!$A:$B,2,FALSE)</f>
        <v>1</v>
      </c>
      <c r="M1561" s="5">
        <f>_xlfn.IFNA(Táblázat1[[#This Row],[Kész2020]],0)</f>
        <v>1</v>
      </c>
      <c r="N1561" s="5">
        <f>IF(Táblázat1[[#This Row],[Karb./akt.év]]-Táblázat1[[#This Row],[Kész2020_2]]&lt;0,0,Táblázat1[[#This Row],[Karb./akt.év]]-Táblázat1[[#This Row],[Kész2020_2]])</f>
        <v>1</v>
      </c>
    </row>
    <row r="1562" spans="1:14" hidden="1" x14ac:dyDescent="0.25">
      <c r="A1562" s="17" t="s">
        <v>7299</v>
      </c>
      <c r="B1562" s="17" t="s">
        <v>854</v>
      </c>
      <c r="C1562" s="17" t="s">
        <v>1738</v>
      </c>
      <c r="D1562" s="17" t="s">
        <v>2635</v>
      </c>
      <c r="E1562" s="17" t="s">
        <v>4388</v>
      </c>
      <c r="F1562" s="17" t="s">
        <v>4389</v>
      </c>
      <c r="G1562" s="17" t="s">
        <v>5793</v>
      </c>
      <c r="H1562" t="s">
        <v>7476</v>
      </c>
      <c r="I1562" s="1">
        <v>2</v>
      </c>
      <c r="J1562" s="1">
        <v>2</v>
      </c>
      <c r="K1562" t="s">
        <v>6643</v>
      </c>
      <c r="L1562" s="5">
        <f>VLOOKUP(D:D,[1]Munka2!$A:$B,2,FALSE)</f>
        <v>1</v>
      </c>
      <c r="M1562" s="5">
        <f>_xlfn.IFNA(Táblázat1[[#This Row],[Kész2020]],0)</f>
        <v>1</v>
      </c>
      <c r="N1562" s="5">
        <f>IF(Táblázat1[[#This Row],[Karb./akt.év]]-Táblázat1[[#This Row],[Kész2020_2]]&lt;0,0,Táblázat1[[#This Row],[Karb./akt.év]]-Táblázat1[[#This Row],[Kész2020_2]])</f>
        <v>1</v>
      </c>
    </row>
    <row r="1563" spans="1:14" hidden="1" x14ac:dyDescent="0.25">
      <c r="A1563" s="17" t="s">
        <v>7299</v>
      </c>
      <c r="B1563" s="17" t="s">
        <v>340</v>
      </c>
      <c r="C1563" s="17" t="s">
        <v>1738</v>
      </c>
      <c r="D1563" s="17" t="s">
        <v>2091</v>
      </c>
      <c r="E1563" s="17" t="s">
        <v>3963</v>
      </c>
      <c r="F1563" s="17" t="s">
        <v>3964</v>
      </c>
      <c r="G1563" s="17" t="s">
        <v>5304</v>
      </c>
      <c r="H1563" t="s">
        <v>7476</v>
      </c>
      <c r="I1563" s="1">
        <v>2</v>
      </c>
      <c r="J1563" s="1">
        <v>2</v>
      </c>
      <c r="K1563" t="s">
        <v>6643</v>
      </c>
      <c r="L1563" s="5">
        <f>VLOOKUP(D:D,[1]Munka2!$A:$B,2,FALSE)</f>
        <v>1</v>
      </c>
      <c r="M1563" s="5">
        <f>_xlfn.IFNA(Táblázat1[[#This Row],[Kész2020]],0)</f>
        <v>1</v>
      </c>
      <c r="N1563" s="5">
        <f>IF(Táblázat1[[#This Row],[Karb./akt.év]]-Táblázat1[[#This Row],[Kész2020_2]]&lt;0,0,Táblázat1[[#This Row],[Karb./akt.év]]-Táblázat1[[#This Row],[Kész2020_2]])</f>
        <v>1</v>
      </c>
    </row>
    <row r="1564" spans="1:14" hidden="1" x14ac:dyDescent="0.25">
      <c r="A1564" s="17" t="s">
        <v>7299</v>
      </c>
      <c r="B1564" s="17" t="s">
        <v>524</v>
      </c>
      <c r="C1564" s="17" t="s">
        <v>1738</v>
      </c>
      <c r="D1564" s="17" t="s">
        <v>2289</v>
      </c>
      <c r="E1564" s="17" t="s">
        <v>4140</v>
      </c>
      <c r="F1564" s="17" t="s">
        <v>4141</v>
      </c>
      <c r="G1564" s="17" t="s">
        <v>5485</v>
      </c>
      <c r="H1564" t="s">
        <v>7476</v>
      </c>
      <c r="I1564" s="1">
        <v>2</v>
      </c>
      <c r="J1564" s="1">
        <v>2</v>
      </c>
      <c r="K1564" t="s">
        <v>6643</v>
      </c>
      <c r="L1564" s="5">
        <f>VLOOKUP(D:D,[1]Munka2!$A:$B,2,FALSE)</f>
        <v>1</v>
      </c>
      <c r="M1564" s="5">
        <f>_xlfn.IFNA(Táblázat1[[#This Row],[Kész2020]],0)</f>
        <v>1</v>
      </c>
      <c r="N1564" s="5">
        <f>IF(Táblázat1[[#This Row],[Karb./akt.év]]-Táblázat1[[#This Row],[Kész2020_2]]&lt;0,0,Táblázat1[[#This Row],[Karb./akt.év]]-Táblázat1[[#This Row],[Kész2020_2]])</f>
        <v>1</v>
      </c>
    </row>
    <row r="1565" spans="1:14" x14ac:dyDescent="0.25">
      <c r="A1565" s="17" t="s">
        <v>7299</v>
      </c>
      <c r="B1565" s="17" t="s">
        <v>1267</v>
      </c>
      <c r="C1565" s="17" t="s">
        <v>1743</v>
      </c>
      <c r="D1565" s="17" t="s">
        <v>3079</v>
      </c>
      <c r="E1565" s="17" t="s">
        <v>3888</v>
      </c>
      <c r="F1565" s="17" t="s">
        <v>3889</v>
      </c>
      <c r="G1565" s="17" t="s">
        <v>6193</v>
      </c>
      <c r="H1565" t="s">
        <v>7476</v>
      </c>
      <c r="I1565" s="1">
        <v>2</v>
      </c>
      <c r="J1565" s="1">
        <v>2</v>
      </c>
      <c r="K1565" t="s">
        <v>7354</v>
      </c>
      <c r="L1565" s="5" t="e">
        <f>VLOOKUP(D:D,[1]Munka2!$A:$B,2,FALSE)</f>
        <v>#N/A</v>
      </c>
      <c r="M1565" s="5">
        <f>_xlfn.IFNA(Táblázat1[[#This Row],[Kész2020]],0)</f>
        <v>0</v>
      </c>
      <c r="N1565" s="5">
        <f>IF(Táblázat1[[#This Row],[Karb./akt.év]]-Táblázat1[[#This Row],[Kész2020_2]]&lt;0,0,Táblázat1[[#This Row],[Karb./akt.év]]-Táblázat1[[#This Row],[Kész2020_2]])</f>
        <v>2</v>
      </c>
    </row>
    <row r="1566" spans="1:14" x14ac:dyDescent="0.25">
      <c r="A1566" s="17" t="s">
        <v>7299</v>
      </c>
      <c r="B1566" s="17" t="s">
        <v>7757</v>
      </c>
      <c r="C1566" s="17" t="s">
        <v>1737</v>
      </c>
      <c r="D1566" s="17" t="s">
        <v>7860</v>
      </c>
      <c r="E1566" s="17" t="s">
        <v>4051</v>
      </c>
      <c r="F1566" s="17" t="s">
        <v>3598</v>
      </c>
      <c r="G1566" s="17" t="s">
        <v>8077</v>
      </c>
      <c r="H1566" t="s">
        <v>7476</v>
      </c>
      <c r="I1566" s="1">
        <v>2</v>
      </c>
      <c r="J1566" s="1">
        <v>2</v>
      </c>
      <c r="K1566" t="s">
        <v>6636</v>
      </c>
      <c r="L1566" s="5" t="e">
        <f>VLOOKUP(D:D,[1]Munka2!$A:$B,2,FALSE)</f>
        <v>#N/A</v>
      </c>
      <c r="M1566" s="5">
        <f>_xlfn.IFNA(Táblázat1[[#This Row],[Kész2020]],0)</f>
        <v>0</v>
      </c>
      <c r="N1566" s="5">
        <f>IF(Táblázat1[[#This Row],[Karb./akt.év]]-Táblázat1[[#This Row],[Kész2020_2]]&lt;0,0,Táblázat1[[#This Row],[Karb./akt.év]]-Táblázat1[[#This Row],[Kész2020_2]])</f>
        <v>2</v>
      </c>
    </row>
    <row r="1567" spans="1:14" hidden="1" x14ac:dyDescent="0.25">
      <c r="A1567" s="17" t="s">
        <v>7299</v>
      </c>
      <c r="B1567" s="17" t="s">
        <v>343</v>
      </c>
      <c r="C1567" s="17" t="s">
        <v>1737</v>
      </c>
      <c r="D1567" s="17" t="s">
        <v>2094</v>
      </c>
      <c r="E1567" s="17" t="s">
        <v>3965</v>
      </c>
      <c r="F1567" s="17" t="s">
        <v>3714</v>
      </c>
      <c r="G1567" s="17" t="s">
        <v>5306</v>
      </c>
      <c r="H1567" t="s">
        <v>7476</v>
      </c>
      <c r="I1567" s="1">
        <v>2</v>
      </c>
      <c r="J1567" s="1">
        <v>2</v>
      </c>
      <c r="K1567" t="s">
        <v>6636</v>
      </c>
      <c r="L1567" s="5">
        <f>VLOOKUP(D:D,[1]Munka2!$A:$B,2,FALSE)</f>
        <v>2</v>
      </c>
      <c r="M1567" s="5">
        <f>_xlfn.IFNA(Táblázat1[[#This Row],[Kész2020]],0)</f>
        <v>2</v>
      </c>
      <c r="N1567" s="5">
        <f>IF(Táblázat1[[#This Row],[Karb./akt.év]]-Táblázat1[[#This Row],[Kész2020_2]]&lt;0,0,Táblázat1[[#This Row],[Karb./akt.év]]-Táblázat1[[#This Row],[Kész2020_2]])</f>
        <v>0</v>
      </c>
    </row>
    <row r="1568" spans="1:14" hidden="1" x14ac:dyDescent="0.25">
      <c r="A1568" s="17" t="s">
        <v>7299</v>
      </c>
      <c r="B1568" s="17" t="s">
        <v>1292</v>
      </c>
      <c r="C1568" s="17" t="s">
        <v>1737</v>
      </c>
      <c r="D1568" s="17" t="s">
        <v>3105</v>
      </c>
      <c r="E1568" s="17" t="s">
        <v>3970</v>
      </c>
      <c r="F1568" s="17" t="s">
        <v>4791</v>
      </c>
      <c r="G1568" s="17" t="s">
        <v>7648</v>
      </c>
      <c r="H1568" t="s">
        <v>7476</v>
      </c>
      <c r="I1568" s="1">
        <v>2</v>
      </c>
      <c r="J1568" s="1">
        <v>2</v>
      </c>
      <c r="K1568" t="s">
        <v>6636</v>
      </c>
      <c r="L1568" s="5">
        <f>VLOOKUP(D:D,[1]Munka2!$A:$B,2,FALSE)</f>
        <v>1</v>
      </c>
      <c r="M1568" s="5">
        <f>_xlfn.IFNA(Táblázat1[[#This Row],[Kész2020]],0)</f>
        <v>1</v>
      </c>
      <c r="N1568" s="5">
        <f>IF(Táblázat1[[#This Row],[Karb./akt.év]]-Táblázat1[[#This Row],[Kész2020_2]]&lt;0,0,Táblázat1[[#This Row],[Karb./akt.év]]-Táblázat1[[#This Row],[Kész2020_2]])</f>
        <v>1</v>
      </c>
    </row>
    <row r="1569" spans="1:14" hidden="1" x14ac:dyDescent="0.25">
      <c r="A1569" s="17" t="s">
        <v>7299</v>
      </c>
      <c r="B1569" s="17" t="s">
        <v>1302</v>
      </c>
      <c r="C1569" s="17" t="s">
        <v>1737</v>
      </c>
      <c r="D1569" s="17" t="s">
        <v>3116</v>
      </c>
      <c r="E1569" s="17" t="s">
        <v>4801</v>
      </c>
      <c r="F1569" s="17" t="s">
        <v>4802</v>
      </c>
      <c r="G1569" s="17" t="s">
        <v>6221</v>
      </c>
      <c r="H1569" t="s">
        <v>7476</v>
      </c>
      <c r="I1569" s="1">
        <v>2</v>
      </c>
      <c r="J1569" s="1">
        <v>2</v>
      </c>
      <c r="K1569" t="s">
        <v>6636</v>
      </c>
      <c r="L1569" s="5">
        <f>VLOOKUP(D:D,[1]Munka2!$A:$B,2,FALSE)</f>
        <v>1</v>
      </c>
      <c r="M1569" s="5">
        <f>_xlfn.IFNA(Táblázat1[[#This Row],[Kész2020]],0)</f>
        <v>1</v>
      </c>
      <c r="N1569" s="5">
        <f>IF(Táblázat1[[#This Row],[Karb./akt.év]]-Táblázat1[[#This Row],[Kész2020_2]]&lt;0,0,Táblázat1[[#This Row],[Karb./akt.év]]-Táblázat1[[#This Row],[Kész2020_2]])</f>
        <v>1</v>
      </c>
    </row>
    <row r="1570" spans="1:14" hidden="1" x14ac:dyDescent="0.25">
      <c r="A1570" s="17" t="s">
        <v>7299</v>
      </c>
      <c r="B1570" s="17" t="s">
        <v>473</v>
      </c>
      <c r="C1570" s="17" t="s">
        <v>1737</v>
      </c>
      <c r="D1570" s="17" t="s">
        <v>2231</v>
      </c>
      <c r="E1570" s="17" t="s">
        <v>4075</v>
      </c>
      <c r="F1570" s="17" t="s">
        <v>4076</v>
      </c>
      <c r="G1570" s="17" t="s">
        <v>5436</v>
      </c>
      <c r="H1570" t="s">
        <v>7476</v>
      </c>
      <c r="I1570" s="1">
        <v>2</v>
      </c>
      <c r="J1570" s="1">
        <v>2</v>
      </c>
      <c r="K1570" t="s">
        <v>6636</v>
      </c>
      <c r="L1570" s="5">
        <f>VLOOKUP(D:D,[1]Munka2!$A:$B,2,FALSE)</f>
        <v>1</v>
      </c>
      <c r="M1570" s="5">
        <f>_xlfn.IFNA(Táblázat1[[#This Row],[Kész2020]],0)</f>
        <v>1</v>
      </c>
      <c r="N1570" s="5">
        <f>IF(Táblázat1[[#This Row],[Karb./akt.év]]-Táblázat1[[#This Row],[Kész2020_2]]&lt;0,0,Táblázat1[[#This Row],[Karb./akt.év]]-Táblázat1[[#This Row],[Kész2020_2]])</f>
        <v>1</v>
      </c>
    </row>
    <row r="1571" spans="1:14" hidden="1" x14ac:dyDescent="0.25">
      <c r="A1571" s="17" t="s">
        <v>7299</v>
      </c>
      <c r="B1571" s="17" t="s">
        <v>332</v>
      </c>
      <c r="C1571" s="17" t="s">
        <v>1737</v>
      </c>
      <c r="D1571" s="17" t="s">
        <v>2081</v>
      </c>
      <c r="E1571" s="17" t="s">
        <v>3955</v>
      </c>
      <c r="F1571" s="17" t="s">
        <v>3956</v>
      </c>
      <c r="G1571" s="17" t="s">
        <v>7649</v>
      </c>
      <c r="H1571" t="s">
        <v>7476</v>
      </c>
      <c r="I1571" s="1">
        <v>2</v>
      </c>
      <c r="J1571" s="1">
        <v>2</v>
      </c>
      <c r="K1571" t="s">
        <v>6636</v>
      </c>
      <c r="L1571" s="5">
        <f>VLOOKUP(D:D,[1]Munka2!$A:$B,2,FALSE)</f>
        <v>1</v>
      </c>
      <c r="M1571" s="5">
        <f>_xlfn.IFNA(Táblázat1[[#This Row],[Kész2020]],0)</f>
        <v>1</v>
      </c>
      <c r="N1571" s="5">
        <f>IF(Táblázat1[[#This Row],[Karb./akt.év]]-Táblázat1[[#This Row],[Kész2020_2]]&lt;0,0,Táblázat1[[#This Row],[Karb./akt.év]]-Táblázat1[[#This Row],[Kész2020_2]])</f>
        <v>1</v>
      </c>
    </row>
    <row r="1572" spans="1:14" hidden="1" x14ac:dyDescent="0.25">
      <c r="A1572" s="17" t="s">
        <v>7299</v>
      </c>
      <c r="B1572" s="17" t="s">
        <v>300</v>
      </c>
      <c r="C1572" s="17" t="s">
        <v>1737</v>
      </c>
      <c r="D1572" s="17" t="s">
        <v>2049</v>
      </c>
      <c r="E1572" s="17" t="s">
        <v>3922</v>
      </c>
      <c r="F1572" s="17" t="s">
        <v>3923</v>
      </c>
      <c r="G1572" s="17" t="s">
        <v>5267</v>
      </c>
      <c r="H1572" t="s">
        <v>7476</v>
      </c>
      <c r="I1572" s="1">
        <v>2</v>
      </c>
      <c r="J1572" s="1">
        <v>2</v>
      </c>
      <c r="K1572" t="s">
        <v>6636</v>
      </c>
      <c r="L1572" s="5">
        <f>VLOOKUP(D:D,[1]Munka2!$A:$B,2,FALSE)</f>
        <v>1</v>
      </c>
      <c r="M1572" s="5">
        <f>_xlfn.IFNA(Táblázat1[[#This Row],[Kész2020]],0)</f>
        <v>1</v>
      </c>
      <c r="N1572" s="5">
        <f>IF(Táblázat1[[#This Row],[Karb./akt.év]]-Táblázat1[[#This Row],[Kész2020_2]]&lt;0,0,Táblázat1[[#This Row],[Karb./akt.év]]-Táblázat1[[#This Row],[Kész2020_2]])</f>
        <v>1</v>
      </c>
    </row>
    <row r="1573" spans="1:14" hidden="1" x14ac:dyDescent="0.25">
      <c r="A1573" s="17" t="s">
        <v>7299</v>
      </c>
      <c r="B1573" s="17" t="s">
        <v>611</v>
      </c>
      <c r="C1573" s="17" t="s">
        <v>1737</v>
      </c>
      <c r="D1573" s="17" t="s">
        <v>2384</v>
      </c>
      <c r="E1573" s="17" t="s">
        <v>4219</v>
      </c>
      <c r="F1573" s="17" t="s">
        <v>3971</v>
      </c>
      <c r="G1573" s="17" t="s">
        <v>7650</v>
      </c>
      <c r="H1573" t="s">
        <v>7476</v>
      </c>
      <c r="I1573" s="1">
        <v>2</v>
      </c>
      <c r="J1573" s="1">
        <v>2</v>
      </c>
      <c r="K1573" t="s">
        <v>6636</v>
      </c>
      <c r="L1573" s="5">
        <f>VLOOKUP(D:D,[1]Munka2!$A:$B,2,FALSE)</f>
        <v>1</v>
      </c>
      <c r="M1573" s="5">
        <f>_xlfn.IFNA(Táblázat1[[#This Row],[Kész2020]],0)</f>
        <v>1</v>
      </c>
      <c r="N1573" s="5">
        <f>IF(Táblázat1[[#This Row],[Karb./akt.év]]-Táblázat1[[#This Row],[Kész2020_2]]&lt;0,0,Táblázat1[[#This Row],[Karb./akt.év]]-Táblázat1[[#This Row],[Kész2020_2]])</f>
        <v>1</v>
      </c>
    </row>
    <row r="1574" spans="1:14" hidden="1" x14ac:dyDescent="0.25">
      <c r="A1574" s="17" t="s">
        <v>7299</v>
      </c>
      <c r="B1574" s="17" t="s">
        <v>1691</v>
      </c>
      <c r="C1574" s="17" t="s">
        <v>1737</v>
      </c>
      <c r="D1574" s="17" t="s">
        <v>3546</v>
      </c>
      <c r="E1574" s="17" t="s">
        <v>4988</v>
      </c>
      <c r="F1574" s="17" t="s">
        <v>4989</v>
      </c>
      <c r="G1574" s="17" t="s">
        <v>6588</v>
      </c>
      <c r="H1574" t="s">
        <v>7476</v>
      </c>
      <c r="I1574" s="1">
        <v>2</v>
      </c>
      <c r="J1574" s="1">
        <v>2</v>
      </c>
      <c r="K1574" t="s">
        <v>6636</v>
      </c>
      <c r="L1574" s="5">
        <f>VLOOKUP(D:D,[1]Munka2!$A:$B,2,FALSE)</f>
        <v>1</v>
      </c>
      <c r="M1574" s="5">
        <f>_xlfn.IFNA(Táblázat1[[#This Row],[Kész2020]],0)</f>
        <v>1</v>
      </c>
      <c r="N1574" s="5">
        <f>IF(Táblázat1[[#This Row],[Karb./akt.év]]-Táblázat1[[#This Row],[Kész2020_2]]&lt;0,0,Táblázat1[[#This Row],[Karb./akt.év]]-Táblázat1[[#This Row],[Kész2020_2]])</f>
        <v>1</v>
      </c>
    </row>
    <row r="1575" spans="1:14" hidden="1" x14ac:dyDescent="0.25">
      <c r="A1575" s="17" t="s">
        <v>7299</v>
      </c>
      <c r="B1575" s="17" t="s">
        <v>503</v>
      </c>
      <c r="C1575" s="17" t="s">
        <v>1737</v>
      </c>
      <c r="D1575" s="17" t="s">
        <v>2265</v>
      </c>
      <c r="E1575" s="17" t="s">
        <v>4111</v>
      </c>
      <c r="F1575" s="17" t="s">
        <v>4112</v>
      </c>
      <c r="G1575" s="17" t="s">
        <v>5465</v>
      </c>
      <c r="H1575" t="s">
        <v>7476</v>
      </c>
      <c r="I1575" s="1">
        <v>2</v>
      </c>
      <c r="J1575" s="1">
        <v>2</v>
      </c>
      <c r="K1575" t="s">
        <v>6636</v>
      </c>
      <c r="L1575" s="5">
        <f>VLOOKUP(D:D,[1]Munka2!$A:$B,2,FALSE)</f>
        <v>1</v>
      </c>
      <c r="M1575" s="5">
        <f>_xlfn.IFNA(Táblázat1[[#This Row],[Kész2020]],0)</f>
        <v>1</v>
      </c>
      <c r="N1575" s="5">
        <f>IF(Táblázat1[[#This Row],[Karb./akt.év]]-Táblázat1[[#This Row],[Kész2020_2]]&lt;0,0,Táblázat1[[#This Row],[Karb./akt.év]]-Táblázat1[[#This Row],[Kész2020_2]])</f>
        <v>1</v>
      </c>
    </row>
    <row r="1576" spans="1:14" x14ac:dyDescent="0.25">
      <c r="A1576" s="17" t="s">
        <v>7299</v>
      </c>
      <c r="B1576" s="17" t="s">
        <v>7271</v>
      </c>
      <c r="C1576" s="17" t="s">
        <v>1735</v>
      </c>
      <c r="D1576" s="17" t="s">
        <v>7301</v>
      </c>
      <c r="E1576" s="17" t="s">
        <v>7329</v>
      </c>
      <c r="F1576" s="17" t="s">
        <v>7330</v>
      </c>
      <c r="G1576" s="17" t="s">
        <v>7341</v>
      </c>
      <c r="H1576" t="s">
        <v>7476</v>
      </c>
      <c r="I1576" s="1">
        <v>2</v>
      </c>
      <c r="J1576" s="1">
        <v>2</v>
      </c>
      <c r="K1576" t="s">
        <v>6636</v>
      </c>
      <c r="L1576" s="5" t="e">
        <f>VLOOKUP(D:D,[1]Munka2!$A:$B,2,FALSE)</f>
        <v>#N/A</v>
      </c>
      <c r="M1576" s="5">
        <f>_xlfn.IFNA(Táblázat1[[#This Row],[Kész2020]],0)</f>
        <v>0</v>
      </c>
      <c r="N1576" s="5">
        <f>IF(Táblázat1[[#This Row],[Karb./akt.év]]-Táblázat1[[#This Row],[Kész2020_2]]&lt;0,0,Táblázat1[[#This Row],[Karb./akt.év]]-Táblázat1[[#This Row],[Kész2020_2]])</f>
        <v>2</v>
      </c>
    </row>
    <row r="1577" spans="1:14" hidden="1" x14ac:dyDescent="0.25">
      <c r="A1577" s="17" t="s">
        <v>7299</v>
      </c>
      <c r="B1577" s="17" t="s">
        <v>800</v>
      </c>
      <c r="C1577" s="17" t="s">
        <v>1737</v>
      </c>
      <c r="D1577" s="17" t="s">
        <v>2577</v>
      </c>
      <c r="E1577" s="17" t="s">
        <v>4370</v>
      </c>
      <c r="F1577" s="17" t="s">
        <v>4371</v>
      </c>
      <c r="G1577" s="17" t="s">
        <v>7651</v>
      </c>
      <c r="H1577" t="s">
        <v>7476</v>
      </c>
      <c r="I1577" s="1">
        <v>2</v>
      </c>
      <c r="J1577" s="1">
        <v>2</v>
      </c>
      <c r="K1577" t="s">
        <v>6641</v>
      </c>
      <c r="L1577" s="5">
        <f>VLOOKUP(D:D,[1]Munka2!$A:$B,2,FALSE)</f>
        <v>1</v>
      </c>
      <c r="M1577" s="5">
        <f>_xlfn.IFNA(Táblázat1[[#This Row],[Kész2020]],0)</f>
        <v>1</v>
      </c>
      <c r="N1577" s="5">
        <f>IF(Táblázat1[[#This Row],[Karb./akt.év]]-Táblázat1[[#This Row],[Kész2020_2]]&lt;0,0,Táblázat1[[#This Row],[Karb./akt.év]]-Táblázat1[[#This Row],[Kész2020_2]])</f>
        <v>1</v>
      </c>
    </row>
    <row r="1578" spans="1:14" hidden="1" x14ac:dyDescent="0.25">
      <c r="A1578" s="17" t="s">
        <v>7299</v>
      </c>
      <c r="B1578" s="17" t="s">
        <v>972</v>
      </c>
      <c r="C1578" s="17" t="s">
        <v>1735</v>
      </c>
      <c r="D1578" s="17" t="s">
        <v>2759</v>
      </c>
      <c r="E1578" s="17" t="s">
        <v>4558</v>
      </c>
      <c r="F1578" s="17" t="s">
        <v>4559</v>
      </c>
      <c r="G1578" s="17" t="s">
        <v>5900</v>
      </c>
      <c r="H1578" t="s">
        <v>7476</v>
      </c>
      <c r="I1578" s="1">
        <v>2</v>
      </c>
      <c r="J1578" s="1">
        <v>2</v>
      </c>
      <c r="K1578" t="s">
        <v>6641</v>
      </c>
      <c r="L1578" s="5">
        <f>VLOOKUP(D:D,[1]Munka2!$A:$B,2,FALSE)</f>
        <v>1</v>
      </c>
      <c r="M1578" s="5">
        <f>_xlfn.IFNA(Táblázat1[[#This Row],[Kész2020]],0)</f>
        <v>1</v>
      </c>
      <c r="N1578" s="5">
        <f>IF(Táblázat1[[#This Row],[Karb./akt.év]]-Táblázat1[[#This Row],[Kész2020_2]]&lt;0,0,Táblázat1[[#This Row],[Karb./akt.év]]-Táblázat1[[#This Row],[Kész2020_2]])</f>
        <v>1</v>
      </c>
    </row>
    <row r="1579" spans="1:14" hidden="1" x14ac:dyDescent="0.25">
      <c r="A1579" s="17" t="s">
        <v>7299</v>
      </c>
      <c r="B1579" s="17" t="s">
        <v>1515</v>
      </c>
      <c r="C1579" s="17" t="s">
        <v>1735</v>
      </c>
      <c r="D1579" s="17" t="s">
        <v>3356</v>
      </c>
      <c r="E1579" s="17" t="s">
        <v>3705</v>
      </c>
      <c r="F1579" s="17" t="s">
        <v>3706</v>
      </c>
      <c r="G1579" s="17" t="s">
        <v>6421</v>
      </c>
      <c r="H1579" t="s">
        <v>7476</v>
      </c>
      <c r="I1579" s="1">
        <v>2</v>
      </c>
      <c r="J1579" s="1">
        <v>2</v>
      </c>
      <c r="K1579" t="s">
        <v>6641</v>
      </c>
      <c r="L1579" s="5">
        <f>VLOOKUP(D:D,[1]Munka2!$A:$B,2,FALSE)</f>
        <v>1</v>
      </c>
      <c r="M1579" s="5">
        <f>_xlfn.IFNA(Táblázat1[[#This Row],[Kész2020]],0)</f>
        <v>1</v>
      </c>
      <c r="N1579" s="5">
        <f>IF(Táblázat1[[#This Row],[Karb./akt.év]]-Táblázat1[[#This Row],[Kész2020_2]]&lt;0,0,Táblázat1[[#This Row],[Karb./akt.év]]-Táblázat1[[#This Row],[Kész2020_2]])</f>
        <v>1</v>
      </c>
    </row>
    <row r="1580" spans="1:14" hidden="1" x14ac:dyDescent="0.25">
      <c r="A1580" s="17" t="s">
        <v>7299</v>
      </c>
      <c r="B1580" s="17" t="s">
        <v>412</v>
      </c>
      <c r="C1580" s="17" t="s">
        <v>1735</v>
      </c>
      <c r="D1580" s="17" t="s">
        <v>2168</v>
      </c>
      <c r="E1580" s="17" t="s">
        <v>4032</v>
      </c>
      <c r="F1580" s="17" t="s">
        <v>4033</v>
      </c>
      <c r="G1580" s="17" t="s">
        <v>5378</v>
      </c>
      <c r="H1580" t="s">
        <v>7476</v>
      </c>
      <c r="I1580" s="1">
        <v>2</v>
      </c>
      <c r="J1580" s="1">
        <v>2</v>
      </c>
      <c r="K1580" t="s">
        <v>6641</v>
      </c>
      <c r="L1580" s="5">
        <f>VLOOKUP(D:D,[1]Munka2!$A:$B,2,FALSE)</f>
        <v>1</v>
      </c>
      <c r="M1580" s="5">
        <f>_xlfn.IFNA(Táblázat1[[#This Row],[Kész2020]],0)</f>
        <v>1</v>
      </c>
      <c r="N1580" s="5">
        <f>IF(Táblázat1[[#This Row],[Karb./akt.év]]-Táblázat1[[#This Row],[Kész2020_2]]&lt;0,0,Táblázat1[[#This Row],[Karb./akt.év]]-Táblázat1[[#This Row],[Kész2020_2]])</f>
        <v>1</v>
      </c>
    </row>
    <row r="1581" spans="1:14" hidden="1" x14ac:dyDescent="0.25">
      <c r="A1581" s="17" t="s">
        <v>7299</v>
      </c>
      <c r="B1581" s="17" t="s">
        <v>1717</v>
      </c>
      <c r="C1581" s="17" t="s">
        <v>1754</v>
      </c>
      <c r="D1581" s="17" t="s">
        <v>3574</v>
      </c>
      <c r="E1581" s="17" t="s">
        <v>4999</v>
      </c>
      <c r="F1581" s="17" t="s">
        <v>5000</v>
      </c>
      <c r="G1581" s="17" t="s">
        <v>6610</v>
      </c>
      <c r="H1581" t="s">
        <v>7476</v>
      </c>
      <c r="I1581" s="1">
        <v>2</v>
      </c>
      <c r="J1581" s="1">
        <v>2</v>
      </c>
      <c r="K1581" t="s">
        <v>6641</v>
      </c>
      <c r="L1581" s="5">
        <f>VLOOKUP(D:D,[1]Munka2!$A:$B,2,FALSE)</f>
        <v>1</v>
      </c>
      <c r="M1581" s="5">
        <f>_xlfn.IFNA(Táblázat1[[#This Row],[Kész2020]],0)</f>
        <v>1</v>
      </c>
      <c r="N1581" s="5">
        <f>IF(Táblázat1[[#This Row],[Karb./akt.év]]-Táblázat1[[#This Row],[Kész2020_2]]&lt;0,0,Táblázat1[[#This Row],[Karb./akt.év]]-Táblázat1[[#This Row],[Kész2020_2]])</f>
        <v>1</v>
      </c>
    </row>
    <row r="1582" spans="1:14" hidden="1" x14ac:dyDescent="0.25">
      <c r="A1582" s="17" t="s">
        <v>7299</v>
      </c>
      <c r="B1582" s="17" t="s">
        <v>909</v>
      </c>
      <c r="C1582" s="17" t="s">
        <v>1735</v>
      </c>
      <c r="D1582" s="17" t="s">
        <v>2690</v>
      </c>
      <c r="E1582" s="17" t="s">
        <v>4495</v>
      </c>
      <c r="F1582" s="17" t="s">
        <v>4496</v>
      </c>
      <c r="G1582" s="17" t="s">
        <v>7652</v>
      </c>
      <c r="H1582" t="s">
        <v>7476</v>
      </c>
      <c r="I1582" s="1">
        <v>2</v>
      </c>
      <c r="J1582" s="1">
        <v>2</v>
      </c>
      <c r="K1582" t="s">
        <v>6641</v>
      </c>
      <c r="L1582" s="5">
        <f>VLOOKUP(D:D,[1]Munka2!$A:$B,2,FALSE)</f>
        <v>1</v>
      </c>
      <c r="M1582" s="5">
        <f>_xlfn.IFNA(Táblázat1[[#This Row],[Kész2020]],0)</f>
        <v>1</v>
      </c>
      <c r="N1582" s="5">
        <f>IF(Táblázat1[[#This Row],[Karb./akt.év]]-Táblázat1[[#This Row],[Kész2020_2]]&lt;0,0,Táblázat1[[#This Row],[Karb./akt.év]]-Táblázat1[[#This Row],[Kész2020_2]])</f>
        <v>1</v>
      </c>
    </row>
    <row r="1583" spans="1:14" hidden="1" x14ac:dyDescent="0.25">
      <c r="A1583" s="17" t="s">
        <v>7299</v>
      </c>
      <c r="B1583" s="17" t="s">
        <v>1315</v>
      </c>
      <c r="C1583" s="17" t="s">
        <v>1735</v>
      </c>
      <c r="D1583" s="17" t="s">
        <v>3130</v>
      </c>
      <c r="E1583" s="17" t="s">
        <v>4812</v>
      </c>
      <c r="F1583" s="17" t="s">
        <v>4813</v>
      </c>
      <c r="G1583" s="17" t="s">
        <v>6234</v>
      </c>
      <c r="H1583" t="s">
        <v>7476</v>
      </c>
      <c r="I1583" s="1">
        <v>2</v>
      </c>
      <c r="J1583" s="1">
        <v>2</v>
      </c>
      <c r="K1583" t="s">
        <v>6641</v>
      </c>
      <c r="L1583" s="5">
        <f>VLOOKUP(D:D,[1]Munka2!$A:$B,2,FALSE)</f>
        <v>1</v>
      </c>
      <c r="M1583" s="5">
        <f>_xlfn.IFNA(Táblázat1[[#This Row],[Kész2020]],0)</f>
        <v>1</v>
      </c>
      <c r="N1583" s="5">
        <f>IF(Táblázat1[[#This Row],[Karb./akt.év]]-Táblázat1[[#This Row],[Kész2020_2]]&lt;0,0,Táblázat1[[#This Row],[Karb./akt.év]]-Táblázat1[[#This Row],[Kész2020_2]])</f>
        <v>1</v>
      </c>
    </row>
    <row r="1584" spans="1:14" hidden="1" x14ac:dyDescent="0.25">
      <c r="A1584" s="17" t="s">
        <v>7299</v>
      </c>
      <c r="B1584" s="17" t="s">
        <v>769</v>
      </c>
      <c r="C1584" s="17" t="s">
        <v>1754</v>
      </c>
      <c r="D1584" s="17" t="s">
        <v>2545</v>
      </c>
      <c r="E1584" s="17" t="s">
        <v>4335</v>
      </c>
      <c r="F1584" s="17" t="s">
        <v>4336</v>
      </c>
      <c r="G1584" s="17" t="s">
        <v>7653</v>
      </c>
      <c r="H1584" t="s">
        <v>7476</v>
      </c>
      <c r="I1584" s="1">
        <v>2</v>
      </c>
      <c r="J1584" s="1">
        <v>2</v>
      </c>
      <c r="K1584" t="s">
        <v>6641</v>
      </c>
      <c r="L1584" s="5">
        <f>VLOOKUP(D:D,[1]Munka2!$A:$B,2,FALSE)</f>
        <v>1</v>
      </c>
      <c r="M1584" s="5">
        <f>_xlfn.IFNA(Táblázat1[[#This Row],[Kész2020]],0)</f>
        <v>1</v>
      </c>
      <c r="N1584" s="5">
        <f>IF(Táblázat1[[#This Row],[Karb./akt.év]]-Táblázat1[[#This Row],[Kész2020_2]]&lt;0,0,Táblázat1[[#This Row],[Karb./akt.év]]-Táblázat1[[#This Row],[Kész2020_2]])</f>
        <v>1</v>
      </c>
    </row>
    <row r="1585" spans="1:14" hidden="1" x14ac:dyDescent="0.25">
      <c r="A1585" s="17" t="s">
        <v>7299</v>
      </c>
      <c r="B1585" s="17" t="s">
        <v>411</v>
      </c>
      <c r="C1585" s="17" t="s">
        <v>1737</v>
      </c>
      <c r="D1585" s="17" t="s">
        <v>2167</v>
      </c>
      <c r="E1585" s="17" t="s">
        <v>4030</v>
      </c>
      <c r="F1585" s="17" t="s">
        <v>4031</v>
      </c>
      <c r="G1585" s="17" t="s">
        <v>7654</v>
      </c>
      <c r="H1585" t="s">
        <v>7476</v>
      </c>
      <c r="I1585" s="1">
        <v>2</v>
      </c>
      <c r="J1585" s="1">
        <v>2</v>
      </c>
      <c r="K1585" t="s">
        <v>6641</v>
      </c>
      <c r="L1585" s="5">
        <f>VLOOKUP(D:D,[1]Munka2!$A:$B,2,FALSE)</f>
        <v>1</v>
      </c>
      <c r="M1585" s="5">
        <f>_xlfn.IFNA(Táblázat1[[#This Row],[Kész2020]],0)</f>
        <v>1</v>
      </c>
      <c r="N1585" s="5">
        <f>IF(Táblázat1[[#This Row],[Karb./akt.év]]-Táblázat1[[#This Row],[Kész2020_2]]&lt;0,0,Táblázat1[[#This Row],[Karb./akt.év]]-Táblázat1[[#This Row],[Kész2020_2]])</f>
        <v>1</v>
      </c>
    </row>
    <row r="1586" spans="1:14" hidden="1" x14ac:dyDescent="0.25">
      <c r="A1586" s="17" t="s">
        <v>7299</v>
      </c>
      <c r="B1586" s="17" t="s">
        <v>1342</v>
      </c>
      <c r="C1586" s="17" t="s">
        <v>1754</v>
      </c>
      <c r="D1586" s="17" t="s">
        <v>3160</v>
      </c>
      <c r="E1586" s="17" t="s">
        <v>3978</v>
      </c>
      <c r="F1586" s="17" t="s">
        <v>3979</v>
      </c>
      <c r="G1586" s="17" t="s">
        <v>6257</v>
      </c>
      <c r="H1586" t="s">
        <v>7476</v>
      </c>
      <c r="I1586" s="1">
        <v>2</v>
      </c>
      <c r="J1586" s="1">
        <v>2</v>
      </c>
      <c r="K1586" t="s">
        <v>6641</v>
      </c>
      <c r="L1586" s="5">
        <f>VLOOKUP(D:D,[1]Munka2!$A:$B,2,FALSE)</f>
        <v>1</v>
      </c>
      <c r="M1586" s="5">
        <f>_xlfn.IFNA(Táblázat1[[#This Row],[Kész2020]],0)</f>
        <v>1</v>
      </c>
      <c r="N1586" s="5">
        <f>IF(Táblázat1[[#This Row],[Karb./akt.év]]-Táblázat1[[#This Row],[Kész2020_2]]&lt;0,0,Táblázat1[[#This Row],[Karb./akt.év]]-Táblázat1[[#This Row],[Kész2020_2]])</f>
        <v>1</v>
      </c>
    </row>
    <row r="1587" spans="1:14" hidden="1" x14ac:dyDescent="0.25">
      <c r="A1587" s="17" t="s">
        <v>7299</v>
      </c>
      <c r="B1587" s="17" t="s">
        <v>668</v>
      </c>
      <c r="C1587" s="17" t="s">
        <v>1754</v>
      </c>
      <c r="D1587" s="17" t="s">
        <v>2442</v>
      </c>
      <c r="E1587" s="17" t="s">
        <v>3641</v>
      </c>
      <c r="F1587" s="17" t="s">
        <v>3642</v>
      </c>
      <c r="G1587" s="17" t="s">
        <v>7655</v>
      </c>
      <c r="H1587" t="s">
        <v>7476</v>
      </c>
      <c r="I1587" s="1">
        <v>2</v>
      </c>
      <c r="J1587" s="1">
        <v>2</v>
      </c>
      <c r="K1587" t="s">
        <v>7354</v>
      </c>
      <c r="L1587" s="5">
        <f>VLOOKUP(D:D,[1]Munka2!$A:$B,2,FALSE)</f>
        <v>1</v>
      </c>
      <c r="M1587" s="5">
        <f>_xlfn.IFNA(Táblázat1[[#This Row],[Kész2020]],0)</f>
        <v>1</v>
      </c>
      <c r="N1587" s="5">
        <f>IF(Táblázat1[[#This Row],[Karb./akt.év]]-Táblázat1[[#This Row],[Kész2020_2]]&lt;0,0,Táblázat1[[#This Row],[Karb./akt.év]]-Táblázat1[[#This Row],[Kész2020_2]])</f>
        <v>1</v>
      </c>
    </row>
    <row r="1588" spans="1:14" hidden="1" x14ac:dyDescent="0.25">
      <c r="A1588" s="17" t="s">
        <v>7299</v>
      </c>
      <c r="B1588" s="17" t="s">
        <v>683</v>
      </c>
      <c r="C1588" s="17" t="s">
        <v>1735</v>
      </c>
      <c r="D1588" s="17" t="s">
        <v>2458</v>
      </c>
      <c r="E1588" s="17" t="s">
        <v>4215</v>
      </c>
      <c r="F1588" s="17" t="s">
        <v>4216</v>
      </c>
      <c r="G1588" s="17" t="s">
        <v>7656</v>
      </c>
      <c r="H1588" t="s">
        <v>7476</v>
      </c>
      <c r="I1588" s="1">
        <v>2</v>
      </c>
      <c r="J1588" s="1">
        <v>2</v>
      </c>
      <c r="K1588" t="s">
        <v>6641</v>
      </c>
      <c r="L1588" s="5">
        <f>VLOOKUP(D:D,[1]Munka2!$A:$B,2,FALSE)</f>
        <v>1</v>
      </c>
      <c r="M1588" s="5">
        <f>_xlfn.IFNA(Táblázat1[[#This Row],[Kész2020]],0)</f>
        <v>1</v>
      </c>
      <c r="N1588" s="5">
        <f>IF(Táblázat1[[#This Row],[Karb./akt.év]]-Táblázat1[[#This Row],[Kész2020_2]]&lt;0,0,Táblázat1[[#This Row],[Karb./akt.év]]-Táblázat1[[#This Row],[Kész2020_2]])</f>
        <v>1</v>
      </c>
    </row>
    <row r="1589" spans="1:14" hidden="1" x14ac:dyDescent="0.25">
      <c r="A1589" s="17" t="s">
        <v>7299</v>
      </c>
      <c r="B1589" s="17" t="s">
        <v>504</v>
      </c>
      <c r="C1589" s="17" t="s">
        <v>1754</v>
      </c>
      <c r="D1589" s="17" t="s">
        <v>2267</v>
      </c>
      <c r="E1589" s="17" t="s">
        <v>4085</v>
      </c>
      <c r="F1589" s="17" t="s">
        <v>4086</v>
      </c>
      <c r="G1589" s="17" t="s">
        <v>5467</v>
      </c>
      <c r="H1589" t="s">
        <v>7476</v>
      </c>
      <c r="I1589" s="1">
        <v>2</v>
      </c>
      <c r="J1589" s="1">
        <v>2</v>
      </c>
      <c r="K1589" t="s">
        <v>7017</v>
      </c>
      <c r="L1589" s="5">
        <f>VLOOKUP(D:D,[1]Munka2!$A:$B,2,FALSE)</f>
        <v>1</v>
      </c>
      <c r="M1589" s="5">
        <f>_xlfn.IFNA(Táblázat1[[#This Row],[Kész2020]],0)</f>
        <v>1</v>
      </c>
      <c r="N1589" s="5">
        <f>IF(Táblázat1[[#This Row],[Karb./akt.év]]-Táblázat1[[#This Row],[Kész2020_2]]&lt;0,0,Táblázat1[[#This Row],[Karb./akt.év]]-Táblázat1[[#This Row],[Kész2020_2]])</f>
        <v>1</v>
      </c>
    </row>
    <row r="1590" spans="1:14" hidden="1" x14ac:dyDescent="0.25">
      <c r="A1590" s="17" t="s">
        <v>7299</v>
      </c>
      <c r="B1590" s="17" t="s">
        <v>120</v>
      </c>
      <c r="C1590" s="17" t="s">
        <v>1754</v>
      </c>
      <c r="D1590" s="17" t="s">
        <v>1860</v>
      </c>
      <c r="E1590" s="17" t="s">
        <v>3715</v>
      </c>
      <c r="F1590" s="17" t="s">
        <v>3716</v>
      </c>
      <c r="G1590" s="17" t="s">
        <v>5091</v>
      </c>
      <c r="H1590" t="s">
        <v>7476</v>
      </c>
      <c r="I1590" s="1">
        <v>2</v>
      </c>
      <c r="J1590" s="1">
        <v>2</v>
      </c>
      <c r="K1590" t="s">
        <v>7017</v>
      </c>
      <c r="L1590" s="5">
        <f>VLOOKUP(D:D,[1]Munka2!$A:$B,2,FALSE)</f>
        <v>1</v>
      </c>
      <c r="M1590" s="5">
        <f>_xlfn.IFNA(Táblázat1[[#This Row],[Kész2020]],0)</f>
        <v>1</v>
      </c>
      <c r="N1590" s="5">
        <f>IF(Táblázat1[[#This Row],[Karb./akt.év]]-Táblázat1[[#This Row],[Kész2020_2]]&lt;0,0,Táblázat1[[#This Row],[Karb./akt.év]]-Táblázat1[[#This Row],[Kész2020_2]])</f>
        <v>1</v>
      </c>
    </row>
    <row r="1591" spans="1:14" hidden="1" x14ac:dyDescent="0.25">
      <c r="A1591" s="17" t="s">
        <v>7299</v>
      </c>
      <c r="B1591" s="17" t="s">
        <v>771</v>
      </c>
      <c r="C1591" s="17" t="s">
        <v>1754</v>
      </c>
      <c r="D1591" s="17" t="s">
        <v>2547</v>
      </c>
      <c r="E1591" s="17" t="s">
        <v>4339</v>
      </c>
      <c r="F1591" s="17" t="s">
        <v>4340</v>
      </c>
      <c r="G1591" s="17" t="s">
        <v>5715</v>
      </c>
      <c r="H1591" t="s">
        <v>7476</v>
      </c>
      <c r="I1591" s="1">
        <v>2</v>
      </c>
      <c r="J1591" s="1">
        <v>2</v>
      </c>
      <c r="K1591" t="s">
        <v>7017</v>
      </c>
      <c r="L1591" s="5">
        <f>VLOOKUP(D:D,[1]Munka2!$A:$B,2,FALSE)</f>
        <v>1</v>
      </c>
      <c r="M1591" s="5">
        <f>_xlfn.IFNA(Táblázat1[[#This Row],[Kész2020]],0)</f>
        <v>1</v>
      </c>
      <c r="N1591" s="5">
        <f>IF(Táblázat1[[#This Row],[Karb./akt.év]]-Táblázat1[[#This Row],[Kész2020_2]]&lt;0,0,Táblázat1[[#This Row],[Karb./akt.év]]-Táblázat1[[#This Row],[Kész2020_2]])</f>
        <v>1</v>
      </c>
    </row>
    <row r="1592" spans="1:14" x14ac:dyDescent="0.25">
      <c r="A1592" s="17" t="s">
        <v>7299</v>
      </c>
      <c r="B1592" s="17" t="s">
        <v>1390</v>
      </c>
      <c r="C1592" s="17" t="s">
        <v>1735</v>
      </c>
      <c r="D1592" s="17" t="s">
        <v>3213</v>
      </c>
      <c r="E1592" s="17" t="s">
        <v>4863</v>
      </c>
      <c r="F1592" s="17" t="s">
        <v>4864</v>
      </c>
      <c r="G1592" s="17" t="s">
        <v>6294</v>
      </c>
      <c r="H1592" t="s">
        <v>7476</v>
      </c>
      <c r="I1592" s="1">
        <v>2</v>
      </c>
      <c r="J1592" s="1">
        <v>2</v>
      </c>
      <c r="K1592" t="s">
        <v>7017</v>
      </c>
      <c r="L1592" s="5" t="e">
        <f>VLOOKUP(D:D,[1]Munka2!$A:$B,2,FALSE)</f>
        <v>#N/A</v>
      </c>
      <c r="M1592" s="5">
        <f>_xlfn.IFNA(Táblázat1[[#This Row],[Kész2020]],0)</f>
        <v>0</v>
      </c>
      <c r="N1592" s="5">
        <f>IF(Táblázat1[[#This Row],[Karb./akt.év]]-Táblázat1[[#This Row],[Kész2020_2]]&lt;0,0,Táblázat1[[#This Row],[Karb./akt.év]]-Táblázat1[[#This Row],[Kész2020_2]])</f>
        <v>2</v>
      </c>
    </row>
    <row r="1593" spans="1:14" x14ac:dyDescent="0.25">
      <c r="A1593" s="17" t="s">
        <v>7299</v>
      </c>
      <c r="B1593" s="17" t="s">
        <v>904</v>
      </c>
      <c r="C1593" s="17" t="s">
        <v>1754</v>
      </c>
      <c r="D1593" s="17" t="s">
        <v>2687</v>
      </c>
      <c r="E1593" s="17" t="s">
        <v>4242</v>
      </c>
      <c r="F1593" s="17" t="s">
        <v>4243</v>
      </c>
      <c r="G1593" s="17" t="s">
        <v>5832</v>
      </c>
      <c r="H1593" t="s">
        <v>7476</v>
      </c>
      <c r="I1593" s="1">
        <v>2</v>
      </c>
      <c r="J1593" s="1">
        <v>2</v>
      </c>
      <c r="K1593" t="s">
        <v>6633</v>
      </c>
      <c r="L1593" s="5" t="e">
        <f>VLOOKUP(D:D,[1]Munka2!$A:$B,2,FALSE)</f>
        <v>#N/A</v>
      </c>
      <c r="M1593" s="5">
        <f>_xlfn.IFNA(Táblázat1[[#This Row],[Kész2020]],0)</f>
        <v>0</v>
      </c>
      <c r="N1593" s="5">
        <f>IF(Táblázat1[[#This Row],[Karb./akt.év]]-Táblázat1[[#This Row],[Kész2020_2]]&lt;0,0,Táblázat1[[#This Row],[Karb./akt.év]]-Táblázat1[[#This Row],[Kész2020_2]])</f>
        <v>2</v>
      </c>
    </row>
    <row r="1594" spans="1:14" x14ac:dyDescent="0.25">
      <c r="A1594" s="17" t="s">
        <v>7299</v>
      </c>
      <c r="B1594" s="17" t="s">
        <v>1067</v>
      </c>
      <c r="C1594" s="17" t="s">
        <v>1754</v>
      </c>
      <c r="D1594" s="17" t="s">
        <v>2855</v>
      </c>
      <c r="E1594" s="17" t="s">
        <v>4602</v>
      </c>
      <c r="F1594" s="17" t="s">
        <v>4603</v>
      </c>
      <c r="G1594" s="17" t="s">
        <v>5995</v>
      </c>
      <c r="H1594" t="s">
        <v>7476</v>
      </c>
      <c r="I1594" s="1">
        <v>2</v>
      </c>
      <c r="J1594" s="1">
        <v>2</v>
      </c>
      <c r="K1594" t="s">
        <v>7017</v>
      </c>
      <c r="L1594" s="5" t="e">
        <f>VLOOKUP(D:D,[1]Munka2!$A:$B,2,FALSE)</f>
        <v>#N/A</v>
      </c>
      <c r="M1594" s="5">
        <f>_xlfn.IFNA(Táblázat1[[#This Row],[Kész2020]],0)</f>
        <v>0</v>
      </c>
      <c r="N1594" s="5">
        <f>IF(Táblázat1[[#This Row],[Karb./akt.év]]-Táblázat1[[#This Row],[Kész2020_2]]&lt;0,0,Táblázat1[[#This Row],[Karb./akt.év]]-Táblázat1[[#This Row],[Kész2020_2]])</f>
        <v>2</v>
      </c>
    </row>
    <row r="1595" spans="1:14" hidden="1" x14ac:dyDescent="0.25">
      <c r="A1595" s="17" t="s">
        <v>7299</v>
      </c>
      <c r="B1595" s="17" t="s">
        <v>1171</v>
      </c>
      <c r="C1595" s="17" t="s">
        <v>1748</v>
      </c>
      <c r="D1595" s="17" t="s">
        <v>2969</v>
      </c>
      <c r="E1595" s="17" t="s">
        <v>4632</v>
      </c>
      <c r="F1595" s="17" t="s">
        <v>4633</v>
      </c>
      <c r="G1595" s="17" t="s">
        <v>6096</v>
      </c>
      <c r="H1595" t="s">
        <v>7476</v>
      </c>
      <c r="I1595" s="1">
        <v>2</v>
      </c>
      <c r="J1595" s="1">
        <v>2</v>
      </c>
      <c r="K1595" t="s">
        <v>6633</v>
      </c>
      <c r="L1595" s="5">
        <f>VLOOKUP(D:D,[1]Munka2!$A:$B,2,FALSE)</f>
        <v>1</v>
      </c>
      <c r="M1595" s="5">
        <f>_xlfn.IFNA(Táblázat1[[#This Row],[Kész2020]],0)</f>
        <v>1</v>
      </c>
      <c r="N1595" s="5">
        <f>IF(Táblázat1[[#This Row],[Karb./akt.év]]-Táblázat1[[#This Row],[Kész2020_2]]&lt;0,0,Táblázat1[[#This Row],[Karb./akt.év]]-Táblázat1[[#This Row],[Kész2020_2]])</f>
        <v>1</v>
      </c>
    </row>
    <row r="1596" spans="1:14" x14ac:dyDescent="0.25">
      <c r="A1596" s="17" t="s">
        <v>7299</v>
      </c>
      <c r="B1596" s="17" t="s">
        <v>770</v>
      </c>
      <c r="C1596" s="17" t="s">
        <v>1735</v>
      </c>
      <c r="D1596" s="17" t="s">
        <v>2546</v>
      </c>
      <c r="E1596" s="17" t="s">
        <v>4337</v>
      </c>
      <c r="F1596" s="17" t="s">
        <v>4338</v>
      </c>
      <c r="G1596" s="17" t="s">
        <v>5714</v>
      </c>
      <c r="H1596" t="s">
        <v>7476</v>
      </c>
      <c r="I1596" s="1">
        <v>2</v>
      </c>
      <c r="J1596" s="1">
        <v>2</v>
      </c>
      <c r="K1596" t="s">
        <v>7017</v>
      </c>
      <c r="L1596" s="5" t="e">
        <f>VLOOKUP(D:D,[1]Munka2!$A:$B,2,FALSE)</f>
        <v>#N/A</v>
      </c>
      <c r="M1596" s="5">
        <f>_xlfn.IFNA(Táblázat1[[#This Row],[Kész2020]],0)</f>
        <v>0</v>
      </c>
      <c r="N1596" s="5">
        <f>IF(Táblázat1[[#This Row],[Karb./akt.év]]-Táblázat1[[#This Row],[Kész2020_2]]&lt;0,0,Táblázat1[[#This Row],[Karb./akt.év]]-Táblázat1[[#This Row],[Kész2020_2]])</f>
        <v>2</v>
      </c>
    </row>
    <row r="1597" spans="1:14" x14ac:dyDescent="0.25">
      <c r="A1597" s="17" t="s">
        <v>7299</v>
      </c>
      <c r="B1597" s="17" t="s">
        <v>459</v>
      </c>
      <c r="C1597" s="17" t="s">
        <v>1754</v>
      </c>
      <c r="D1597" s="17" t="s">
        <v>2217</v>
      </c>
      <c r="E1597" s="17" t="s">
        <v>4069</v>
      </c>
      <c r="F1597" s="17" t="s">
        <v>4070</v>
      </c>
      <c r="G1597" s="17" t="s">
        <v>5424</v>
      </c>
      <c r="H1597" t="s">
        <v>7476</v>
      </c>
      <c r="I1597" s="1">
        <v>2</v>
      </c>
      <c r="J1597" s="1">
        <v>2</v>
      </c>
      <c r="K1597" t="s">
        <v>7017</v>
      </c>
      <c r="L1597" s="5" t="e">
        <f>VLOOKUP(D:D,[1]Munka2!$A:$B,2,FALSE)</f>
        <v>#N/A</v>
      </c>
      <c r="M1597" s="5">
        <f>_xlfn.IFNA(Táblázat1[[#This Row],[Kész2020]],0)</f>
        <v>0</v>
      </c>
      <c r="N1597" s="5">
        <f>IF(Táblázat1[[#This Row],[Karb./akt.év]]-Táblázat1[[#This Row],[Kész2020_2]]&lt;0,0,Táblázat1[[#This Row],[Karb./akt.év]]-Táblázat1[[#This Row],[Kész2020_2]])</f>
        <v>2</v>
      </c>
    </row>
    <row r="1598" spans="1:14" x14ac:dyDescent="0.25">
      <c r="A1598" s="17" t="s">
        <v>7299</v>
      </c>
      <c r="B1598" s="17" t="s">
        <v>346</v>
      </c>
      <c r="C1598" s="17" t="s">
        <v>1735</v>
      </c>
      <c r="D1598" s="17" t="s">
        <v>2099</v>
      </c>
      <c r="E1598" s="17" t="s">
        <v>3972</v>
      </c>
      <c r="F1598" s="17" t="s">
        <v>3973</v>
      </c>
      <c r="G1598" s="17" t="s">
        <v>5311</v>
      </c>
      <c r="H1598" t="s">
        <v>7476</v>
      </c>
      <c r="I1598" s="1">
        <v>2</v>
      </c>
      <c r="J1598" s="1">
        <v>2</v>
      </c>
      <c r="K1598" t="s">
        <v>7017</v>
      </c>
      <c r="L1598" s="5" t="e">
        <f>VLOOKUP(D:D,[1]Munka2!$A:$B,2,FALSE)</f>
        <v>#N/A</v>
      </c>
      <c r="M1598" s="5">
        <f>_xlfn.IFNA(Táblázat1[[#This Row],[Kész2020]],0)</f>
        <v>0</v>
      </c>
      <c r="N1598" s="5">
        <f>IF(Táblázat1[[#This Row],[Karb./akt.év]]-Táblázat1[[#This Row],[Kész2020_2]]&lt;0,0,Táblázat1[[#This Row],[Karb./akt.év]]-Táblázat1[[#This Row],[Kész2020_2]])</f>
        <v>2</v>
      </c>
    </row>
    <row r="1599" spans="1:14" hidden="1" x14ac:dyDescent="0.25">
      <c r="A1599" s="17" t="s">
        <v>7299</v>
      </c>
      <c r="B1599" s="17" t="s">
        <v>536</v>
      </c>
      <c r="C1599" s="17" t="s">
        <v>1748</v>
      </c>
      <c r="D1599" s="17" t="s">
        <v>2302</v>
      </c>
      <c r="E1599" s="17" t="s">
        <v>4151</v>
      </c>
      <c r="F1599" s="17" t="s">
        <v>4152</v>
      </c>
      <c r="G1599" s="17" t="s">
        <v>5495</v>
      </c>
      <c r="H1599" t="s">
        <v>7476</v>
      </c>
      <c r="I1599" s="1">
        <v>2</v>
      </c>
      <c r="J1599" s="1">
        <v>2</v>
      </c>
      <c r="K1599" t="s">
        <v>7017</v>
      </c>
      <c r="L1599" s="5">
        <f>VLOOKUP(D:D,[1]Munka2!$A:$B,2,FALSE)</f>
        <v>1</v>
      </c>
      <c r="M1599" s="5">
        <f>_xlfn.IFNA(Táblázat1[[#This Row],[Kész2020]],0)</f>
        <v>1</v>
      </c>
      <c r="N1599" s="5">
        <f>IF(Táblázat1[[#This Row],[Karb./akt.év]]-Táblázat1[[#This Row],[Kész2020_2]]&lt;0,0,Táblázat1[[#This Row],[Karb./akt.év]]-Táblázat1[[#This Row],[Kész2020_2]])</f>
        <v>1</v>
      </c>
    </row>
    <row r="1600" spans="1:14" x14ac:dyDescent="0.25">
      <c r="A1600" s="17" t="s">
        <v>7299</v>
      </c>
      <c r="B1600" s="17" t="s">
        <v>233</v>
      </c>
      <c r="C1600" s="17" t="s">
        <v>1748</v>
      </c>
      <c r="D1600" s="17" t="s">
        <v>1977</v>
      </c>
      <c r="E1600" s="17" t="s">
        <v>3846</v>
      </c>
      <c r="F1600" s="17" t="s">
        <v>3598</v>
      </c>
      <c r="G1600" s="17" t="s">
        <v>5201</v>
      </c>
      <c r="H1600" t="s">
        <v>7476</v>
      </c>
      <c r="I1600" s="1">
        <v>2</v>
      </c>
      <c r="J1600" s="1">
        <v>2</v>
      </c>
      <c r="K1600" t="s">
        <v>7017</v>
      </c>
      <c r="L1600" s="5" t="e">
        <f>VLOOKUP(D:D,[1]Munka2!$A:$B,2,FALSE)</f>
        <v>#N/A</v>
      </c>
      <c r="M1600" s="5">
        <f>_xlfn.IFNA(Táblázat1[[#This Row],[Kész2020]],0)</f>
        <v>0</v>
      </c>
      <c r="N1600" s="5">
        <f>IF(Táblázat1[[#This Row],[Karb./akt.év]]-Táblázat1[[#This Row],[Kész2020_2]]&lt;0,0,Táblázat1[[#This Row],[Karb./akt.év]]-Táblázat1[[#This Row],[Kész2020_2]])</f>
        <v>2</v>
      </c>
    </row>
    <row r="1601" spans="1:14" hidden="1" x14ac:dyDescent="0.25">
      <c r="A1601" s="17" t="s">
        <v>7299</v>
      </c>
      <c r="B1601" s="17" t="s">
        <v>1139</v>
      </c>
      <c r="C1601" s="17" t="s">
        <v>1735</v>
      </c>
      <c r="D1601" s="17" t="s">
        <v>2937</v>
      </c>
      <c r="E1601" s="17" t="s">
        <v>4644</v>
      </c>
      <c r="F1601" s="17" t="s">
        <v>4645</v>
      </c>
      <c r="G1601" s="17" t="s">
        <v>6070</v>
      </c>
      <c r="H1601" t="s">
        <v>7476</v>
      </c>
      <c r="I1601" s="1">
        <v>2</v>
      </c>
      <c r="J1601" s="1">
        <v>2</v>
      </c>
      <c r="K1601" t="s">
        <v>6636</v>
      </c>
      <c r="L1601" s="5">
        <f>VLOOKUP(D:D,[1]Munka2!$A:$B,2,FALSE)</f>
        <v>1</v>
      </c>
      <c r="M1601" s="5">
        <f>_xlfn.IFNA(Táblázat1[[#This Row],[Kész2020]],0)</f>
        <v>1</v>
      </c>
      <c r="N1601" s="5">
        <f>IF(Táblázat1[[#This Row],[Karb./akt.év]]-Táblázat1[[#This Row],[Kész2020_2]]&lt;0,0,Táblázat1[[#This Row],[Karb./akt.év]]-Táblázat1[[#This Row],[Kész2020_2]])</f>
        <v>1</v>
      </c>
    </row>
    <row r="1602" spans="1:14" hidden="1" x14ac:dyDescent="0.25">
      <c r="A1602" s="17" t="s">
        <v>7299</v>
      </c>
      <c r="B1602" s="17" t="s">
        <v>1566</v>
      </c>
      <c r="C1602" s="17" t="s">
        <v>1735</v>
      </c>
      <c r="D1602" s="17" t="s">
        <v>3411</v>
      </c>
      <c r="E1602" s="17" t="s">
        <v>4947</v>
      </c>
      <c r="F1602" s="17" t="s">
        <v>4948</v>
      </c>
      <c r="G1602" s="17" t="s">
        <v>6470</v>
      </c>
      <c r="H1602" t="s">
        <v>7476</v>
      </c>
      <c r="I1602" s="1">
        <v>2</v>
      </c>
      <c r="J1602" s="1">
        <v>2</v>
      </c>
      <c r="K1602" t="s">
        <v>6636</v>
      </c>
      <c r="L1602" s="5">
        <f>VLOOKUP(D:D,[1]Munka2!$A:$B,2,FALSE)</f>
        <v>1</v>
      </c>
      <c r="M1602" s="5">
        <f>_xlfn.IFNA(Táblázat1[[#This Row],[Kész2020]],0)</f>
        <v>1</v>
      </c>
      <c r="N1602" s="5">
        <f>IF(Táblázat1[[#This Row],[Karb./akt.év]]-Táblázat1[[#This Row],[Kész2020_2]]&lt;0,0,Táblázat1[[#This Row],[Karb./akt.év]]-Táblázat1[[#This Row],[Kész2020_2]])</f>
        <v>1</v>
      </c>
    </row>
    <row r="1603" spans="1:14" x14ac:dyDescent="0.25">
      <c r="A1603" s="17" t="s">
        <v>7299</v>
      </c>
      <c r="B1603" s="17" t="s">
        <v>1674</v>
      </c>
      <c r="C1603" s="17" t="s">
        <v>1735</v>
      </c>
      <c r="D1603" s="17" t="s">
        <v>3531</v>
      </c>
      <c r="E1603" s="17" t="s">
        <v>4958</v>
      </c>
      <c r="F1603" s="17" t="s">
        <v>3598</v>
      </c>
      <c r="G1603" s="17" t="s">
        <v>6570</v>
      </c>
      <c r="H1603" t="s">
        <v>7476</v>
      </c>
      <c r="I1603" s="1">
        <v>2</v>
      </c>
      <c r="J1603" s="1">
        <v>2</v>
      </c>
      <c r="K1603" t="s">
        <v>6633</v>
      </c>
      <c r="L1603" s="5" t="e">
        <f>VLOOKUP(D:D,[1]Munka2!$A:$B,2,FALSE)</f>
        <v>#N/A</v>
      </c>
      <c r="M1603" s="5">
        <f>_xlfn.IFNA(Táblázat1[[#This Row],[Kész2020]],0)</f>
        <v>0</v>
      </c>
      <c r="N1603" s="5">
        <f>IF(Táblázat1[[#This Row],[Karb./akt.év]]-Táblázat1[[#This Row],[Kész2020_2]]&lt;0,0,Táblázat1[[#This Row],[Karb./akt.év]]-Táblázat1[[#This Row],[Kész2020_2]])</f>
        <v>2</v>
      </c>
    </row>
    <row r="1604" spans="1:14" hidden="1" x14ac:dyDescent="0.25">
      <c r="A1604" s="17" t="s">
        <v>7299</v>
      </c>
      <c r="B1604" s="17" t="s">
        <v>861</v>
      </c>
      <c r="C1604" s="17" t="s">
        <v>1735</v>
      </c>
      <c r="D1604" s="17" t="s">
        <v>2643</v>
      </c>
      <c r="E1604" s="17" t="s">
        <v>4426</v>
      </c>
      <c r="F1604" s="17" t="s">
        <v>4427</v>
      </c>
      <c r="G1604" s="17" t="s">
        <v>5799</v>
      </c>
      <c r="H1604" t="s">
        <v>7476</v>
      </c>
      <c r="I1604" s="1">
        <v>2</v>
      </c>
      <c r="J1604" s="1">
        <v>2</v>
      </c>
      <c r="K1604" t="s">
        <v>6636</v>
      </c>
      <c r="L1604" s="5">
        <f>VLOOKUP(D:D,[1]Munka2!$A:$B,2,FALSE)</f>
        <v>1</v>
      </c>
      <c r="M1604" s="5">
        <f>_xlfn.IFNA(Táblázat1[[#This Row],[Kész2020]],0)</f>
        <v>1</v>
      </c>
      <c r="N1604" s="5">
        <f>IF(Táblázat1[[#This Row],[Karb./akt.év]]-Táblázat1[[#This Row],[Kész2020_2]]&lt;0,0,Táblázat1[[#This Row],[Karb./akt.év]]-Táblázat1[[#This Row],[Kész2020_2]])</f>
        <v>1</v>
      </c>
    </row>
    <row r="1605" spans="1:14" hidden="1" x14ac:dyDescent="0.25">
      <c r="A1605" s="17" t="s">
        <v>7299</v>
      </c>
      <c r="B1605" s="17" t="s">
        <v>1187</v>
      </c>
      <c r="C1605" s="17" t="s">
        <v>1735</v>
      </c>
      <c r="D1605" s="17" t="s">
        <v>2992</v>
      </c>
      <c r="E1605" s="17" t="s">
        <v>4710</v>
      </c>
      <c r="F1605" s="17" t="s">
        <v>4711</v>
      </c>
      <c r="G1605" s="17" t="s">
        <v>6115</v>
      </c>
      <c r="H1605" t="s">
        <v>7476</v>
      </c>
      <c r="I1605" s="1">
        <v>2</v>
      </c>
      <c r="J1605" s="1">
        <v>2</v>
      </c>
      <c r="K1605" t="s">
        <v>6636</v>
      </c>
      <c r="L1605" s="5">
        <f>VLOOKUP(D:D,[1]Munka2!$A:$B,2,FALSE)</f>
        <v>1</v>
      </c>
      <c r="M1605" s="5">
        <f>_xlfn.IFNA(Táblázat1[[#This Row],[Kész2020]],0)</f>
        <v>1</v>
      </c>
      <c r="N1605" s="5">
        <f>IF(Táblázat1[[#This Row],[Karb./akt.év]]-Táblázat1[[#This Row],[Kész2020_2]]&lt;0,0,Táblázat1[[#This Row],[Karb./akt.év]]-Táblázat1[[#This Row],[Kész2020_2]])</f>
        <v>1</v>
      </c>
    </row>
    <row r="1606" spans="1:14" hidden="1" x14ac:dyDescent="0.25">
      <c r="A1606" s="17" t="s">
        <v>7299</v>
      </c>
      <c r="B1606" s="17" t="s">
        <v>6821</v>
      </c>
      <c r="C1606" s="17" t="s">
        <v>1757</v>
      </c>
      <c r="D1606" s="17" t="s">
        <v>6854</v>
      </c>
      <c r="E1606" s="17" t="s">
        <v>3761</v>
      </c>
      <c r="F1606" s="17" t="s">
        <v>3762</v>
      </c>
      <c r="G1606" s="17" t="s">
        <v>6899</v>
      </c>
      <c r="H1606" t="s">
        <v>7476</v>
      </c>
      <c r="I1606" s="1">
        <v>2</v>
      </c>
      <c r="J1606" s="1">
        <v>2</v>
      </c>
      <c r="K1606" t="s">
        <v>7014</v>
      </c>
      <c r="L1606" s="5">
        <f>VLOOKUP(D:D,[1]Munka2!$A:$B,2,FALSE)</f>
        <v>1</v>
      </c>
      <c r="M1606" s="5">
        <f>_xlfn.IFNA(Táblázat1[[#This Row],[Kész2020]],0)</f>
        <v>1</v>
      </c>
      <c r="N1606" s="5">
        <f>IF(Táblázat1[[#This Row],[Karb./akt.év]]-Táblázat1[[#This Row],[Kész2020_2]]&lt;0,0,Táblázat1[[#This Row],[Karb./akt.év]]-Táblázat1[[#This Row],[Kész2020_2]])</f>
        <v>1</v>
      </c>
    </row>
    <row r="1607" spans="1:14" hidden="1" x14ac:dyDescent="0.25">
      <c r="A1607" s="17" t="s">
        <v>7299</v>
      </c>
      <c r="B1607" s="17" t="s">
        <v>6822</v>
      </c>
      <c r="C1607" s="17" t="s">
        <v>1738</v>
      </c>
      <c r="D1607" s="17" t="s">
        <v>6855</v>
      </c>
      <c r="E1607" s="17" t="s">
        <v>6885</v>
      </c>
      <c r="F1607" s="17" t="s">
        <v>6886</v>
      </c>
      <c r="G1607" s="17" t="s">
        <v>7657</v>
      </c>
      <c r="H1607" t="s">
        <v>7476</v>
      </c>
      <c r="I1607" s="1">
        <v>2</v>
      </c>
      <c r="J1607" s="1">
        <v>2</v>
      </c>
      <c r="K1607" t="s">
        <v>7014</v>
      </c>
      <c r="L1607" s="5">
        <f>VLOOKUP(D:D,[1]Munka2!$A:$B,2,FALSE)</f>
        <v>1</v>
      </c>
      <c r="M1607" s="5">
        <f>_xlfn.IFNA(Táblázat1[[#This Row],[Kész2020]],0)</f>
        <v>1</v>
      </c>
      <c r="N1607" s="5">
        <f>IF(Táblázat1[[#This Row],[Karb./akt.év]]-Táblázat1[[#This Row],[Kész2020_2]]&lt;0,0,Táblázat1[[#This Row],[Karb./akt.év]]-Táblázat1[[#This Row],[Kész2020_2]])</f>
        <v>1</v>
      </c>
    </row>
    <row r="1608" spans="1:14" hidden="1" x14ac:dyDescent="0.25">
      <c r="A1608" s="17" t="s">
        <v>7299</v>
      </c>
      <c r="B1608" s="17" t="s">
        <v>6825</v>
      </c>
      <c r="C1608" s="17" t="s">
        <v>1738</v>
      </c>
      <c r="D1608" s="17" t="s">
        <v>6858</v>
      </c>
      <c r="E1608" s="17" t="s">
        <v>6891</v>
      </c>
      <c r="F1608" s="17" t="s">
        <v>6892</v>
      </c>
      <c r="G1608" s="17" t="s">
        <v>6902</v>
      </c>
      <c r="H1608" t="s">
        <v>7476</v>
      </c>
      <c r="I1608" s="1">
        <v>2</v>
      </c>
      <c r="J1608" s="1">
        <v>2</v>
      </c>
      <c r="K1608" t="s">
        <v>7014</v>
      </c>
      <c r="L1608" s="5">
        <f>VLOOKUP(D:D,[1]Munka2!$A:$B,2,FALSE)</f>
        <v>1</v>
      </c>
      <c r="M1608" s="5">
        <f>_xlfn.IFNA(Táblázat1[[#This Row],[Kész2020]],0)</f>
        <v>1</v>
      </c>
      <c r="N1608" s="5">
        <f>IF(Táblázat1[[#This Row],[Karb./akt.év]]-Táblázat1[[#This Row],[Kész2020_2]]&lt;0,0,Táblázat1[[#This Row],[Karb./akt.év]]-Táblázat1[[#This Row],[Kész2020_2]])</f>
        <v>1</v>
      </c>
    </row>
    <row r="1609" spans="1:14" hidden="1" x14ac:dyDescent="0.25">
      <c r="A1609" s="17" t="s">
        <v>7299</v>
      </c>
      <c r="B1609" s="17" t="s">
        <v>6826</v>
      </c>
      <c r="C1609" s="17" t="s">
        <v>1738</v>
      </c>
      <c r="D1609" s="17" t="s">
        <v>6859</v>
      </c>
      <c r="E1609" s="17" t="s">
        <v>6893</v>
      </c>
      <c r="F1609" s="17" t="s">
        <v>6894</v>
      </c>
      <c r="G1609" s="17" t="s">
        <v>6903</v>
      </c>
      <c r="H1609" t="s">
        <v>7476</v>
      </c>
      <c r="I1609" s="1">
        <v>2</v>
      </c>
      <c r="J1609" s="1">
        <v>2</v>
      </c>
      <c r="K1609" t="s">
        <v>7014</v>
      </c>
      <c r="L1609" s="5">
        <f>VLOOKUP(D:D,[1]Munka2!$A:$B,2,FALSE)</f>
        <v>1</v>
      </c>
      <c r="M1609" s="5">
        <f>_xlfn.IFNA(Táblázat1[[#This Row],[Kész2020]],0)</f>
        <v>1</v>
      </c>
      <c r="N1609" s="5">
        <f>IF(Táblázat1[[#This Row],[Karb./akt.év]]-Táblázat1[[#This Row],[Kész2020_2]]&lt;0,0,Táblázat1[[#This Row],[Karb./akt.év]]-Táblázat1[[#This Row],[Kész2020_2]])</f>
        <v>1</v>
      </c>
    </row>
    <row r="1610" spans="1:14" hidden="1" x14ac:dyDescent="0.25">
      <c r="A1610" s="17" t="s">
        <v>7299</v>
      </c>
      <c r="B1610" s="17" t="s">
        <v>6823</v>
      </c>
      <c r="C1610" s="17" t="s">
        <v>1757</v>
      </c>
      <c r="D1610" s="17" t="s">
        <v>6856</v>
      </c>
      <c r="E1610" s="17" t="s">
        <v>6887</v>
      </c>
      <c r="F1610" s="17" t="s">
        <v>6888</v>
      </c>
      <c r="G1610" s="17" t="s">
        <v>6900</v>
      </c>
      <c r="H1610" t="s">
        <v>7476</v>
      </c>
      <c r="I1610" s="1">
        <v>2</v>
      </c>
      <c r="J1610" s="1">
        <v>2</v>
      </c>
      <c r="K1610" t="s">
        <v>6643</v>
      </c>
      <c r="L1610" s="5">
        <f>VLOOKUP(D:D,[1]Munka2!$A:$B,2,FALSE)</f>
        <v>1</v>
      </c>
      <c r="M1610" s="5">
        <f>_xlfn.IFNA(Táblázat1[[#This Row],[Kész2020]],0)</f>
        <v>1</v>
      </c>
      <c r="N1610" s="5">
        <f>IF(Táblázat1[[#This Row],[Karb./akt.év]]-Táblázat1[[#This Row],[Kész2020_2]]&lt;0,0,Táblázat1[[#This Row],[Karb./akt.év]]-Táblázat1[[#This Row],[Kész2020_2]])</f>
        <v>1</v>
      </c>
    </row>
    <row r="1611" spans="1:14" x14ac:dyDescent="0.25">
      <c r="A1611" s="17" t="s">
        <v>7299</v>
      </c>
      <c r="B1611" s="17" t="s">
        <v>7758</v>
      </c>
      <c r="C1611" s="17" t="s">
        <v>1746</v>
      </c>
      <c r="D1611" s="17" t="s">
        <v>7861</v>
      </c>
      <c r="E1611" s="17" t="s">
        <v>7983</v>
      </c>
      <c r="F1611" s="17" t="s">
        <v>7984</v>
      </c>
      <c r="G1611" s="17" t="s">
        <v>8078</v>
      </c>
      <c r="H1611" t="s">
        <v>7476</v>
      </c>
      <c r="I1611" s="1">
        <v>2</v>
      </c>
      <c r="J1611" s="1">
        <v>2</v>
      </c>
      <c r="K1611" t="s">
        <v>6643</v>
      </c>
      <c r="L1611" s="5" t="e">
        <f>VLOOKUP(D:D,[1]Munka2!$A:$B,2,FALSE)</f>
        <v>#N/A</v>
      </c>
      <c r="M1611" s="5">
        <f>_xlfn.IFNA(Táblázat1[[#This Row],[Kész2020]],0)</f>
        <v>0</v>
      </c>
      <c r="N1611" s="5">
        <f>IF(Táblázat1[[#This Row],[Karb./akt.év]]-Táblázat1[[#This Row],[Kész2020_2]]&lt;0,0,Táblázat1[[#This Row],[Karb./akt.év]]-Táblázat1[[#This Row],[Kész2020_2]])</f>
        <v>2</v>
      </c>
    </row>
    <row r="1612" spans="1:14" x14ac:dyDescent="0.25">
      <c r="A1612" s="17" t="s">
        <v>7299</v>
      </c>
      <c r="B1612" s="17" t="s">
        <v>7289</v>
      </c>
      <c r="C1612" s="17" t="s">
        <v>1735</v>
      </c>
      <c r="D1612" s="17" t="s">
        <v>7319</v>
      </c>
      <c r="E1612" s="17" t="s">
        <v>3957</v>
      </c>
      <c r="F1612" s="17" t="s">
        <v>3958</v>
      </c>
      <c r="G1612" s="17" t="s">
        <v>6898</v>
      </c>
      <c r="H1612" t="s">
        <v>7476</v>
      </c>
      <c r="I1612" s="1">
        <v>2</v>
      </c>
      <c r="J1612" s="1">
        <v>2</v>
      </c>
      <c r="K1612" t="s">
        <v>7014</v>
      </c>
      <c r="L1612" s="5" t="e">
        <f>VLOOKUP(D:D,[1]Munka2!$A:$B,2,FALSE)</f>
        <v>#N/A</v>
      </c>
      <c r="M1612" s="5">
        <f>_xlfn.IFNA(Táblázat1[[#This Row],[Kész2020]],0)</f>
        <v>0</v>
      </c>
      <c r="N1612" s="5">
        <f>IF(Táblázat1[[#This Row],[Karb./akt.év]]-Táblázat1[[#This Row],[Kész2020_2]]&lt;0,0,Táblázat1[[#This Row],[Karb./akt.év]]-Táblázat1[[#This Row],[Kész2020_2]])</f>
        <v>2</v>
      </c>
    </row>
    <row r="1613" spans="1:14" hidden="1" x14ac:dyDescent="0.25">
      <c r="A1613" s="17" t="s">
        <v>7299</v>
      </c>
      <c r="B1613" s="17" t="s">
        <v>7451</v>
      </c>
      <c r="C1613" s="17" t="s">
        <v>1735</v>
      </c>
      <c r="D1613" s="17" t="s">
        <v>7460</v>
      </c>
      <c r="E1613" s="17" t="s">
        <v>7469</v>
      </c>
      <c r="F1613" s="17" t="s">
        <v>7470</v>
      </c>
      <c r="G1613" s="17" t="s">
        <v>7472</v>
      </c>
      <c r="H1613" t="s">
        <v>7476</v>
      </c>
      <c r="I1613" s="1">
        <v>2</v>
      </c>
      <c r="J1613" s="1">
        <v>2</v>
      </c>
      <c r="K1613" t="s">
        <v>7014</v>
      </c>
      <c r="L1613" s="5">
        <f>VLOOKUP(D:D,[1]Munka2!$A:$B,2,FALSE)</f>
        <v>1</v>
      </c>
      <c r="M1613" s="5">
        <f>_xlfn.IFNA(Táblázat1[[#This Row],[Kész2020]],0)</f>
        <v>1</v>
      </c>
      <c r="N1613" s="5">
        <f>IF(Táblázat1[[#This Row],[Karb./akt.év]]-Táblázat1[[#This Row],[Kész2020_2]]&lt;0,0,Táblázat1[[#This Row],[Karb./akt.év]]-Táblázat1[[#This Row],[Kész2020_2]])</f>
        <v>1</v>
      </c>
    </row>
    <row r="1614" spans="1:14" hidden="1" x14ac:dyDescent="0.25">
      <c r="A1614" s="17" t="s">
        <v>7299</v>
      </c>
      <c r="B1614" s="17" t="s">
        <v>42</v>
      </c>
      <c r="C1614" s="17" t="s">
        <v>1737</v>
      </c>
      <c r="D1614" s="17" t="s">
        <v>1780</v>
      </c>
      <c r="E1614" s="17" t="s">
        <v>3617</v>
      </c>
      <c r="F1614" s="17" t="s">
        <v>3618</v>
      </c>
      <c r="G1614" s="17" t="s">
        <v>5019</v>
      </c>
      <c r="H1614" t="s">
        <v>7476</v>
      </c>
      <c r="I1614" s="1">
        <v>2</v>
      </c>
      <c r="J1614" s="1">
        <v>2</v>
      </c>
      <c r="K1614" t="s">
        <v>6634</v>
      </c>
      <c r="L1614" s="5">
        <f>VLOOKUP(D:D,[1]Munka2!$A:$B,2,FALSE)</f>
        <v>1</v>
      </c>
      <c r="M1614" s="5">
        <f>_xlfn.IFNA(Táblázat1[[#This Row],[Kész2020]],0)</f>
        <v>1</v>
      </c>
      <c r="N1614" s="5">
        <f>IF(Táblázat1[[#This Row],[Karb./akt.év]]-Táblázat1[[#This Row],[Kész2020_2]]&lt;0,0,Táblázat1[[#This Row],[Karb./akt.év]]-Táblázat1[[#This Row],[Kész2020_2]])</f>
        <v>1</v>
      </c>
    </row>
    <row r="1615" spans="1:14" hidden="1" x14ac:dyDescent="0.25">
      <c r="A1615" s="17" t="s">
        <v>7299</v>
      </c>
      <c r="B1615" s="17" t="s">
        <v>7567</v>
      </c>
      <c r="C1615" s="17" t="s">
        <v>1737</v>
      </c>
      <c r="D1615" s="17" t="s">
        <v>3050</v>
      </c>
      <c r="E1615" s="17" t="s">
        <v>3685</v>
      </c>
      <c r="F1615" s="17" t="s">
        <v>3686</v>
      </c>
      <c r="G1615" s="17" t="s">
        <v>5070</v>
      </c>
      <c r="H1615" t="s">
        <v>7476</v>
      </c>
      <c r="I1615" s="1">
        <v>2</v>
      </c>
      <c r="J1615" s="1">
        <v>2</v>
      </c>
      <c r="K1615" t="s">
        <v>6634</v>
      </c>
      <c r="L1615" s="5">
        <f>VLOOKUP(D:D,[1]Munka2!$A:$B,2,FALSE)</f>
        <v>1</v>
      </c>
      <c r="M1615" s="5">
        <f>_xlfn.IFNA(Táblázat1[[#This Row],[Kész2020]],0)</f>
        <v>1</v>
      </c>
      <c r="N1615" s="5">
        <f>IF(Táblázat1[[#This Row],[Karb./akt.év]]-Táblázat1[[#This Row],[Kész2020_2]]&lt;0,0,Táblázat1[[#This Row],[Karb./akt.év]]-Táblázat1[[#This Row],[Kész2020_2]])</f>
        <v>1</v>
      </c>
    </row>
    <row r="1616" spans="1:14" x14ac:dyDescent="0.25">
      <c r="A1616" s="17" t="s">
        <v>7299</v>
      </c>
      <c r="B1616" s="17" t="s">
        <v>7759</v>
      </c>
      <c r="C1616" s="17" t="s">
        <v>1735</v>
      </c>
      <c r="D1616" s="17" t="s">
        <v>7862</v>
      </c>
      <c r="E1616" s="17" t="s">
        <v>3775</v>
      </c>
      <c r="F1616" s="17" t="s">
        <v>3776</v>
      </c>
      <c r="G1616" s="17" t="s">
        <v>8079</v>
      </c>
      <c r="H1616" t="s">
        <v>7476</v>
      </c>
      <c r="I1616" s="1">
        <v>2</v>
      </c>
      <c r="J1616" s="1">
        <v>2</v>
      </c>
      <c r="K1616" t="s">
        <v>6634</v>
      </c>
      <c r="L1616" s="5" t="e">
        <f>VLOOKUP(D:D,[1]Munka2!$A:$B,2,FALSE)</f>
        <v>#N/A</v>
      </c>
      <c r="M1616" s="5">
        <f>_xlfn.IFNA(Táblázat1[[#This Row],[Kész2020]],0)</f>
        <v>0</v>
      </c>
      <c r="N1616" s="5">
        <f>IF(Táblázat1[[#This Row],[Karb./akt.év]]-Táblázat1[[#This Row],[Kész2020_2]]&lt;0,0,Táblázat1[[#This Row],[Karb./akt.év]]-Táblázat1[[#This Row],[Kész2020_2]])</f>
        <v>2</v>
      </c>
    </row>
    <row r="1617" spans="1:14" hidden="1" x14ac:dyDescent="0.25">
      <c r="A1617" s="17" t="s">
        <v>7299</v>
      </c>
      <c r="B1617" s="17" t="s">
        <v>7360</v>
      </c>
      <c r="C1617" s="17" t="s">
        <v>1737</v>
      </c>
      <c r="D1617" s="17" t="s">
        <v>2165</v>
      </c>
      <c r="E1617" s="17" t="s">
        <v>3786</v>
      </c>
      <c r="F1617" s="17" t="s">
        <v>3787</v>
      </c>
      <c r="G1617" s="17" t="s">
        <v>5146</v>
      </c>
      <c r="H1617" t="s">
        <v>7476</v>
      </c>
      <c r="I1617" s="1">
        <v>2</v>
      </c>
      <c r="J1617" s="1">
        <v>2</v>
      </c>
      <c r="K1617" t="s">
        <v>6634</v>
      </c>
      <c r="L1617" s="5">
        <f>VLOOKUP(D:D,[1]Munka2!$A:$B,2,FALSE)</f>
        <v>1</v>
      </c>
      <c r="M1617" s="5">
        <f>_xlfn.IFNA(Táblázat1[[#This Row],[Kész2020]],0)</f>
        <v>1</v>
      </c>
      <c r="N1617" s="5">
        <f>IF(Táblázat1[[#This Row],[Karb./akt.év]]-Táblázat1[[#This Row],[Kész2020_2]]&lt;0,0,Táblázat1[[#This Row],[Karb./akt.év]]-Táblázat1[[#This Row],[Kész2020_2]])</f>
        <v>1</v>
      </c>
    </row>
    <row r="1618" spans="1:14" x14ac:dyDescent="0.25">
      <c r="A1618" s="17" t="s">
        <v>7299</v>
      </c>
      <c r="B1618" s="17" t="s">
        <v>7760</v>
      </c>
      <c r="C1618" s="17" t="s">
        <v>1737</v>
      </c>
      <c r="D1618" s="17" t="s">
        <v>7863</v>
      </c>
      <c r="E1618" s="17" t="s">
        <v>3743</v>
      </c>
      <c r="F1618" s="17" t="s">
        <v>3744</v>
      </c>
      <c r="G1618" s="17" t="s">
        <v>8080</v>
      </c>
      <c r="H1618" t="s">
        <v>7476</v>
      </c>
      <c r="I1618" s="1">
        <v>2</v>
      </c>
      <c r="J1618" s="1">
        <v>2</v>
      </c>
      <c r="K1618" t="s">
        <v>8102</v>
      </c>
      <c r="L1618" s="5" t="e">
        <f>VLOOKUP(D:D,[1]Munka2!$A:$B,2,FALSE)</f>
        <v>#N/A</v>
      </c>
      <c r="M1618" s="5">
        <f>_xlfn.IFNA(Táblázat1[[#This Row],[Kész2020]],0)</f>
        <v>0</v>
      </c>
      <c r="N1618" s="5">
        <f>IF(Táblázat1[[#This Row],[Karb./akt.év]]-Táblázat1[[#This Row],[Kész2020_2]]&lt;0,0,Táblázat1[[#This Row],[Karb./akt.év]]-Táblázat1[[#This Row],[Kész2020_2]])</f>
        <v>2</v>
      </c>
    </row>
    <row r="1619" spans="1:14" hidden="1" x14ac:dyDescent="0.25">
      <c r="A1619" s="17" t="s">
        <v>7299</v>
      </c>
      <c r="B1619" s="17" t="s">
        <v>820</v>
      </c>
      <c r="C1619" s="17" t="s">
        <v>1738</v>
      </c>
      <c r="D1619" s="17" t="s">
        <v>2597</v>
      </c>
      <c r="E1619" s="17" t="s">
        <v>4390</v>
      </c>
      <c r="F1619" s="17" t="s">
        <v>4391</v>
      </c>
      <c r="G1619" s="17" t="s">
        <v>5759</v>
      </c>
      <c r="H1619" t="s">
        <v>7476</v>
      </c>
      <c r="I1619" s="1">
        <v>2</v>
      </c>
      <c r="J1619" s="1">
        <v>2</v>
      </c>
      <c r="K1619" t="s">
        <v>6634</v>
      </c>
      <c r="L1619" s="5">
        <f>VLOOKUP(D:D,[1]Munka2!$A:$B,2,FALSE)</f>
        <v>1</v>
      </c>
      <c r="M1619" s="5">
        <f>_xlfn.IFNA(Táblázat1[[#This Row],[Kész2020]],0)</f>
        <v>1</v>
      </c>
      <c r="N1619" s="5">
        <f>IF(Táblázat1[[#This Row],[Karb./akt.év]]-Táblázat1[[#This Row],[Kész2020_2]]&lt;0,0,Táblázat1[[#This Row],[Karb./akt.év]]-Táblázat1[[#This Row],[Kész2020_2]])</f>
        <v>1</v>
      </c>
    </row>
    <row r="1620" spans="1:14" hidden="1" x14ac:dyDescent="0.25">
      <c r="A1620" s="17" t="s">
        <v>7299</v>
      </c>
      <c r="B1620" s="17" t="s">
        <v>1671</v>
      </c>
      <c r="C1620" s="17" t="s">
        <v>1738</v>
      </c>
      <c r="D1620" s="17" t="s">
        <v>3528</v>
      </c>
      <c r="E1620" s="17" t="s">
        <v>4979</v>
      </c>
      <c r="F1620" s="17" t="s">
        <v>4980</v>
      </c>
      <c r="G1620" s="17" t="s">
        <v>6567</v>
      </c>
      <c r="H1620" t="s">
        <v>7476</v>
      </c>
      <c r="I1620" s="1">
        <v>2</v>
      </c>
      <c r="J1620" s="1">
        <v>2</v>
      </c>
      <c r="K1620" t="s">
        <v>6634</v>
      </c>
      <c r="L1620" s="5">
        <f>VLOOKUP(D:D,[1]Munka2!$A:$B,2,FALSE)</f>
        <v>1</v>
      </c>
      <c r="M1620" s="5">
        <f>_xlfn.IFNA(Táblázat1[[#This Row],[Kész2020]],0)</f>
        <v>1</v>
      </c>
      <c r="N1620" s="5">
        <f>IF(Táblázat1[[#This Row],[Karb./akt.év]]-Táblázat1[[#This Row],[Kész2020_2]]&lt;0,0,Táblázat1[[#This Row],[Karb./akt.év]]-Táblázat1[[#This Row],[Kész2020_2]])</f>
        <v>1</v>
      </c>
    </row>
    <row r="1621" spans="1:14" hidden="1" x14ac:dyDescent="0.25">
      <c r="A1621" s="17" t="s">
        <v>7299</v>
      </c>
      <c r="B1621" s="17" t="s">
        <v>832</v>
      </c>
      <c r="C1621" s="17" t="s">
        <v>1735</v>
      </c>
      <c r="D1621" s="17" t="s">
        <v>2328</v>
      </c>
      <c r="E1621" s="17" t="s">
        <v>4401</v>
      </c>
      <c r="F1621" s="17" t="s">
        <v>4402</v>
      </c>
      <c r="G1621" s="17" t="s">
        <v>5772</v>
      </c>
      <c r="H1621" t="s">
        <v>7476</v>
      </c>
      <c r="I1621" s="1">
        <v>2</v>
      </c>
      <c r="J1621" s="1">
        <v>2</v>
      </c>
      <c r="K1621" t="s">
        <v>6634</v>
      </c>
      <c r="L1621" s="5">
        <f>VLOOKUP(D:D,[1]Munka2!$A:$B,2,FALSE)</f>
        <v>1</v>
      </c>
      <c r="M1621" s="5">
        <f>_xlfn.IFNA(Táblázat1[[#This Row],[Kész2020]],0)</f>
        <v>1</v>
      </c>
      <c r="N1621" s="5">
        <f>IF(Táblázat1[[#This Row],[Karb./akt.év]]-Táblázat1[[#This Row],[Kész2020_2]]&lt;0,0,Táblázat1[[#This Row],[Karb./akt.év]]-Táblázat1[[#This Row],[Kész2020_2]])</f>
        <v>1</v>
      </c>
    </row>
    <row r="1622" spans="1:14" hidden="1" x14ac:dyDescent="0.25">
      <c r="A1622" s="17" t="s">
        <v>7299</v>
      </c>
      <c r="B1622" s="17" t="s">
        <v>1225</v>
      </c>
      <c r="C1622" s="17" t="s">
        <v>1738</v>
      </c>
      <c r="D1622" s="17" t="s">
        <v>3032</v>
      </c>
      <c r="E1622" s="17" t="s">
        <v>4727</v>
      </c>
      <c r="F1622" s="17" t="s">
        <v>4728</v>
      </c>
      <c r="G1622" s="17" t="s">
        <v>6154</v>
      </c>
      <c r="H1622" t="s">
        <v>7476</v>
      </c>
      <c r="I1622" s="1">
        <v>2</v>
      </c>
      <c r="J1622" s="1">
        <v>2</v>
      </c>
      <c r="K1622" t="s">
        <v>6634</v>
      </c>
      <c r="L1622" s="5">
        <f>VLOOKUP(D:D,[1]Munka2!$A:$B,2,FALSE)</f>
        <v>1</v>
      </c>
      <c r="M1622" s="5">
        <f>_xlfn.IFNA(Táblázat1[[#This Row],[Kész2020]],0)</f>
        <v>1</v>
      </c>
      <c r="N1622" s="5">
        <f>IF(Táblázat1[[#This Row],[Karb./akt.év]]-Táblázat1[[#This Row],[Kész2020_2]]&lt;0,0,Táblázat1[[#This Row],[Karb./akt.év]]-Táblázat1[[#This Row],[Kész2020_2]])</f>
        <v>1</v>
      </c>
    </row>
    <row r="1623" spans="1:14" x14ac:dyDescent="0.25">
      <c r="A1623" s="17" t="s">
        <v>7299</v>
      </c>
      <c r="B1623" s="17" t="s">
        <v>48</v>
      </c>
      <c r="C1623" s="17" t="s">
        <v>1737</v>
      </c>
      <c r="D1623" s="17" t="s">
        <v>1787</v>
      </c>
      <c r="E1623" s="17" t="s">
        <v>3627</v>
      </c>
      <c r="F1623" s="17" t="s">
        <v>3628</v>
      </c>
      <c r="G1623" s="17" t="s">
        <v>5023</v>
      </c>
      <c r="H1623" t="s">
        <v>7476</v>
      </c>
      <c r="I1623" s="1">
        <v>2</v>
      </c>
      <c r="J1623" s="1">
        <v>2</v>
      </c>
      <c r="K1623" t="s">
        <v>6642</v>
      </c>
      <c r="L1623" s="5" t="e">
        <f>VLOOKUP(D:D,[1]Munka2!$A:$B,2,FALSE)</f>
        <v>#N/A</v>
      </c>
      <c r="M1623" s="5">
        <f>_xlfn.IFNA(Táblázat1[[#This Row],[Kész2020]],0)</f>
        <v>0</v>
      </c>
      <c r="N1623" s="5">
        <f>IF(Táblázat1[[#This Row],[Karb./akt.év]]-Táblázat1[[#This Row],[Kész2020_2]]&lt;0,0,Táblázat1[[#This Row],[Karb./akt.év]]-Táblázat1[[#This Row],[Kész2020_2]])</f>
        <v>2</v>
      </c>
    </row>
    <row r="1624" spans="1:14" hidden="1" x14ac:dyDescent="0.25">
      <c r="A1624" s="17" t="s">
        <v>7299</v>
      </c>
      <c r="B1624" s="17" t="s">
        <v>1530</v>
      </c>
      <c r="C1624" s="17" t="s">
        <v>1737</v>
      </c>
      <c r="D1624" s="17" t="s">
        <v>3374</v>
      </c>
      <c r="E1624" s="17" t="s">
        <v>4930</v>
      </c>
      <c r="F1624" s="17" t="s">
        <v>4931</v>
      </c>
      <c r="G1624" s="17" t="s">
        <v>6438</v>
      </c>
      <c r="H1624" t="s">
        <v>7476</v>
      </c>
      <c r="I1624" s="1">
        <v>2</v>
      </c>
      <c r="J1624" s="1">
        <v>2</v>
      </c>
      <c r="K1624" t="s">
        <v>6634</v>
      </c>
      <c r="L1624" s="5">
        <f>VLOOKUP(D:D,[1]Munka2!$A:$B,2,FALSE)</f>
        <v>1</v>
      </c>
      <c r="M1624" s="5">
        <f>_xlfn.IFNA(Táblázat1[[#This Row],[Kész2020]],0)</f>
        <v>1</v>
      </c>
      <c r="N1624" s="5">
        <f>IF(Táblázat1[[#This Row],[Karb./akt.év]]-Táblázat1[[#This Row],[Kész2020_2]]&lt;0,0,Táblázat1[[#This Row],[Karb./akt.év]]-Táblázat1[[#This Row],[Kész2020_2]])</f>
        <v>1</v>
      </c>
    </row>
    <row r="1625" spans="1:14" hidden="1" x14ac:dyDescent="0.25">
      <c r="A1625" s="17" t="s">
        <v>7299</v>
      </c>
      <c r="B1625" s="17" t="s">
        <v>1247</v>
      </c>
      <c r="C1625" s="17" t="s">
        <v>1737</v>
      </c>
      <c r="D1625" s="17" t="s">
        <v>3058</v>
      </c>
      <c r="E1625" s="17" t="s">
        <v>3631</v>
      </c>
      <c r="F1625" s="17" t="s">
        <v>3632</v>
      </c>
      <c r="G1625" s="17" t="s">
        <v>7658</v>
      </c>
      <c r="H1625" t="s">
        <v>7476</v>
      </c>
      <c r="I1625" s="1">
        <v>2</v>
      </c>
      <c r="J1625" s="1">
        <v>2</v>
      </c>
      <c r="K1625" t="s">
        <v>6634</v>
      </c>
      <c r="L1625" s="5">
        <f>VLOOKUP(D:D,[1]Munka2!$A:$B,2,FALSE)</f>
        <v>1</v>
      </c>
      <c r="M1625" s="5">
        <f>_xlfn.IFNA(Táblázat1[[#This Row],[Kész2020]],0)</f>
        <v>1</v>
      </c>
      <c r="N1625" s="5">
        <f>IF(Táblázat1[[#This Row],[Karb./akt.év]]-Táblázat1[[#This Row],[Kész2020_2]]&lt;0,0,Táblázat1[[#This Row],[Karb./akt.év]]-Táblázat1[[#This Row],[Kész2020_2]])</f>
        <v>1</v>
      </c>
    </row>
    <row r="1626" spans="1:14" hidden="1" x14ac:dyDescent="0.25">
      <c r="A1626" s="17" t="s">
        <v>7299</v>
      </c>
      <c r="B1626" s="17" t="s">
        <v>837</v>
      </c>
      <c r="C1626" s="17" t="s">
        <v>1759</v>
      </c>
      <c r="D1626" s="17" t="s">
        <v>2614</v>
      </c>
      <c r="E1626" s="17" t="s">
        <v>4403</v>
      </c>
      <c r="F1626" s="17" t="s">
        <v>4404</v>
      </c>
      <c r="G1626" s="17" t="s">
        <v>5777</v>
      </c>
      <c r="H1626" t="s">
        <v>7476</v>
      </c>
      <c r="I1626" s="1">
        <v>2</v>
      </c>
      <c r="J1626" s="1">
        <v>2</v>
      </c>
      <c r="K1626" t="s">
        <v>6634</v>
      </c>
      <c r="L1626" s="5">
        <f>VLOOKUP(D:D,[1]Munka2!$A:$B,2,FALSE)</f>
        <v>1</v>
      </c>
      <c r="M1626" s="5">
        <f>_xlfn.IFNA(Táblázat1[[#This Row],[Kész2020]],0)</f>
        <v>1</v>
      </c>
      <c r="N1626" s="5">
        <f>IF(Táblázat1[[#This Row],[Karb./akt.év]]-Táblázat1[[#This Row],[Kész2020_2]]&lt;0,0,Táblázat1[[#This Row],[Karb./akt.év]]-Táblázat1[[#This Row],[Kész2020_2]])</f>
        <v>1</v>
      </c>
    </row>
    <row r="1627" spans="1:14" hidden="1" x14ac:dyDescent="0.25">
      <c r="A1627" s="17" t="s">
        <v>7299</v>
      </c>
      <c r="B1627" s="17" t="s">
        <v>6692</v>
      </c>
      <c r="C1627" s="17" t="s">
        <v>1737</v>
      </c>
      <c r="D1627" s="17" t="s">
        <v>6693</v>
      </c>
      <c r="E1627" s="17" t="s">
        <v>6694</v>
      </c>
      <c r="F1627" s="17" t="s">
        <v>3917</v>
      </c>
      <c r="G1627" s="17" t="s">
        <v>6695</v>
      </c>
      <c r="H1627" t="s">
        <v>7476</v>
      </c>
      <c r="I1627" s="1">
        <v>2</v>
      </c>
      <c r="J1627" s="1">
        <v>2</v>
      </c>
      <c r="K1627" t="s">
        <v>6639</v>
      </c>
      <c r="L1627" s="5">
        <f>VLOOKUP(D:D,[1]Munka2!$A:$B,2,FALSE)</f>
        <v>1</v>
      </c>
      <c r="M1627" s="5">
        <f>_xlfn.IFNA(Táblázat1[[#This Row],[Kész2020]],0)</f>
        <v>1</v>
      </c>
      <c r="N1627" s="5">
        <f>IF(Táblázat1[[#This Row],[Karb./akt.év]]-Táblázat1[[#This Row],[Kész2020_2]]&lt;0,0,Táblázat1[[#This Row],[Karb./akt.év]]-Táblázat1[[#This Row],[Kész2020_2]])</f>
        <v>1</v>
      </c>
    </row>
    <row r="1628" spans="1:14" hidden="1" x14ac:dyDescent="0.25">
      <c r="A1628" s="17" t="s">
        <v>7299</v>
      </c>
      <c r="B1628" s="17" t="s">
        <v>7050</v>
      </c>
      <c r="C1628" s="17" t="s">
        <v>1757</v>
      </c>
      <c r="D1628" s="17" t="s">
        <v>7087</v>
      </c>
      <c r="E1628" s="17" t="s">
        <v>3623</v>
      </c>
      <c r="F1628" s="17" t="s">
        <v>3624</v>
      </c>
      <c r="G1628" s="17" t="s">
        <v>7115</v>
      </c>
      <c r="H1628" t="s">
        <v>7476</v>
      </c>
      <c r="I1628" s="1">
        <v>2</v>
      </c>
      <c r="J1628" s="1">
        <v>2</v>
      </c>
      <c r="K1628" t="s">
        <v>6639</v>
      </c>
      <c r="L1628" s="5">
        <f>VLOOKUP(D:D,[1]Munka2!$A:$B,2,FALSE)</f>
        <v>1</v>
      </c>
      <c r="M1628" s="5">
        <f>_xlfn.IFNA(Táblázat1[[#This Row],[Kész2020]],0)</f>
        <v>1</v>
      </c>
      <c r="N1628" s="5">
        <f>IF(Táblázat1[[#This Row],[Karb./akt.év]]-Táblázat1[[#This Row],[Kész2020_2]]&lt;0,0,Táblázat1[[#This Row],[Karb./akt.év]]-Táblázat1[[#This Row],[Kész2020_2]])</f>
        <v>1</v>
      </c>
    </row>
    <row r="1629" spans="1:14" hidden="1" x14ac:dyDescent="0.25">
      <c r="A1629" s="17" t="s">
        <v>7299</v>
      </c>
      <c r="B1629" s="17" t="s">
        <v>1231</v>
      </c>
      <c r="C1629" s="17" t="s">
        <v>1735</v>
      </c>
      <c r="D1629" s="17" t="s">
        <v>3040</v>
      </c>
      <c r="E1629" s="17" t="s">
        <v>4378</v>
      </c>
      <c r="F1629" s="17" t="s">
        <v>4379</v>
      </c>
      <c r="G1629" s="17" t="s">
        <v>7659</v>
      </c>
      <c r="H1629" t="s">
        <v>7476</v>
      </c>
      <c r="I1629" s="1">
        <v>2</v>
      </c>
      <c r="J1629" s="1">
        <v>2</v>
      </c>
      <c r="K1629" t="s">
        <v>6639</v>
      </c>
      <c r="L1629" s="5">
        <f>VLOOKUP(D:D,[1]Munka2!$A:$B,2,FALSE)</f>
        <v>1</v>
      </c>
      <c r="M1629" s="5">
        <f>_xlfn.IFNA(Táblázat1[[#This Row],[Kész2020]],0)</f>
        <v>1</v>
      </c>
      <c r="N1629" s="5">
        <f>IF(Táblázat1[[#This Row],[Karb./akt.év]]-Táblázat1[[#This Row],[Kész2020_2]]&lt;0,0,Táblázat1[[#This Row],[Karb./akt.év]]-Táblázat1[[#This Row],[Kész2020_2]])</f>
        <v>1</v>
      </c>
    </row>
    <row r="1630" spans="1:14" hidden="1" x14ac:dyDescent="0.25">
      <c r="A1630" s="17" t="s">
        <v>7299</v>
      </c>
      <c r="B1630" s="17" t="s">
        <v>1238</v>
      </c>
      <c r="C1630" s="17" t="s">
        <v>1735</v>
      </c>
      <c r="D1630" s="17" t="s">
        <v>3047</v>
      </c>
      <c r="E1630" s="17" t="s">
        <v>4734</v>
      </c>
      <c r="F1630" s="17" t="s">
        <v>4735</v>
      </c>
      <c r="G1630" s="17" t="s">
        <v>6166</v>
      </c>
      <c r="H1630" t="s">
        <v>7476</v>
      </c>
      <c r="I1630" s="1">
        <v>2</v>
      </c>
      <c r="J1630" s="1">
        <v>2</v>
      </c>
      <c r="K1630" t="s">
        <v>6639</v>
      </c>
      <c r="L1630" s="5">
        <f>VLOOKUP(D:D,[1]Munka2!$A:$B,2,FALSE)</f>
        <v>1</v>
      </c>
      <c r="M1630" s="5">
        <f>_xlfn.IFNA(Táblázat1[[#This Row],[Kész2020]],0)</f>
        <v>1</v>
      </c>
      <c r="N1630" s="5">
        <f>IF(Táblázat1[[#This Row],[Karb./akt.év]]-Táblázat1[[#This Row],[Kész2020_2]]&lt;0,0,Táblázat1[[#This Row],[Karb./akt.év]]-Táblázat1[[#This Row],[Kész2020_2]])</f>
        <v>1</v>
      </c>
    </row>
    <row r="1631" spans="1:14" x14ac:dyDescent="0.25">
      <c r="A1631" s="17" t="s">
        <v>7299</v>
      </c>
      <c r="B1631" s="17" t="s">
        <v>291</v>
      </c>
      <c r="C1631" s="17" t="s">
        <v>1735</v>
      </c>
      <c r="D1631" s="17" t="s">
        <v>2040</v>
      </c>
      <c r="E1631" s="17" t="s">
        <v>3911</v>
      </c>
      <c r="F1631" s="17" t="s">
        <v>3912</v>
      </c>
      <c r="G1631" s="17" t="s">
        <v>7660</v>
      </c>
      <c r="H1631" t="s">
        <v>7476</v>
      </c>
      <c r="I1631" s="1">
        <v>2</v>
      </c>
      <c r="J1631" s="1">
        <v>2</v>
      </c>
      <c r="K1631" t="s">
        <v>6639</v>
      </c>
      <c r="L1631" s="5" t="e">
        <f>VLOOKUP(D:D,[1]Munka2!$A:$B,2,FALSE)</f>
        <v>#N/A</v>
      </c>
      <c r="M1631" s="5">
        <f>_xlfn.IFNA(Táblázat1[[#This Row],[Kész2020]],0)</f>
        <v>0</v>
      </c>
      <c r="N1631" s="5">
        <f>IF(Táblázat1[[#This Row],[Karb./akt.év]]-Táblázat1[[#This Row],[Kész2020_2]]&lt;0,0,Táblázat1[[#This Row],[Karb./akt.év]]-Táblázat1[[#This Row],[Kész2020_2]])</f>
        <v>2</v>
      </c>
    </row>
    <row r="1632" spans="1:14" hidden="1" x14ac:dyDescent="0.25">
      <c r="A1632" s="17" t="s">
        <v>7299</v>
      </c>
      <c r="B1632" s="17" t="s">
        <v>890</v>
      </c>
      <c r="C1632" s="17" t="s">
        <v>1735</v>
      </c>
      <c r="D1632" s="17" t="s">
        <v>2675</v>
      </c>
      <c r="E1632" s="17" t="s">
        <v>4470</v>
      </c>
      <c r="F1632" s="17" t="s">
        <v>4471</v>
      </c>
      <c r="G1632" s="17" t="s">
        <v>5823</v>
      </c>
      <c r="H1632" t="s">
        <v>7476</v>
      </c>
      <c r="I1632" s="1">
        <v>2</v>
      </c>
      <c r="J1632" s="1">
        <v>2</v>
      </c>
      <c r="K1632" t="s">
        <v>6639</v>
      </c>
      <c r="L1632" s="5">
        <f>VLOOKUP(D:D,[1]Munka2!$A:$B,2,FALSE)</f>
        <v>1</v>
      </c>
      <c r="M1632" s="5">
        <f>_xlfn.IFNA(Táblázat1[[#This Row],[Kész2020]],0)</f>
        <v>1</v>
      </c>
      <c r="N1632" s="5">
        <f>IF(Táblázat1[[#This Row],[Karb./akt.év]]-Táblázat1[[#This Row],[Kész2020_2]]&lt;0,0,Táblázat1[[#This Row],[Karb./akt.év]]-Táblázat1[[#This Row],[Kész2020_2]])</f>
        <v>1</v>
      </c>
    </row>
    <row r="1633" spans="1:14" hidden="1" x14ac:dyDescent="0.25">
      <c r="A1633" s="17" t="s">
        <v>7299</v>
      </c>
      <c r="B1633" s="17" t="s">
        <v>860</v>
      </c>
      <c r="C1633" s="17" t="s">
        <v>1735</v>
      </c>
      <c r="D1633" s="17" t="s">
        <v>2642</v>
      </c>
      <c r="E1633" s="17" t="s">
        <v>4422</v>
      </c>
      <c r="F1633" s="17" t="s">
        <v>4423</v>
      </c>
      <c r="G1633" s="17" t="s">
        <v>5828</v>
      </c>
      <c r="H1633" t="s">
        <v>7476</v>
      </c>
      <c r="I1633" s="1">
        <v>2</v>
      </c>
      <c r="J1633" s="1">
        <v>2</v>
      </c>
      <c r="K1633" t="s">
        <v>6639</v>
      </c>
      <c r="L1633" s="5">
        <f>VLOOKUP(D:D,[1]Munka2!$A:$B,2,FALSE)</f>
        <v>1</v>
      </c>
      <c r="M1633" s="5">
        <f>_xlfn.IFNA(Táblázat1[[#This Row],[Kész2020]],0)</f>
        <v>1</v>
      </c>
      <c r="N1633" s="5">
        <f>IF(Táblázat1[[#This Row],[Karb./akt.év]]-Táblázat1[[#This Row],[Kész2020_2]]&lt;0,0,Táblázat1[[#This Row],[Karb./akt.év]]-Táblázat1[[#This Row],[Kész2020_2]])</f>
        <v>1</v>
      </c>
    </row>
    <row r="1634" spans="1:14" hidden="1" x14ac:dyDescent="0.25">
      <c r="A1634" s="17" t="s">
        <v>7299</v>
      </c>
      <c r="B1634" s="17" t="s">
        <v>866</v>
      </c>
      <c r="C1634" s="17" t="s">
        <v>1735</v>
      </c>
      <c r="D1634" s="17" t="s">
        <v>2647</v>
      </c>
      <c r="E1634" s="17" t="s">
        <v>4438</v>
      </c>
      <c r="F1634" s="17" t="s">
        <v>4439</v>
      </c>
      <c r="G1634" s="17" t="s">
        <v>5803</v>
      </c>
      <c r="H1634" t="s">
        <v>7476</v>
      </c>
      <c r="I1634" s="1">
        <v>2</v>
      </c>
      <c r="J1634" s="1">
        <v>2</v>
      </c>
      <c r="K1634" t="s">
        <v>6639</v>
      </c>
      <c r="L1634" s="5">
        <f>VLOOKUP(D:D,[1]Munka2!$A:$B,2,FALSE)</f>
        <v>1</v>
      </c>
      <c r="M1634" s="5">
        <f>_xlfn.IFNA(Táblázat1[[#This Row],[Kész2020]],0)</f>
        <v>1</v>
      </c>
      <c r="N1634" s="5">
        <f>IF(Táblázat1[[#This Row],[Karb./akt.év]]-Táblázat1[[#This Row],[Kész2020_2]]&lt;0,0,Táblázat1[[#This Row],[Karb./akt.év]]-Táblázat1[[#This Row],[Kész2020_2]])</f>
        <v>1</v>
      </c>
    </row>
    <row r="1635" spans="1:14" hidden="1" x14ac:dyDescent="0.25">
      <c r="A1635" s="17" t="s">
        <v>7299</v>
      </c>
      <c r="B1635" s="17" t="s">
        <v>1454</v>
      </c>
      <c r="C1635" s="17" t="s">
        <v>1738</v>
      </c>
      <c r="D1635" s="17" t="s">
        <v>7444</v>
      </c>
      <c r="E1635" s="17" t="s">
        <v>3697</v>
      </c>
      <c r="F1635" s="17" t="s">
        <v>3698</v>
      </c>
      <c r="G1635" s="17" t="s">
        <v>6360</v>
      </c>
      <c r="H1635" t="s">
        <v>7476</v>
      </c>
      <c r="I1635" s="1">
        <v>2</v>
      </c>
      <c r="J1635" s="1">
        <v>2</v>
      </c>
      <c r="K1635" t="s">
        <v>6639</v>
      </c>
      <c r="L1635" s="5">
        <f>VLOOKUP(D:D,[1]Munka2!$A:$B,2,FALSE)</f>
        <v>1</v>
      </c>
      <c r="M1635" s="5">
        <f>_xlfn.IFNA(Táblázat1[[#This Row],[Kész2020]],0)</f>
        <v>1</v>
      </c>
      <c r="N1635" s="5">
        <f>IF(Táblázat1[[#This Row],[Karb./akt.év]]-Táblázat1[[#This Row],[Kész2020_2]]&lt;0,0,Táblázat1[[#This Row],[Karb./akt.év]]-Táblázat1[[#This Row],[Kész2020_2]])</f>
        <v>1</v>
      </c>
    </row>
    <row r="1636" spans="1:14" hidden="1" x14ac:dyDescent="0.25">
      <c r="A1636" s="17" t="s">
        <v>7299</v>
      </c>
      <c r="B1636" s="17" t="s">
        <v>1160</v>
      </c>
      <c r="C1636" s="17" t="s">
        <v>1738</v>
      </c>
      <c r="D1636" s="17" t="s">
        <v>7442</v>
      </c>
      <c r="E1636" s="17" t="s">
        <v>4666</v>
      </c>
      <c r="F1636" s="17" t="s">
        <v>4667</v>
      </c>
      <c r="G1636" s="17" t="s">
        <v>6086</v>
      </c>
      <c r="H1636" t="s">
        <v>7476</v>
      </c>
      <c r="I1636" s="1">
        <v>2</v>
      </c>
      <c r="J1636" s="1">
        <v>2</v>
      </c>
      <c r="K1636" t="s">
        <v>6639</v>
      </c>
      <c r="L1636" s="5">
        <f>VLOOKUP(D:D,[1]Munka2!$A:$B,2,FALSE)</f>
        <v>1</v>
      </c>
      <c r="M1636" s="5">
        <f>_xlfn.IFNA(Táblázat1[[#This Row],[Kész2020]],0)</f>
        <v>1</v>
      </c>
      <c r="N1636" s="5">
        <f>IF(Táblázat1[[#This Row],[Karb./akt.év]]-Táblázat1[[#This Row],[Kész2020_2]]&lt;0,0,Táblázat1[[#This Row],[Karb./akt.év]]-Táblázat1[[#This Row],[Kész2020_2]])</f>
        <v>1</v>
      </c>
    </row>
    <row r="1637" spans="1:14" x14ac:dyDescent="0.25">
      <c r="A1637" s="17" t="s">
        <v>7299</v>
      </c>
      <c r="B1637" s="17" t="s">
        <v>777</v>
      </c>
      <c r="C1637" s="17" t="s">
        <v>1738</v>
      </c>
      <c r="D1637" s="17" t="s">
        <v>7435</v>
      </c>
      <c r="E1637" s="17" t="s">
        <v>4345</v>
      </c>
      <c r="F1637" s="17" t="s">
        <v>4346</v>
      </c>
      <c r="G1637" s="17" t="s">
        <v>7534</v>
      </c>
      <c r="H1637" t="s">
        <v>7476</v>
      </c>
      <c r="I1637" s="1">
        <v>2</v>
      </c>
      <c r="J1637" s="1">
        <v>2</v>
      </c>
      <c r="K1637" t="s">
        <v>6639</v>
      </c>
      <c r="L1637" s="5" t="e">
        <f>VLOOKUP(D:D,[1]Munka2!$A:$B,2,FALSE)</f>
        <v>#N/A</v>
      </c>
      <c r="M1637" s="5">
        <f>_xlfn.IFNA(Táblázat1[[#This Row],[Kész2020]],0)</f>
        <v>0</v>
      </c>
      <c r="N1637" s="5">
        <f>IF(Táblázat1[[#This Row],[Karb./akt.év]]-Táblázat1[[#This Row],[Kész2020_2]]&lt;0,0,Táblázat1[[#This Row],[Karb./akt.év]]-Táblázat1[[#This Row],[Kész2020_2]])</f>
        <v>2</v>
      </c>
    </row>
    <row r="1638" spans="1:14" hidden="1" x14ac:dyDescent="0.25">
      <c r="A1638" s="17" t="s">
        <v>7299</v>
      </c>
      <c r="B1638" s="17" t="s">
        <v>744</v>
      </c>
      <c r="C1638" s="17" t="s">
        <v>1738</v>
      </c>
      <c r="D1638" s="17" t="s">
        <v>7434</v>
      </c>
      <c r="E1638" s="17" t="s">
        <v>4323</v>
      </c>
      <c r="F1638" s="17" t="s">
        <v>4324</v>
      </c>
      <c r="G1638" s="17" t="s">
        <v>5689</v>
      </c>
      <c r="H1638" t="s">
        <v>7476</v>
      </c>
      <c r="I1638" s="1">
        <v>2</v>
      </c>
      <c r="J1638" s="1">
        <v>2</v>
      </c>
      <c r="K1638" t="s">
        <v>6639</v>
      </c>
      <c r="L1638" s="5">
        <f>VLOOKUP(D:D,[1]Munka2!$A:$B,2,FALSE)</f>
        <v>1</v>
      </c>
      <c r="M1638" s="5">
        <f>_xlfn.IFNA(Táblázat1[[#This Row],[Kész2020]],0)</f>
        <v>1</v>
      </c>
      <c r="N1638" s="5">
        <f>IF(Táblázat1[[#This Row],[Karb./akt.év]]-Táblázat1[[#This Row],[Kész2020_2]]&lt;0,0,Táblázat1[[#This Row],[Karb./akt.év]]-Táblázat1[[#This Row],[Kész2020_2]])</f>
        <v>1</v>
      </c>
    </row>
    <row r="1639" spans="1:14" hidden="1" x14ac:dyDescent="0.25">
      <c r="A1639" s="17" t="s">
        <v>7299</v>
      </c>
      <c r="B1639" s="17" t="s">
        <v>894</v>
      </c>
      <c r="C1639" s="17" t="s">
        <v>1738</v>
      </c>
      <c r="D1639" s="17" t="s">
        <v>7437</v>
      </c>
      <c r="E1639" s="17" t="s">
        <v>4474</v>
      </c>
      <c r="F1639" s="17" t="s">
        <v>4475</v>
      </c>
      <c r="G1639" s="17" t="s">
        <v>5825</v>
      </c>
      <c r="H1639" t="s">
        <v>7476</v>
      </c>
      <c r="I1639" s="1">
        <v>2</v>
      </c>
      <c r="J1639" s="1">
        <v>2</v>
      </c>
      <c r="K1639" t="s">
        <v>6639</v>
      </c>
      <c r="L1639" s="5">
        <f>VLOOKUP(D:D,[1]Munka2!$A:$B,2,FALSE)</f>
        <v>1</v>
      </c>
      <c r="M1639" s="5">
        <f>_xlfn.IFNA(Táblázat1[[#This Row],[Kész2020]],0)</f>
        <v>1</v>
      </c>
      <c r="N1639" s="5">
        <f>IF(Táblázat1[[#This Row],[Karb./akt.év]]-Táblázat1[[#This Row],[Kész2020_2]]&lt;0,0,Táblázat1[[#This Row],[Karb./akt.év]]-Táblázat1[[#This Row],[Kész2020_2]])</f>
        <v>1</v>
      </c>
    </row>
    <row r="1640" spans="1:14" hidden="1" x14ac:dyDescent="0.25">
      <c r="A1640" s="17" t="s">
        <v>7299</v>
      </c>
      <c r="B1640" s="17" t="s">
        <v>927</v>
      </c>
      <c r="C1640" s="17" t="s">
        <v>1738</v>
      </c>
      <c r="D1640" s="17" t="s">
        <v>7438</v>
      </c>
      <c r="E1640" s="17" t="s">
        <v>4517</v>
      </c>
      <c r="F1640" s="17" t="s">
        <v>4518</v>
      </c>
      <c r="G1640" s="17" t="s">
        <v>5853</v>
      </c>
      <c r="H1640" t="s">
        <v>7476</v>
      </c>
      <c r="I1640" s="1">
        <v>2</v>
      </c>
      <c r="J1640" s="1">
        <v>2</v>
      </c>
      <c r="K1640" t="s">
        <v>6639</v>
      </c>
      <c r="L1640" s="5">
        <f>VLOOKUP(D:D,[1]Munka2!$A:$B,2,FALSE)</f>
        <v>1</v>
      </c>
      <c r="M1640" s="5">
        <f>_xlfn.IFNA(Táblázat1[[#This Row],[Kész2020]],0)</f>
        <v>1</v>
      </c>
      <c r="N1640" s="5">
        <f>IF(Táblázat1[[#This Row],[Karb./akt.év]]-Táblázat1[[#This Row],[Kész2020_2]]&lt;0,0,Táblázat1[[#This Row],[Karb./akt.év]]-Táblázat1[[#This Row],[Kész2020_2]])</f>
        <v>1</v>
      </c>
    </row>
    <row r="1641" spans="1:14" hidden="1" x14ac:dyDescent="0.25">
      <c r="A1641" s="17" t="s">
        <v>7299</v>
      </c>
      <c r="B1641" s="17" t="s">
        <v>65</v>
      </c>
      <c r="C1641" s="17" t="s">
        <v>1738</v>
      </c>
      <c r="D1641" s="17" t="s">
        <v>7430</v>
      </c>
      <c r="E1641" s="17" t="s">
        <v>3615</v>
      </c>
      <c r="F1641" s="17" t="s">
        <v>3616</v>
      </c>
      <c r="G1641" s="17" t="s">
        <v>5040</v>
      </c>
      <c r="H1641" t="s">
        <v>7476</v>
      </c>
      <c r="I1641" s="1">
        <v>2</v>
      </c>
      <c r="J1641" s="1">
        <v>2</v>
      </c>
      <c r="K1641" t="s">
        <v>6639</v>
      </c>
      <c r="L1641" s="5">
        <f>VLOOKUP(D:D,[1]Munka2!$A:$B,2,FALSE)</f>
        <v>1</v>
      </c>
      <c r="M1641" s="5">
        <f>_xlfn.IFNA(Táblázat1[[#This Row],[Kész2020]],0)</f>
        <v>1</v>
      </c>
      <c r="N1641" s="5">
        <f>IF(Táblázat1[[#This Row],[Karb./akt.év]]-Táblázat1[[#This Row],[Kész2020_2]]&lt;0,0,Táblázat1[[#This Row],[Karb./akt.év]]-Táblázat1[[#This Row],[Kész2020_2]])</f>
        <v>1</v>
      </c>
    </row>
    <row r="1642" spans="1:14" hidden="1" x14ac:dyDescent="0.25">
      <c r="A1642" s="17" t="s">
        <v>7299</v>
      </c>
      <c r="B1642" s="17" t="s">
        <v>1241</v>
      </c>
      <c r="C1642" s="17" t="s">
        <v>1735</v>
      </c>
      <c r="D1642" s="17" t="s">
        <v>3051</v>
      </c>
      <c r="E1642" s="17" t="s">
        <v>4738</v>
      </c>
      <c r="F1642" s="17" t="s">
        <v>4739</v>
      </c>
      <c r="G1642" s="17" t="s">
        <v>6167</v>
      </c>
      <c r="H1642" t="s">
        <v>7476</v>
      </c>
      <c r="I1642" s="1">
        <v>2</v>
      </c>
      <c r="J1642" s="1">
        <v>2</v>
      </c>
      <c r="K1642" t="s">
        <v>6639</v>
      </c>
      <c r="L1642" s="5">
        <f>VLOOKUP(D:D,[1]Munka2!$A:$B,2,FALSE)</f>
        <v>1</v>
      </c>
      <c r="M1642" s="5">
        <f>_xlfn.IFNA(Táblázat1[[#This Row],[Kész2020]],0)</f>
        <v>1</v>
      </c>
      <c r="N1642" s="5">
        <f>IF(Táblázat1[[#This Row],[Karb./akt.év]]-Táblázat1[[#This Row],[Kész2020_2]]&lt;0,0,Táblázat1[[#This Row],[Karb./akt.év]]-Táblázat1[[#This Row],[Kész2020_2]])</f>
        <v>1</v>
      </c>
    </row>
    <row r="1643" spans="1:14" x14ac:dyDescent="0.25">
      <c r="A1643" s="17" t="s">
        <v>7299</v>
      </c>
      <c r="B1643" s="17" t="s">
        <v>1415</v>
      </c>
      <c r="C1643" s="17" t="s">
        <v>1735</v>
      </c>
      <c r="D1643" s="17" t="s">
        <v>3243</v>
      </c>
      <c r="E1643" s="17" t="s">
        <v>4880</v>
      </c>
      <c r="F1643" s="17" t="s">
        <v>4881</v>
      </c>
      <c r="G1643" s="17" t="s">
        <v>6318</v>
      </c>
      <c r="H1643" t="s">
        <v>7476</v>
      </c>
      <c r="I1643" s="1">
        <v>2</v>
      </c>
      <c r="J1643" s="1">
        <v>2</v>
      </c>
      <c r="K1643" t="s">
        <v>6639</v>
      </c>
      <c r="L1643" s="5" t="e">
        <f>VLOOKUP(D:D,[1]Munka2!$A:$B,2,FALSE)</f>
        <v>#N/A</v>
      </c>
      <c r="M1643" s="5">
        <f>_xlfn.IFNA(Táblázat1[[#This Row],[Kész2020]],0)</f>
        <v>0</v>
      </c>
      <c r="N1643" s="5">
        <f>IF(Táblázat1[[#This Row],[Karb./akt.év]]-Táblázat1[[#This Row],[Kész2020_2]]&lt;0,0,Táblázat1[[#This Row],[Karb./akt.év]]-Táblázat1[[#This Row],[Kész2020_2]])</f>
        <v>2</v>
      </c>
    </row>
    <row r="1644" spans="1:14" hidden="1" x14ac:dyDescent="0.25">
      <c r="A1644" s="17" t="s">
        <v>7299</v>
      </c>
      <c r="B1644" s="17" t="s">
        <v>618</v>
      </c>
      <c r="C1644" s="17" t="s">
        <v>1738</v>
      </c>
      <c r="D1644" s="17" t="s">
        <v>7432</v>
      </c>
      <c r="E1644" s="17" t="s">
        <v>4230</v>
      </c>
      <c r="F1644" s="17" t="s">
        <v>4231</v>
      </c>
      <c r="G1644" s="17" t="s">
        <v>5578</v>
      </c>
      <c r="H1644" t="s">
        <v>7476</v>
      </c>
      <c r="I1644" s="1">
        <v>2</v>
      </c>
      <c r="J1644" s="1">
        <v>2</v>
      </c>
      <c r="K1644" t="s">
        <v>6639</v>
      </c>
      <c r="L1644" s="5">
        <f>VLOOKUP(D:D,[1]Munka2!$A:$B,2,FALSE)</f>
        <v>1</v>
      </c>
      <c r="M1644" s="5">
        <f>_xlfn.IFNA(Táblázat1[[#This Row],[Kész2020]],0)</f>
        <v>1</v>
      </c>
      <c r="N1644" s="5">
        <f>IF(Táblázat1[[#This Row],[Karb./akt.év]]-Táblázat1[[#This Row],[Kész2020_2]]&lt;0,0,Táblázat1[[#This Row],[Karb./akt.év]]-Táblázat1[[#This Row],[Kész2020_2]])</f>
        <v>1</v>
      </c>
    </row>
    <row r="1645" spans="1:14" hidden="1" x14ac:dyDescent="0.25">
      <c r="A1645" s="17" t="s">
        <v>7299</v>
      </c>
      <c r="B1645" s="17" t="s">
        <v>621</v>
      </c>
      <c r="C1645" s="17" t="s">
        <v>1735</v>
      </c>
      <c r="D1645" s="17" t="s">
        <v>2394</v>
      </c>
      <c r="E1645" s="17" t="s">
        <v>4236</v>
      </c>
      <c r="F1645" s="17" t="s">
        <v>4237</v>
      </c>
      <c r="G1645" s="17" t="s">
        <v>5581</v>
      </c>
      <c r="H1645" t="s">
        <v>7476</v>
      </c>
      <c r="I1645" s="1">
        <v>2</v>
      </c>
      <c r="J1645" s="1">
        <v>2</v>
      </c>
      <c r="K1645" t="s">
        <v>6639</v>
      </c>
      <c r="L1645" s="5">
        <f>VLOOKUP(D:D,[1]Munka2!$A:$B,2,FALSE)</f>
        <v>1</v>
      </c>
      <c r="M1645" s="5">
        <f>_xlfn.IFNA(Táblázat1[[#This Row],[Kész2020]],0)</f>
        <v>1</v>
      </c>
      <c r="N1645" s="5">
        <f>IF(Táblázat1[[#This Row],[Karb./akt.év]]-Táblázat1[[#This Row],[Kész2020_2]]&lt;0,0,Táblázat1[[#This Row],[Karb./akt.év]]-Táblázat1[[#This Row],[Kész2020_2]])</f>
        <v>1</v>
      </c>
    </row>
    <row r="1646" spans="1:14" x14ac:dyDescent="0.25">
      <c r="A1646" s="17" t="s">
        <v>7299</v>
      </c>
      <c r="B1646" s="17" t="s">
        <v>254</v>
      </c>
      <c r="C1646" s="17" t="s">
        <v>1735</v>
      </c>
      <c r="D1646" s="17" t="s">
        <v>2000</v>
      </c>
      <c r="E1646" s="17" t="s">
        <v>3877</v>
      </c>
      <c r="F1646" s="17" t="s">
        <v>3878</v>
      </c>
      <c r="G1646" s="17" t="s">
        <v>6255</v>
      </c>
      <c r="H1646" t="s">
        <v>7476</v>
      </c>
      <c r="I1646" s="1">
        <v>2</v>
      </c>
      <c r="J1646" s="1">
        <v>2</v>
      </c>
      <c r="K1646" t="s">
        <v>6640</v>
      </c>
      <c r="L1646" s="5" t="e">
        <f>VLOOKUP(D:D,[1]Munka2!$A:$B,2,FALSE)</f>
        <v>#N/A</v>
      </c>
      <c r="M1646" s="5">
        <f>_xlfn.IFNA(Táblázat1[[#This Row],[Kész2020]],0)</f>
        <v>0</v>
      </c>
      <c r="N1646" s="5">
        <f>IF(Táblázat1[[#This Row],[Karb./akt.év]]-Táblázat1[[#This Row],[Kész2020_2]]&lt;0,0,Táblázat1[[#This Row],[Karb./akt.év]]-Táblázat1[[#This Row],[Kész2020_2]])</f>
        <v>2</v>
      </c>
    </row>
    <row r="1647" spans="1:14" hidden="1" x14ac:dyDescent="0.25">
      <c r="A1647" s="17" t="s">
        <v>7299</v>
      </c>
      <c r="B1647" s="17" t="s">
        <v>778</v>
      </c>
      <c r="C1647" s="17" t="s">
        <v>1735</v>
      </c>
      <c r="D1647" s="17" t="s">
        <v>2554</v>
      </c>
      <c r="E1647" s="17" t="s">
        <v>4347</v>
      </c>
      <c r="F1647" s="17" t="s">
        <v>4348</v>
      </c>
      <c r="G1647" s="17" t="s">
        <v>5722</v>
      </c>
      <c r="H1647" t="s">
        <v>7476</v>
      </c>
      <c r="I1647" s="1">
        <v>2</v>
      </c>
      <c r="J1647" s="1">
        <v>2</v>
      </c>
      <c r="K1647" t="s">
        <v>6640</v>
      </c>
      <c r="L1647" s="5">
        <f>VLOOKUP(D:D,[1]Munka2!$A:$B,2,FALSE)</f>
        <v>1</v>
      </c>
      <c r="M1647" s="5">
        <f>_xlfn.IFNA(Táblázat1[[#This Row],[Kész2020]],0)</f>
        <v>1</v>
      </c>
      <c r="N1647" s="5">
        <f>IF(Táblázat1[[#This Row],[Karb./akt.év]]-Táblázat1[[#This Row],[Kész2020_2]]&lt;0,0,Táblázat1[[#This Row],[Karb./akt.év]]-Táblázat1[[#This Row],[Kész2020_2]])</f>
        <v>1</v>
      </c>
    </row>
    <row r="1648" spans="1:14" hidden="1" x14ac:dyDescent="0.25">
      <c r="A1648" s="17" t="s">
        <v>7299</v>
      </c>
      <c r="B1648" s="17" t="s">
        <v>792</v>
      </c>
      <c r="C1648" s="17" t="s">
        <v>1735</v>
      </c>
      <c r="D1648" s="17" t="s">
        <v>2568</v>
      </c>
      <c r="E1648" s="17" t="s">
        <v>4364</v>
      </c>
      <c r="F1648" s="17" t="s">
        <v>4365</v>
      </c>
      <c r="G1648" s="17" t="s">
        <v>5734</v>
      </c>
      <c r="H1648" t="s">
        <v>7476</v>
      </c>
      <c r="I1648" s="1">
        <v>2</v>
      </c>
      <c r="J1648" s="1">
        <v>2</v>
      </c>
      <c r="K1648" t="s">
        <v>6640</v>
      </c>
      <c r="L1648" s="5">
        <f>VLOOKUP(D:D,[1]Munka2!$A:$B,2,FALSE)</f>
        <v>1</v>
      </c>
      <c r="M1648" s="5">
        <f>_xlfn.IFNA(Táblázat1[[#This Row],[Kész2020]],0)</f>
        <v>1</v>
      </c>
      <c r="N1648" s="5">
        <f>IF(Táblázat1[[#This Row],[Karb./akt.év]]-Táblázat1[[#This Row],[Kész2020_2]]&lt;0,0,Táblázat1[[#This Row],[Karb./akt.év]]-Táblázat1[[#This Row],[Kész2020_2]])</f>
        <v>1</v>
      </c>
    </row>
    <row r="1649" spans="1:14" hidden="1" x14ac:dyDescent="0.25">
      <c r="A1649" s="17" t="s">
        <v>7299</v>
      </c>
      <c r="B1649" s="17" t="s">
        <v>936</v>
      </c>
      <c r="C1649" s="17" t="s">
        <v>1737</v>
      </c>
      <c r="D1649" s="17" t="s">
        <v>2722</v>
      </c>
      <c r="E1649" s="17" t="s">
        <v>3792</v>
      </c>
      <c r="F1649" s="17" t="s">
        <v>3793</v>
      </c>
      <c r="G1649" s="17" t="s">
        <v>5863</v>
      </c>
      <c r="H1649" t="s">
        <v>7476</v>
      </c>
      <c r="I1649" s="1">
        <v>2</v>
      </c>
      <c r="J1649" s="1">
        <v>0</v>
      </c>
      <c r="K1649" t="s">
        <v>6639</v>
      </c>
      <c r="L1649" s="5" t="e">
        <f>VLOOKUP(D:D,[1]Munka2!$A:$B,2,FALSE)</f>
        <v>#N/A</v>
      </c>
      <c r="M1649" s="5">
        <f>_xlfn.IFNA(Táblázat1[[#This Row],[Kész2020]],0)</f>
        <v>0</v>
      </c>
      <c r="N1649" s="5">
        <f>IF(Táblázat1[[#This Row],[Karb./akt.év]]-Táblázat1[[#This Row],[Kész2020_2]]&lt;0,0,Táblázat1[[#This Row],[Karb./akt.év]]-Táblázat1[[#This Row],[Kész2020_2]])</f>
        <v>0</v>
      </c>
    </row>
    <row r="1650" spans="1:14" x14ac:dyDescent="0.25">
      <c r="A1650" s="17" t="s">
        <v>7299</v>
      </c>
      <c r="B1650" s="17" t="s">
        <v>1180</v>
      </c>
      <c r="C1650" s="17" t="s">
        <v>1737</v>
      </c>
      <c r="D1650" s="17" t="s">
        <v>2982</v>
      </c>
      <c r="E1650" s="17" t="s">
        <v>4694</v>
      </c>
      <c r="F1650" s="17" t="s">
        <v>4695</v>
      </c>
      <c r="G1650" s="17" t="s">
        <v>6105</v>
      </c>
      <c r="H1650" t="s">
        <v>7476</v>
      </c>
      <c r="I1650" s="1">
        <v>2</v>
      </c>
      <c r="J1650" s="1">
        <v>2</v>
      </c>
      <c r="K1650" t="s">
        <v>6639</v>
      </c>
      <c r="L1650" s="5" t="e">
        <f>VLOOKUP(D:D,[1]Munka2!$A:$B,2,FALSE)</f>
        <v>#N/A</v>
      </c>
      <c r="M1650" s="5">
        <f>_xlfn.IFNA(Táblázat1[[#This Row],[Kész2020]],0)</f>
        <v>0</v>
      </c>
      <c r="N1650" s="5">
        <f>IF(Táblázat1[[#This Row],[Karb./akt.év]]-Táblázat1[[#This Row],[Kész2020_2]]&lt;0,0,Táblázat1[[#This Row],[Karb./akt.év]]-Táblázat1[[#This Row],[Kész2020_2]])</f>
        <v>2</v>
      </c>
    </row>
    <row r="1651" spans="1:14" hidden="1" x14ac:dyDescent="0.25">
      <c r="A1651" s="17" t="s">
        <v>7299</v>
      </c>
      <c r="B1651" s="17" t="s">
        <v>90</v>
      </c>
      <c r="C1651" s="17" t="s">
        <v>1735</v>
      </c>
      <c r="D1651" s="17" t="s">
        <v>1830</v>
      </c>
      <c r="E1651" s="17" t="s">
        <v>3673</v>
      </c>
      <c r="F1651" s="17" t="s">
        <v>3674</v>
      </c>
      <c r="G1651" s="17" t="s">
        <v>5061</v>
      </c>
      <c r="H1651" t="s">
        <v>7476</v>
      </c>
      <c r="I1651" s="1">
        <v>2</v>
      </c>
      <c r="J1651" s="1">
        <v>2</v>
      </c>
      <c r="K1651" t="s">
        <v>6639</v>
      </c>
      <c r="L1651" s="5">
        <f>VLOOKUP(D:D,[1]Munka2!$A:$B,2,FALSE)</f>
        <v>1</v>
      </c>
      <c r="M1651" s="5">
        <f>_xlfn.IFNA(Táblázat1[[#This Row],[Kész2020]],0)</f>
        <v>1</v>
      </c>
      <c r="N1651" s="5">
        <f>IF(Táblázat1[[#This Row],[Karb./akt.év]]-Táblázat1[[#This Row],[Kész2020_2]]&lt;0,0,Táblázat1[[#This Row],[Karb./akt.év]]-Táblázat1[[#This Row],[Kész2020_2]])</f>
        <v>1</v>
      </c>
    </row>
    <row r="1652" spans="1:14" hidden="1" x14ac:dyDescent="0.25">
      <c r="A1652" s="17" t="s">
        <v>7299</v>
      </c>
      <c r="B1652" s="17" t="s">
        <v>415</v>
      </c>
      <c r="C1652" s="17" t="s">
        <v>1735</v>
      </c>
      <c r="D1652" s="17" t="s">
        <v>2171</v>
      </c>
      <c r="E1652" s="17" t="s">
        <v>3792</v>
      </c>
      <c r="F1652" s="17" t="s">
        <v>3793</v>
      </c>
      <c r="G1652" s="17" t="s">
        <v>7661</v>
      </c>
      <c r="H1652" t="s">
        <v>7476</v>
      </c>
      <c r="I1652" s="1">
        <v>2</v>
      </c>
      <c r="J1652" s="1">
        <v>2</v>
      </c>
      <c r="K1652" t="s">
        <v>6639</v>
      </c>
      <c r="L1652" s="5">
        <f>VLOOKUP(D:D,[1]Munka2!$A:$B,2,FALSE)</f>
        <v>1</v>
      </c>
      <c r="M1652" s="5">
        <f>_xlfn.IFNA(Táblázat1[[#This Row],[Kész2020]],0)</f>
        <v>1</v>
      </c>
      <c r="N1652" s="5">
        <f>IF(Táblázat1[[#This Row],[Karb./akt.év]]-Táblázat1[[#This Row],[Kész2020_2]]&lt;0,0,Táblázat1[[#This Row],[Karb./akt.év]]-Táblázat1[[#This Row],[Kész2020_2]])</f>
        <v>1</v>
      </c>
    </row>
    <row r="1653" spans="1:14" hidden="1" x14ac:dyDescent="0.25">
      <c r="A1653" s="17" t="s">
        <v>7299</v>
      </c>
      <c r="B1653" s="17" t="s">
        <v>911</v>
      </c>
      <c r="C1653" s="17" t="s">
        <v>1735</v>
      </c>
      <c r="D1653" s="17" t="s">
        <v>2692</v>
      </c>
      <c r="E1653" s="17" t="s">
        <v>4497</v>
      </c>
      <c r="F1653" s="17" t="s">
        <v>4498</v>
      </c>
      <c r="G1653" s="17" t="s">
        <v>5838</v>
      </c>
      <c r="H1653" t="s">
        <v>7476</v>
      </c>
      <c r="I1653" s="1">
        <v>2</v>
      </c>
      <c r="J1653" s="1">
        <v>2</v>
      </c>
      <c r="K1653" t="s">
        <v>6639</v>
      </c>
      <c r="L1653" s="5">
        <f>VLOOKUP(D:D,[1]Munka2!$A:$B,2,FALSE)</f>
        <v>1</v>
      </c>
      <c r="M1653" s="5">
        <f>_xlfn.IFNA(Táblázat1[[#This Row],[Kész2020]],0)</f>
        <v>1</v>
      </c>
      <c r="N1653" s="5">
        <f>IF(Táblázat1[[#This Row],[Karb./akt.év]]-Táblázat1[[#This Row],[Kész2020_2]]&lt;0,0,Táblázat1[[#This Row],[Karb./akt.év]]-Táblázat1[[#This Row],[Kész2020_2]])</f>
        <v>1</v>
      </c>
    </row>
    <row r="1654" spans="1:14" hidden="1" x14ac:dyDescent="0.25">
      <c r="A1654" s="17" t="s">
        <v>7299</v>
      </c>
      <c r="B1654" s="17" t="s">
        <v>865</v>
      </c>
      <c r="C1654" s="17" t="s">
        <v>1735</v>
      </c>
      <c r="D1654" s="17" t="s">
        <v>2646</v>
      </c>
      <c r="E1654" s="17" t="s">
        <v>4436</v>
      </c>
      <c r="F1654" s="17" t="s">
        <v>4437</v>
      </c>
      <c r="G1654" s="17" t="s">
        <v>5802</v>
      </c>
      <c r="H1654" t="s">
        <v>7476</v>
      </c>
      <c r="I1654" s="1">
        <v>2</v>
      </c>
      <c r="J1654" s="1">
        <v>2</v>
      </c>
      <c r="K1654" t="s">
        <v>6639</v>
      </c>
      <c r="L1654" s="5">
        <f>VLOOKUP(D:D,[1]Munka2!$A:$B,2,FALSE)</f>
        <v>1</v>
      </c>
      <c r="M1654" s="5">
        <f>_xlfn.IFNA(Táblázat1[[#This Row],[Kész2020]],0)</f>
        <v>1</v>
      </c>
      <c r="N1654" s="5">
        <f>IF(Táblázat1[[#This Row],[Karb./akt.év]]-Táblázat1[[#This Row],[Kész2020_2]]&lt;0,0,Táblázat1[[#This Row],[Karb./akt.év]]-Táblázat1[[#This Row],[Kész2020_2]])</f>
        <v>1</v>
      </c>
    </row>
    <row r="1655" spans="1:14" hidden="1" x14ac:dyDescent="0.25">
      <c r="A1655" s="17" t="s">
        <v>7299</v>
      </c>
      <c r="B1655" s="17" t="s">
        <v>248</v>
      </c>
      <c r="C1655" s="17" t="s">
        <v>1735</v>
      </c>
      <c r="D1655" s="17" t="s">
        <v>1993</v>
      </c>
      <c r="E1655" s="17" t="s">
        <v>3863</v>
      </c>
      <c r="F1655" s="17" t="s">
        <v>3864</v>
      </c>
      <c r="G1655" s="17" t="s">
        <v>5215</v>
      </c>
      <c r="H1655" t="s">
        <v>7476</v>
      </c>
      <c r="I1655" s="1">
        <v>2</v>
      </c>
      <c r="J1655" s="1">
        <v>2</v>
      </c>
      <c r="K1655" t="s">
        <v>6639</v>
      </c>
      <c r="L1655" s="5">
        <f>VLOOKUP(D:D,[1]Munka2!$A:$B,2,FALSE)</f>
        <v>1</v>
      </c>
      <c r="M1655" s="5">
        <f>_xlfn.IFNA(Táblázat1[[#This Row],[Kész2020]],0)</f>
        <v>1</v>
      </c>
      <c r="N1655" s="5">
        <f>IF(Táblázat1[[#This Row],[Karb./akt.év]]-Táblázat1[[#This Row],[Kész2020_2]]&lt;0,0,Táblázat1[[#This Row],[Karb./akt.év]]-Táblázat1[[#This Row],[Kész2020_2]])</f>
        <v>1</v>
      </c>
    </row>
    <row r="1656" spans="1:14" hidden="1" x14ac:dyDescent="0.25">
      <c r="A1656" s="17" t="s">
        <v>7299</v>
      </c>
      <c r="B1656" s="17" t="s">
        <v>537</v>
      </c>
      <c r="C1656" s="17" t="s">
        <v>1735</v>
      </c>
      <c r="D1656" s="17" t="s">
        <v>2303</v>
      </c>
      <c r="E1656" s="17" t="s">
        <v>4153</v>
      </c>
      <c r="F1656" s="17" t="s">
        <v>4154</v>
      </c>
      <c r="G1656" s="17" t="s">
        <v>5496</v>
      </c>
      <c r="H1656" t="s">
        <v>7476</v>
      </c>
      <c r="I1656" s="1">
        <v>2</v>
      </c>
      <c r="J1656" s="1">
        <v>2</v>
      </c>
      <c r="K1656" t="s">
        <v>6639</v>
      </c>
      <c r="L1656" s="5">
        <f>VLOOKUP(D:D,[1]Munka2!$A:$B,2,FALSE)</f>
        <v>1</v>
      </c>
      <c r="M1656" s="5">
        <f>_xlfn.IFNA(Táblázat1[[#This Row],[Kész2020]],0)</f>
        <v>1</v>
      </c>
      <c r="N1656" s="5">
        <f>IF(Táblázat1[[#This Row],[Karb./akt.év]]-Táblázat1[[#This Row],[Kész2020_2]]&lt;0,0,Táblázat1[[#This Row],[Karb./akt.év]]-Táblázat1[[#This Row],[Kész2020_2]])</f>
        <v>1</v>
      </c>
    </row>
    <row r="1657" spans="1:14" hidden="1" x14ac:dyDescent="0.25">
      <c r="A1657" s="17" t="s">
        <v>7299</v>
      </c>
      <c r="B1657" s="17" t="s">
        <v>1260</v>
      </c>
      <c r="C1657" s="17" t="s">
        <v>1735</v>
      </c>
      <c r="D1657" s="17" t="s">
        <v>3072</v>
      </c>
      <c r="E1657" s="17" t="s">
        <v>4762</v>
      </c>
      <c r="F1657" s="17" t="s">
        <v>4763</v>
      </c>
      <c r="G1657" s="17" t="s">
        <v>6186</v>
      </c>
      <c r="H1657" t="s">
        <v>7476</v>
      </c>
      <c r="I1657" s="1">
        <v>2</v>
      </c>
      <c r="J1657" s="1">
        <v>2</v>
      </c>
      <c r="K1657" t="s">
        <v>6639</v>
      </c>
      <c r="L1657" s="5">
        <f>VLOOKUP(D:D,[1]Munka2!$A:$B,2,FALSE)</f>
        <v>1</v>
      </c>
      <c r="M1657" s="5">
        <f>_xlfn.IFNA(Táblázat1[[#This Row],[Kész2020]],0)</f>
        <v>1</v>
      </c>
      <c r="N1657" s="5">
        <f>IF(Táblázat1[[#This Row],[Karb./akt.év]]-Táblázat1[[#This Row],[Kész2020_2]]&lt;0,0,Táblázat1[[#This Row],[Karb./akt.év]]-Táblázat1[[#This Row],[Kész2020_2]])</f>
        <v>1</v>
      </c>
    </row>
    <row r="1658" spans="1:14" hidden="1" x14ac:dyDescent="0.25">
      <c r="A1658" s="17" t="s">
        <v>7299</v>
      </c>
      <c r="B1658" s="17" t="s">
        <v>1269</v>
      </c>
      <c r="C1658" s="17" t="s">
        <v>1735</v>
      </c>
      <c r="D1658" s="17" t="s">
        <v>3081</v>
      </c>
      <c r="E1658" s="17" t="s">
        <v>4768</v>
      </c>
      <c r="F1658" s="17" t="s">
        <v>4769</v>
      </c>
      <c r="G1658" s="17" t="s">
        <v>6195</v>
      </c>
      <c r="H1658" t="s">
        <v>7476</v>
      </c>
      <c r="I1658" s="1">
        <v>2</v>
      </c>
      <c r="J1658" s="1">
        <v>2</v>
      </c>
      <c r="K1658" t="s">
        <v>6639</v>
      </c>
      <c r="L1658" s="5">
        <f>VLOOKUP(D:D,[1]Munka2!$A:$B,2,FALSE)</f>
        <v>1</v>
      </c>
      <c r="M1658" s="5">
        <f>_xlfn.IFNA(Táblázat1[[#This Row],[Kész2020]],0)</f>
        <v>1</v>
      </c>
      <c r="N1658" s="5">
        <f>IF(Táblázat1[[#This Row],[Karb./akt.év]]-Táblázat1[[#This Row],[Kész2020_2]]&lt;0,0,Táblázat1[[#This Row],[Karb./akt.év]]-Táblázat1[[#This Row],[Kész2020_2]])</f>
        <v>1</v>
      </c>
    </row>
    <row r="1659" spans="1:14" x14ac:dyDescent="0.25">
      <c r="A1659" s="17" t="s">
        <v>7299</v>
      </c>
      <c r="B1659" s="17" t="s">
        <v>1588</v>
      </c>
      <c r="C1659" s="17" t="s">
        <v>1735</v>
      </c>
      <c r="D1659" s="17" t="s">
        <v>3435</v>
      </c>
      <c r="E1659" s="17" t="s">
        <v>3792</v>
      </c>
      <c r="F1659" s="17" t="s">
        <v>3793</v>
      </c>
      <c r="G1659" s="17" t="s">
        <v>6488</v>
      </c>
      <c r="H1659" t="s">
        <v>7476</v>
      </c>
      <c r="I1659" s="1">
        <v>2</v>
      </c>
      <c r="J1659" s="1">
        <v>2</v>
      </c>
      <c r="K1659" t="s">
        <v>6639</v>
      </c>
      <c r="L1659" s="5" t="e">
        <f>VLOOKUP(D:D,[1]Munka2!$A:$B,2,FALSE)</f>
        <v>#N/A</v>
      </c>
      <c r="M1659" s="5">
        <f>_xlfn.IFNA(Táblázat1[[#This Row],[Kész2020]],0)</f>
        <v>0</v>
      </c>
      <c r="N1659" s="5">
        <f>IF(Táblázat1[[#This Row],[Karb./akt.év]]-Táblázat1[[#This Row],[Kész2020_2]]&lt;0,0,Táblázat1[[#This Row],[Karb./akt.év]]-Táblázat1[[#This Row],[Kész2020_2]])</f>
        <v>2</v>
      </c>
    </row>
    <row r="1660" spans="1:14" hidden="1" x14ac:dyDescent="0.25">
      <c r="A1660" s="17" t="s">
        <v>7299</v>
      </c>
      <c r="B1660" s="17" t="s">
        <v>1599</v>
      </c>
      <c r="C1660" s="17" t="s">
        <v>1735</v>
      </c>
      <c r="D1660" s="17" t="s">
        <v>3447</v>
      </c>
      <c r="E1660" s="17" t="s">
        <v>4959</v>
      </c>
      <c r="F1660" s="17" t="s">
        <v>4960</v>
      </c>
      <c r="G1660" s="17" t="s">
        <v>6499</v>
      </c>
      <c r="H1660" t="s">
        <v>7476</v>
      </c>
      <c r="I1660" s="1">
        <v>2</v>
      </c>
      <c r="J1660" s="1">
        <v>0</v>
      </c>
      <c r="K1660" t="s">
        <v>6639</v>
      </c>
      <c r="L1660" s="5" t="e">
        <f>VLOOKUP(D:D,[1]Munka2!$A:$B,2,FALSE)</f>
        <v>#N/A</v>
      </c>
      <c r="M1660" s="5">
        <f>_xlfn.IFNA(Táblázat1[[#This Row],[Kész2020]],0)</f>
        <v>0</v>
      </c>
      <c r="N1660" s="5">
        <f>IF(Táblázat1[[#This Row],[Karb./akt.év]]-Táblázat1[[#This Row],[Kész2020_2]]&lt;0,0,Táblázat1[[#This Row],[Karb./akt.év]]-Táblázat1[[#This Row],[Kész2020_2]])</f>
        <v>0</v>
      </c>
    </row>
    <row r="1661" spans="1:14" hidden="1" x14ac:dyDescent="0.25">
      <c r="A1661" s="17" t="s">
        <v>7299</v>
      </c>
      <c r="B1661" s="17" t="s">
        <v>1718</v>
      </c>
      <c r="C1661" s="17" t="s">
        <v>1735</v>
      </c>
      <c r="D1661" s="17" t="s">
        <v>3575</v>
      </c>
      <c r="E1661" s="17" t="s">
        <v>5001</v>
      </c>
      <c r="F1661" s="17" t="s">
        <v>5002</v>
      </c>
      <c r="G1661" s="17" t="s">
        <v>6611</v>
      </c>
      <c r="H1661" t="s">
        <v>7476</v>
      </c>
      <c r="I1661" s="1">
        <v>2</v>
      </c>
      <c r="J1661" s="1">
        <v>2</v>
      </c>
      <c r="K1661" t="s">
        <v>6639</v>
      </c>
      <c r="L1661" s="5">
        <f>VLOOKUP(D:D,[1]Munka2!$A:$B,2,FALSE)</f>
        <v>1</v>
      </c>
      <c r="M1661" s="5">
        <f>_xlfn.IFNA(Táblázat1[[#This Row],[Kész2020]],0)</f>
        <v>1</v>
      </c>
      <c r="N1661" s="5">
        <f>IF(Táblázat1[[#This Row],[Karb./akt.év]]-Táblázat1[[#This Row],[Kész2020_2]]&lt;0,0,Táblázat1[[#This Row],[Karb./akt.év]]-Táblázat1[[#This Row],[Kész2020_2]])</f>
        <v>1</v>
      </c>
    </row>
    <row r="1662" spans="1:14" hidden="1" x14ac:dyDescent="0.25">
      <c r="A1662" s="17" t="s">
        <v>7299</v>
      </c>
      <c r="B1662" s="17" t="s">
        <v>102</v>
      </c>
      <c r="C1662" s="17" t="s">
        <v>1735</v>
      </c>
      <c r="D1662" s="17" t="s">
        <v>1841</v>
      </c>
      <c r="E1662" s="17" t="s">
        <v>3687</v>
      </c>
      <c r="F1662" s="17" t="s">
        <v>3688</v>
      </c>
      <c r="G1662" s="17" t="s">
        <v>5073</v>
      </c>
      <c r="H1662" t="s">
        <v>7476</v>
      </c>
      <c r="I1662" s="1">
        <v>2</v>
      </c>
      <c r="J1662" s="1">
        <v>2</v>
      </c>
      <c r="K1662" t="s">
        <v>6639</v>
      </c>
      <c r="L1662" s="5">
        <f>VLOOKUP(D:D,[1]Munka2!$A:$B,2,FALSE)</f>
        <v>1</v>
      </c>
      <c r="M1662" s="5">
        <f>_xlfn.IFNA(Táblázat1[[#This Row],[Kész2020]],0)</f>
        <v>1</v>
      </c>
      <c r="N1662" s="5">
        <f>IF(Táblázat1[[#This Row],[Karb./akt.év]]-Táblázat1[[#This Row],[Kész2020_2]]&lt;0,0,Táblázat1[[#This Row],[Karb./akt.év]]-Táblázat1[[#This Row],[Kész2020_2]])</f>
        <v>1</v>
      </c>
    </row>
    <row r="1663" spans="1:14" hidden="1" x14ac:dyDescent="0.25">
      <c r="A1663" s="17" t="s">
        <v>7299</v>
      </c>
      <c r="B1663" s="17" t="s">
        <v>126</v>
      </c>
      <c r="C1663" s="17" t="s">
        <v>1735</v>
      </c>
      <c r="D1663" s="17" t="s">
        <v>2864</v>
      </c>
      <c r="E1663" s="17" t="s">
        <v>3720</v>
      </c>
      <c r="F1663" s="17" t="s">
        <v>3721</v>
      </c>
      <c r="G1663" s="17" t="s">
        <v>5097</v>
      </c>
      <c r="H1663" t="s">
        <v>7476</v>
      </c>
      <c r="I1663" s="1">
        <v>2</v>
      </c>
      <c r="J1663" s="1">
        <v>2</v>
      </c>
      <c r="K1663" t="s">
        <v>6639</v>
      </c>
      <c r="L1663" s="5">
        <f>VLOOKUP(D:D,[1]Munka2!$A:$B,2,FALSE)</f>
        <v>1</v>
      </c>
      <c r="M1663" s="5">
        <f>_xlfn.IFNA(Táblázat1[[#This Row],[Kész2020]],0)</f>
        <v>1</v>
      </c>
      <c r="N1663" s="5">
        <f>IF(Táblázat1[[#This Row],[Karb./akt.év]]-Táblázat1[[#This Row],[Kész2020_2]]&lt;0,0,Táblázat1[[#This Row],[Karb./akt.év]]-Táblázat1[[#This Row],[Kész2020_2]])</f>
        <v>1</v>
      </c>
    </row>
    <row r="1664" spans="1:14" hidden="1" x14ac:dyDescent="0.25">
      <c r="A1664" s="17" t="s">
        <v>7299</v>
      </c>
      <c r="B1664" s="17" t="s">
        <v>863</v>
      </c>
      <c r="C1664" s="17" t="s">
        <v>1738</v>
      </c>
      <c r="D1664" s="17" t="s">
        <v>7436</v>
      </c>
      <c r="E1664" s="17" t="s">
        <v>4430</v>
      </c>
      <c r="F1664" s="17" t="s">
        <v>4431</v>
      </c>
      <c r="G1664" s="17" t="s">
        <v>5799</v>
      </c>
      <c r="H1664" t="s">
        <v>7476</v>
      </c>
      <c r="I1664" s="1">
        <v>2</v>
      </c>
      <c r="J1664" s="1">
        <v>2</v>
      </c>
      <c r="K1664" t="s">
        <v>6639</v>
      </c>
      <c r="L1664" s="5">
        <f>VLOOKUP(D:D,[1]Munka2!$A:$B,2,FALSE)</f>
        <v>1</v>
      </c>
      <c r="M1664" s="5">
        <f>_xlfn.IFNA(Táblázat1[[#This Row],[Kész2020]],0)</f>
        <v>1</v>
      </c>
      <c r="N1664" s="5">
        <f>IF(Táblázat1[[#This Row],[Karb./akt.év]]-Táblázat1[[#This Row],[Kész2020_2]]&lt;0,0,Táblázat1[[#This Row],[Karb./akt.év]]-Táblázat1[[#This Row],[Kész2020_2]])</f>
        <v>1</v>
      </c>
    </row>
    <row r="1665" spans="1:14" hidden="1" x14ac:dyDescent="0.25">
      <c r="A1665" s="17" t="s">
        <v>7299</v>
      </c>
      <c r="B1665" s="17" t="s">
        <v>1438</v>
      </c>
      <c r="C1665" s="17" t="s">
        <v>1738</v>
      </c>
      <c r="D1665" s="17" t="s">
        <v>7443</v>
      </c>
      <c r="E1665" s="17" t="s">
        <v>3792</v>
      </c>
      <c r="F1665" s="17" t="s">
        <v>3793</v>
      </c>
      <c r="G1665" s="17" t="s">
        <v>6343</v>
      </c>
      <c r="H1665" t="s">
        <v>7476</v>
      </c>
      <c r="I1665" s="1">
        <v>2</v>
      </c>
      <c r="J1665" s="1">
        <v>2</v>
      </c>
      <c r="K1665" t="s">
        <v>6639</v>
      </c>
      <c r="L1665" s="5">
        <f>VLOOKUP(D:D,[1]Munka2!$A:$B,2,FALSE)</f>
        <v>1</v>
      </c>
      <c r="M1665" s="5">
        <f>_xlfn.IFNA(Táblázat1[[#This Row],[Kész2020]],0)</f>
        <v>1</v>
      </c>
      <c r="N1665" s="5">
        <f>IF(Táblázat1[[#This Row],[Karb./akt.év]]-Táblázat1[[#This Row],[Kész2020_2]]&lt;0,0,Táblázat1[[#This Row],[Karb./akt.év]]-Táblázat1[[#This Row],[Kész2020_2]])</f>
        <v>1</v>
      </c>
    </row>
    <row r="1666" spans="1:14" hidden="1" x14ac:dyDescent="0.25">
      <c r="A1666" s="17" t="s">
        <v>7299</v>
      </c>
      <c r="B1666" s="17" t="s">
        <v>1497</v>
      </c>
      <c r="C1666" s="17" t="s">
        <v>1738</v>
      </c>
      <c r="D1666" s="17" t="s">
        <v>7445</v>
      </c>
      <c r="E1666" s="17" t="s">
        <v>3792</v>
      </c>
      <c r="F1666" s="17" t="s">
        <v>3793</v>
      </c>
      <c r="G1666" s="17" t="s">
        <v>6404</v>
      </c>
      <c r="H1666" t="s">
        <v>7476</v>
      </c>
      <c r="I1666" s="1">
        <v>2</v>
      </c>
      <c r="J1666" s="1">
        <v>2</v>
      </c>
      <c r="K1666" t="s">
        <v>6639</v>
      </c>
      <c r="L1666" s="5">
        <f>VLOOKUP(D:D,[1]Munka2!$A:$B,2,FALSE)</f>
        <v>1</v>
      </c>
      <c r="M1666" s="5">
        <f>_xlfn.IFNA(Táblázat1[[#This Row],[Kész2020]],0)</f>
        <v>1</v>
      </c>
      <c r="N1666" s="5">
        <f>IF(Táblázat1[[#This Row],[Karb./akt.év]]-Táblázat1[[#This Row],[Kész2020_2]]&lt;0,0,Táblázat1[[#This Row],[Karb./akt.év]]-Táblázat1[[#This Row],[Kész2020_2]])</f>
        <v>1</v>
      </c>
    </row>
    <row r="1667" spans="1:14" hidden="1" x14ac:dyDescent="0.25">
      <c r="A1667" s="17" t="s">
        <v>7299</v>
      </c>
      <c r="B1667" s="17" t="s">
        <v>916</v>
      </c>
      <c r="C1667" s="17" t="s">
        <v>1766</v>
      </c>
      <c r="D1667" s="17" t="s">
        <v>2698</v>
      </c>
      <c r="E1667" s="17" t="s">
        <v>4503</v>
      </c>
      <c r="F1667" s="17" t="s">
        <v>4504</v>
      </c>
      <c r="G1667" s="17" t="s">
        <v>5841</v>
      </c>
      <c r="H1667" t="s">
        <v>7476</v>
      </c>
      <c r="I1667" s="1">
        <v>2</v>
      </c>
      <c r="J1667" s="1">
        <v>2</v>
      </c>
      <c r="K1667" t="s">
        <v>6639</v>
      </c>
      <c r="L1667" s="5">
        <f>VLOOKUP(D:D,[1]Munka2!$A:$B,2,FALSE)</f>
        <v>1</v>
      </c>
      <c r="M1667" s="5">
        <f>_xlfn.IFNA(Táblázat1[[#This Row],[Kész2020]],0)</f>
        <v>1</v>
      </c>
      <c r="N1667" s="5">
        <f>IF(Táblázat1[[#This Row],[Karb./akt.év]]-Táblázat1[[#This Row],[Kész2020_2]]&lt;0,0,Táblázat1[[#This Row],[Karb./akt.év]]-Táblázat1[[#This Row],[Kész2020_2]])</f>
        <v>1</v>
      </c>
    </row>
    <row r="1668" spans="1:14" hidden="1" x14ac:dyDescent="0.25">
      <c r="A1668" s="17" t="s">
        <v>7299</v>
      </c>
      <c r="B1668" s="17" t="s">
        <v>947</v>
      </c>
      <c r="C1668" s="17" t="s">
        <v>1738</v>
      </c>
      <c r="D1668" s="17" t="s">
        <v>7439</v>
      </c>
      <c r="E1668" s="17" t="s">
        <v>4539</v>
      </c>
      <c r="F1668" s="17" t="s">
        <v>4540</v>
      </c>
      <c r="G1668" s="17" t="s">
        <v>5877</v>
      </c>
      <c r="H1668" t="s">
        <v>7476</v>
      </c>
      <c r="I1668" s="1">
        <v>2</v>
      </c>
      <c r="J1668" s="1">
        <v>2</v>
      </c>
      <c r="K1668" t="s">
        <v>6639</v>
      </c>
      <c r="L1668" s="5">
        <f>VLOOKUP(D:D,[1]Munka2!$A:$B,2,FALSE)</f>
        <v>1</v>
      </c>
      <c r="M1668" s="5">
        <f>_xlfn.IFNA(Táblázat1[[#This Row],[Kész2020]],0)</f>
        <v>1</v>
      </c>
      <c r="N1668" s="5">
        <f>IF(Táblázat1[[#This Row],[Karb./akt.év]]-Táblázat1[[#This Row],[Kész2020_2]]&lt;0,0,Táblázat1[[#This Row],[Karb./akt.év]]-Táblázat1[[#This Row],[Kész2020_2]])</f>
        <v>1</v>
      </c>
    </row>
    <row r="1669" spans="1:14" x14ac:dyDescent="0.25">
      <c r="A1669" s="17" t="s">
        <v>7299</v>
      </c>
      <c r="B1669" s="17" t="s">
        <v>998</v>
      </c>
      <c r="C1669" s="17" t="s">
        <v>1748</v>
      </c>
      <c r="D1669" s="17" t="s">
        <v>2787</v>
      </c>
      <c r="E1669" s="17" t="s">
        <v>4565</v>
      </c>
      <c r="F1669" s="17" t="s">
        <v>4566</v>
      </c>
      <c r="G1669" s="17" t="s">
        <v>5927</v>
      </c>
      <c r="H1669" t="s">
        <v>7476</v>
      </c>
      <c r="I1669" s="1">
        <v>2</v>
      </c>
      <c r="J1669" s="1">
        <v>2</v>
      </c>
      <c r="K1669" t="s">
        <v>6639</v>
      </c>
      <c r="L1669" s="5" t="e">
        <f>VLOOKUP(D:D,[1]Munka2!$A:$B,2,FALSE)</f>
        <v>#N/A</v>
      </c>
      <c r="M1669" s="5">
        <f>_xlfn.IFNA(Táblázat1[[#This Row],[Kész2020]],0)</f>
        <v>0</v>
      </c>
      <c r="N1669" s="5">
        <f>IF(Táblázat1[[#This Row],[Karb./akt.év]]-Táblázat1[[#This Row],[Kész2020_2]]&lt;0,0,Táblázat1[[#This Row],[Karb./akt.év]]-Táblázat1[[#This Row],[Kész2020_2]])</f>
        <v>2</v>
      </c>
    </row>
    <row r="1670" spans="1:14" hidden="1" x14ac:dyDescent="0.25">
      <c r="A1670" s="17" t="s">
        <v>7299</v>
      </c>
      <c r="B1670" s="17" t="s">
        <v>880</v>
      </c>
      <c r="C1670" s="17" t="s">
        <v>1735</v>
      </c>
      <c r="D1670" s="17" t="s">
        <v>2663</v>
      </c>
      <c r="E1670" s="17" t="s">
        <v>4460</v>
      </c>
      <c r="F1670" s="17" t="s">
        <v>4461</v>
      </c>
      <c r="G1670" s="17" t="s">
        <v>5814</v>
      </c>
      <c r="H1670" t="s">
        <v>7476</v>
      </c>
      <c r="I1670" s="1">
        <v>2</v>
      </c>
      <c r="J1670" s="1">
        <v>2</v>
      </c>
      <c r="K1670" t="s">
        <v>6639</v>
      </c>
      <c r="L1670" s="5">
        <f>VLOOKUP(D:D,[1]Munka2!$A:$B,2,FALSE)</f>
        <v>1</v>
      </c>
      <c r="M1670" s="5">
        <f>_xlfn.IFNA(Táblázat1[[#This Row],[Kész2020]],0)</f>
        <v>1</v>
      </c>
      <c r="N1670" s="5">
        <f>IF(Táblázat1[[#This Row],[Karb./akt.év]]-Táblázat1[[#This Row],[Kész2020_2]]&lt;0,0,Táblázat1[[#This Row],[Karb./akt.év]]-Táblázat1[[#This Row],[Kész2020_2]])</f>
        <v>1</v>
      </c>
    </row>
    <row r="1671" spans="1:14" hidden="1" x14ac:dyDescent="0.25">
      <c r="A1671" s="17" t="s">
        <v>7299</v>
      </c>
      <c r="B1671" s="17" t="s">
        <v>975</v>
      </c>
      <c r="C1671" s="17" t="s">
        <v>1738</v>
      </c>
      <c r="D1671" s="17" t="s">
        <v>7440</v>
      </c>
      <c r="E1671" s="17" t="s">
        <v>4560</v>
      </c>
      <c r="F1671" s="17" t="s">
        <v>4561</v>
      </c>
      <c r="G1671" s="17" t="s">
        <v>5903</v>
      </c>
      <c r="H1671" t="s">
        <v>7476</v>
      </c>
      <c r="I1671" s="1">
        <v>2</v>
      </c>
      <c r="J1671" s="1">
        <v>2</v>
      </c>
      <c r="K1671" t="s">
        <v>6639</v>
      </c>
      <c r="L1671" s="5">
        <f>VLOOKUP(D:D,[1]Munka2!$A:$B,2,FALSE)</f>
        <v>1</v>
      </c>
      <c r="M1671" s="5">
        <f>_xlfn.IFNA(Táblázat1[[#This Row],[Kész2020]],0)</f>
        <v>1</v>
      </c>
      <c r="N1671" s="5">
        <f>IF(Táblázat1[[#This Row],[Karb./akt.év]]-Táblázat1[[#This Row],[Kész2020_2]]&lt;0,0,Táblázat1[[#This Row],[Karb./akt.év]]-Táblázat1[[#This Row],[Kész2020_2]])</f>
        <v>1</v>
      </c>
    </row>
    <row r="1672" spans="1:14" hidden="1" x14ac:dyDescent="0.25">
      <c r="A1672" s="17" t="s">
        <v>7299</v>
      </c>
      <c r="B1672" s="17" t="s">
        <v>1659</v>
      </c>
      <c r="C1672" s="17" t="s">
        <v>1735</v>
      </c>
      <c r="D1672" s="17" t="s">
        <v>3516</v>
      </c>
      <c r="E1672" s="17" t="s">
        <v>4973</v>
      </c>
      <c r="F1672" s="17" t="s">
        <v>4974</v>
      </c>
      <c r="G1672" s="17" t="s">
        <v>6557</v>
      </c>
      <c r="H1672" t="s">
        <v>7476</v>
      </c>
      <c r="I1672" s="1">
        <v>2</v>
      </c>
      <c r="J1672" s="1">
        <v>2</v>
      </c>
      <c r="K1672" t="s">
        <v>6639</v>
      </c>
      <c r="L1672" s="5">
        <f>VLOOKUP(D:D,[1]Munka2!$A:$B,2,FALSE)</f>
        <v>1</v>
      </c>
      <c r="M1672" s="5">
        <f>_xlfn.IFNA(Táblázat1[[#This Row],[Kész2020]],0)</f>
        <v>1</v>
      </c>
      <c r="N1672" s="5">
        <f>IF(Táblázat1[[#This Row],[Karb./akt.év]]-Táblázat1[[#This Row],[Kész2020_2]]&lt;0,0,Táblázat1[[#This Row],[Karb./akt.év]]-Táblázat1[[#This Row],[Kész2020_2]])</f>
        <v>1</v>
      </c>
    </row>
    <row r="1673" spans="1:14" hidden="1" x14ac:dyDescent="0.25">
      <c r="A1673" s="17" t="s">
        <v>7299</v>
      </c>
      <c r="B1673" s="17" t="s">
        <v>1287</v>
      </c>
      <c r="C1673" s="17" t="s">
        <v>1748</v>
      </c>
      <c r="D1673" s="17" t="s">
        <v>3100</v>
      </c>
      <c r="E1673" s="17" t="s">
        <v>4783</v>
      </c>
      <c r="F1673" s="17" t="s">
        <v>4784</v>
      </c>
      <c r="G1673" s="17" t="s">
        <v>6209</v>
      </c>
      <c r="H1673" t="s">
        <v>7476</v>
      </c>
      <c r="I1673" s="1">
        <v>2</v>
      </c>
      <c r="J1673" s="1">
        <v>2</v>
      </c>
      <c r="K1673" t="s">
        <v>6639</v>
      </c>
      <c r="L1673" s="5">
        <f>VLOOKUP(D:D,[1]Munka2!$A:$B,2,FALSE)</f>
        <v>1</v>
      </c>
      <c r="M1673" s="5">
        <f>_xlfn.IFNA(Táblázat1[[#This Row],[Kész2020]],0)</f>
        <v>1</v>
      </c>
      <c r="N1673" s="5">
        <f>IF(Táblázat1[[#This Row],[Karb./akt.év]]-Táblázat1[[#This Row],[Kész2020_2]]&lt;0,0,Táblázat1[[#This Row],[Karb./akt.év]]-Táblázat1[[#This Row],[Kész2020_2]])</f>
        <v>1</v>
      </c>
    </row>
    <row r="1674" spans="1:14" x14ac:dyDescent="0.25">
      <c r="A1674" s="17" t="s">
        <v>7299</v>
      </c>
      <c r="B1674" s="17" t="s">
        <v>540</v>
      </c>
      <c r="C1674" s="17" t="s">
        <v>1735</v>
      </c>
      <c r="D1674" s="17" t="s">
        <v>2306</v>
      </c>
      <c r="E1674" s="17" t="s">
        <v>4155</v>
      </c>
      <c r="F1674" s="17" t="s">
        <v>4156</v>
      </c>
      <c r="G1674" s="17" t="s">
        <v>5498</v>
      </c>
      <c r="H1674" t="s">
        <v>7476</v>
      </c>
      <c r="I1674" s="1">
        <v>2</v>
      </c>
      <c r="J1674" s="1">
        <v>2</v>
      </c>
      <c r="K1674" t="s">
        <v>6639</v>
      </c>
      <c r="L1674" s="5" t="e">
        <f>VLOOKUP(D:D,[1]Munka2!$A:$B,2,FALSE)</f>
        <v>#N/A</v>
      </c>
      <c r="M1674" s="5">
        <f>_xlfn.IFNA(Táblázat1[[#This Row],[Kész2020]],0)</f>
        <v>0</v>
      </c>
      <c r="N1674" s="5">
        <f>IF(Táblázat1[[#This Row],[Karb./akt.év]]-Táblázat1[[#This Row],[Kész2020_2]]&lt;0,0,Táblázat1[[#This Row],[Karb./akt.év]]-Táblázat1[[#This Row],[Kész2020_2]])</f>
        <v>2</v>
      </c>
    </row>
    <row r="1675" spans="1:14" x14ac:dyDescent="0.25">
      <c r="A1675" s="17" t="s">
        <v>7299</v>
      </c>
      <c r="B1675" s="17" t="s">
        <v>1680</v>
      </c>
      <c r="C1675" s="17" t="s">
        <v>1737</v>
      </c>
      <c r="D1675" s="17" t="s">
        <v>3536</v>
      </c>
      <c r="E1675" s="17" t="s">
        <v>4982</v>
      </c>
      <c r="F1675" s="17" t="s">
        <v>4983</v>
      </c>
      <c r="G1675" s="17" t="s">
        <v>6575</v>
      </c>
      <c r="H1675" t="s">
        <v>7476</v>
      </c>
      <c r="I1675" s="1">
        <v>2</v>
      </c>
      <c r="J1675" s="1">
        <v>2</v>
      </c>
      <c r="K1675" t="s">
        <v>6639</v>
      </c>
      <c r="L1675" s="5" t="e">
        <f>VLOOKUP(D:D,[1]Munka2!$A:$B,2,FALSE)</f>
        <v>#N/A</v>
      </c>
      <c r="M1675" s="5">
        <f>_xlfn.IFNA(Táblázat1[[#This Row],[Kész2020]],0)</f>
        <v>0</v>
      </c>
      <c r="N1675" s="5">
        <f>IF(Táblázat1[[#This Row],[Karb./akt.év]]-Táblázat1[[#This Row],[Kész2020_2]]&lt;0,0,Táblázat1[[#This Row],[Karb./akt.év]]-Táblázat1[[#This Row],[Kész2020_2]])</f>
        <v>2</v>
      </c>
    </row>
    <row r="1676" spans="1:14" x14ac:dyDescent="0.25">
      <c r="A1676" s="17" t="s">
        <v>7299</v>
      </c>
      <c r="B1676" s="17" t="s">
        <v>1130</v>
      </c>
      <c r="C1676" s="17" t="s">
        <v>1736</v>
      </c>
      <c r="D1676" s="17" t="s">
        <v>2927</v>
      </c>
      <c r="E1676" s="17" t="s">
        <v>3792</v>
      </c>
      <c r="F1676" s="17" t="s">
        <v>3793</v>
      </c>
      <c r="G1676" s="17" t="s">
        <v>6060</v>
      </c>
      <c r="H1676" t="s">
        <v>7476</v>
      </c>
      <c r="I1676" s="1">
        <v>2</v>
      </c>
      <c r="J1676" s="1">
        <v>2</v>
      </c>
      <c r="K1676" t="s">
        <v>6639</v>
      </c>
      <c r="L1676" s="5" t="e">
        <f>VLOOKUP(D:D,[1]Munka2!$A:$B,2,FALSE)</f>
        <v>#N/A</v>
      </c>
      <c r="M1676" s="5">
        <f>_xlfn.IFNA(Táblázat1[[#This Row],[Kész2020]],0)</f>
        <v>0</v>
      </c>
      <c r="N1676" s="5">
        <f>IF(Táblázat1[[#This Row],[Karb./akt.év]]-Táblázat1[[#This Row],[Kész2020_2]]&lt;0,0,Táblázat1[[#This Row],[Karb./akt.év]]-Táblázat1[[#This Row],[Kész2020_2]])</f>
        <v>2</v>
      </c>
    </row>
    <row r="1677" spans="1:14" hidden="1" x14ac:dyDescent="0.25">
      <c r="A1677" s="17" t="s">
        <v>7299</v>
      </c>
      <c r="B1677" s="17" t="s">
        <v>864</v>
      </c>
      <c r="C1677" s="17" t="s">
        <v>1735</v>
      </c>
      <c r="D1677" s="17" t="s">
        <v>2645</v>
      </c>
      <c r="E1677" s="17" t="s">
        <v>4434</v>
      </c>
      <c r="F1677" s="17" t="s">
        <v>4435</v>
      </c>
      <c r="G1677" s="17" t="s">
        <v>5801</v>
      </c>
      <c r="H1677" t="s">
        <v>7476</v>
      </c>
      <c r="I1677" s="1">
        <v>2</v>
      </c>
      <c r="J1677" s="1">
        <v>2</v>
      </c>
      <c r="K1677" t="s">
        <v>6639</v>
      </c>
      <c r="L1677" s="5">
        <f>VLOOKUP(D:D,[1]Munka2!$A:$B,2,FALSE)</f>
        <v>1</v>
      </c>
      <c r="M1677" s="5">
        <f>_xlfn.IFNA(Táblázat1[[#This Row],[Kész2020]],0)</f>
        <v>1</v>
      </c>
      <c r="N1677" s="5">
        <f>IF(Táblázat1[[#This Row],[Karb./akt.év]]-Táblázat1[[#This Row],[Kész2020_2]]&lt;0,0,Táblázat1[[#This Row],[Karb./akt.év]]-Táblázat1[[#This Row],[Kész2020_2]])</f>
        <v>1</v>
      </c>
    </row>
    <row r="1678" spans="1:14" hidden="1" x14ac:dyDescent="0.25">
      <c r="A1678" s="17" t="s">
        <v>7299</v>
      </c>
      <c r="B1678" s="17" t="s">
        <v>7761</v>
      </c>
      <c r="C1678" s="17" t="s">
        <v>1738</v>
      </c>
      <c r="D1678" s="17" t="s">
        <v>7864</v>
      </c>
      <c r="E1678" s="17" t="s">
        <v>3650</v>
      </c>
      <c r="F1678" s="17" t="s">
        <v>3651</v>
      </c>
      <c r="G1678" s="17" t="s">
        <v>8081</v>
      </c>
      <c r="H1678" t="s">
        <v>7476</v>
      </c>
      <c r="I1678" s="1">
        <v>2</v>
      </c>
      <c r="J1678" s="1">
        <v>0</v>
      </c>
      <c r="K1678" t="s">
        <v>6639</v>
      </c>
      <c r="L1678" s="5" t="e">
        <f>VLOOKUP(D:D,[1]Munka2!$A:$B,2,FALSE)</f>
        <v>#N/A</v>
      </c>
      <c r="M1678" s="5">
        <f>_xlfn.IFNA(Táblázat1[[#This Row],[Kész2020]],0)</f>
        <v>0</v>
      </c>
      <c r="N1678" s="5">
        <f>IF(Táblázat1[[#This Row],[Karb./akt.év]]-Táblázat1[[#This Row],[Kész2020_2]]&lt;0,0,Táblázat1[[#This Row],[Karb./akt.év]]-Táblázat1[[#This Row],[Kész2020_2]])</f>
        <v>0</v>
      </c>
    </row>
    <row r="1679" spans="1:14" hidden="1" x14ac:dyDescent="0.25">
      <c r="A1679" s="17" t="s">
        <v>7299</v>
      </c>
      <c r="B1679" s="17" t="s">
        <v>7762</v>
      </c>
      <c r="C1679" s="17" t="s">
        <v>1753</v>
      </c>
      <c r="D1679" s="17" t="s">
        <v>7865</v>
      </c>
      <c r="E1679" s="17" t="s">
        <v>4386</v>
      </c>
      <c r="F1679" s="17" t="s">
        <v>4387</v>
      </c>
      <c r="G1679" s="17" t="s">
        <v>5826</v>
      </c>
      <c r="H1679" t="s">
        <v>7476</v>
      </c>
      <c r="I1679" s="1">
        <v>2</v>
      </c>
      <c r="J1679" s="1">
        <v>0</v>
      </c>
      <c r="K1679" t="s">
        <v>6639</v>
      </c>
      <c r="L1679" s="5" t="e">
        <f>VLOOKUP(D:D,[1]Munka2!$A:$B,2,FALSE)</f>
        <v>#N/A</v>
      </c>
      <c r="M1679" s="5">
        <f>_xlfn.IFNA(Táblázat1[[#This Row],[Kész2020]],0)</f>
        <v>0</v>
      </c>
      <c r="N1679" s="5">
        <f>IF(Táblázat1[[#This Row],[Karb./akt.év]]-Táblázat1[[#This Row],[Kész2020_2]]&lt;0,0,Táblázat1[[#This Row],[Karb./akt.év]]-Táblázat1[[#This Row],[Kész2020_2]])</f>
        <v>0</v>
      </c>
    </row>
    <row r="1680" spans="1:14" hidden="1" x14ac:dyDescent="0.25">
      <c r="A1680" s="17" t="s">
        <v>7299</v>
      </c>
      <c r="B1680" s="17" t="s">
        <v>370</v>
      </c>
      <c r="C1680" s="17" t="s">
        <v>1738</v>
      </c>
      <c r="D1680" s="17" t="s">
        <v>7431</v>
      </c>
      <c r="E1680" s="17" t="s">
        <v>4007</v>
      </c>
      <c r="F1680" s="17" t="s">
        <v>4008</v>
      </c>
      <c r="G1680" s="17" t="s">
        <v>5338</v>
      </c>
      <c r="H1680" t="s">
        <v>7476</v>
      </c>
      <c r="I1680" s="1">
        <v>2</v>
      </c>
      <c r="J1680" s="1">
        <v>2</v>
      </c>
      <c r="K1680" t="s">
        <v>6639</v>
      </c>
      <c r="L1680" s="5">
        <f>VLOOKUP(D:D,[1]Munka2!$A:$B,2,FALSE)</f>
        <v>1</v>
      </c>
      <c r="M1680" s="5">
        <f>_xlfn.IFNA(Táblázat1[[#This Row],[Kész2020]],0)</f>
        <v>1</v>
      </c>
      <c r="N1680" s="5">
        <f>IF(Táblázat1[[#This Row],[Karb./akt.év]]-Táblázat1[[#This Row],[Kész2020_2]]&lt;0,0,Táblázat1[[#This Row],[Karb./akt.év]]-Táblázat1[[#This Row],[Kész2020_2]])</f>
        <v>1</v>
      </c>
    </row>
    <row r="1681" spans="1:14" hidden="1" x14ac:dyDescent="0.25">
      <c r="A1681" s="17" t="s">
        <v>7299</v>
      </c>
      <c r="B1681" s="17" t="s">
        <v>1526</v>
      </c>
      <c r="C1681" s="17" t="s">
        <v>1737</v>
      </c>
      <c r="D1681" s="17" t="s">
        <v>3368</v>
      </c>
      <c r="E1681" s="17" t="s">
        <v>4926</v>
      </c>
      <c r="F1681" s="17" t="s">
        <v>4927</v>
      </c>
      <c r="G1681" s="17" t="s">
        <v>6433</v>
      </c>
      <c r="H1681" t="s">
        <v>7476</v>
      </c>
      <c r="I1681" s="1">
        <v>2</v>
      </c>
      <c r="J1681" s="1">
        <v>2</v>
      </c>
      <c r="K1681" t="s">
        <v>6639</v>
      </c>
      <c r="L1681" s="5">
        <f>VLOOKUP(D:D,[1]Munka2!$A:$B,2,FALSE)</f>
        <v>1</v>
      </c>
      <c r="M1681" s="5">
        <f>_xlfn.IFNA(Táblázat1[[#This Row],[Kész2020]],0)</f>
        <v>1</v>
      </c>
      <c r="N1681" s="5">
        <f>IF(Táblázat1[[#This Row],[Karb./akt.év]]-Táblázat1[[#This Row],[Kész2020_2]]&lt;0,0,Táblázat1[[#This Row],[Karb./akt.év]]-Táblázat1[[#This Row],[Kész2020_2]])</f>
        <v>1</v>
      </c>
    </row>
    <row r="1682" spans="1:14" hidden="1" x14ac:dyDescent="0.25">
      <c r="A1682" s="17" t="s">
        <v>7299</v>
      </c>
      <c r="B1682" s="17" t="s">
        <v>1106</v>
      </c>
      <c r="C1682" s="17" t="s">
        <v>1735</v>
      </c>
      <c r="D1682" s="17" t="s">
        <v>2900</v>
      </c>
      <c r="E1682" s="17" t="s">
        <v>4625</v>
      </c>
      <c r="F1682" s="17" t="s">
        <v>4626</v>
      </c>
      <c r="G1682" s="17" t="s">
        <v>6036</v>
      </c>
      <c r="H1682" t="s">
        <v>7476</v>
      </c>
      <c r="I1682" s="1">
        <v>2</v>
      </c>
      <c r="J1682" s="1">
        <v>2</v>
      </c>
      <c r="K1682" t="s">
        <v>6639</v>
      </c>
      <c r="L1682" s="5">
        <f>VLOOKUP(D:D,[1]Munka2!$A:$B,2,FALSE)</f>
        <v>1</v>
      </c>
      <c r="M1682" s="5">
        <f>_xlfn.IFNA(Táblázat1[[#This Row],[Kész2020]],0)</f>
        <v>1</v>
      </c>
      <c r="N1682" s="5">
        <f>IF(Táblázat1[[#This Row],[Karb./akt.év]]-Táblázat1[[#This Row],[Kész2020_2]]&lt;0,0,Táblázat1[[#This Row],[Karb./akt.év]]-Táblázat1[[#This Row],[Kész2020_2]])</f>
        <v>1</v>
      </c>
    </row>
    <row r="1683" spans="1:14" hidden="1" x14ac:dyDescent="0.25">
      <c r="A1683" s="17" t="s">
        <v>7299</v>
      </c>
      <c r="B1683" s="17" t="s">
        <v>1183</v>
      </c>
      <c r="C1683" s="17" t="s">
        <v>1735</v>
      </c>
      <c r="D1683" s="17" t="s">
        <v>2986</v>
      </c>
      <c r="E1683" s="17" t="s">
        <v>4700</v>
      </c>
      <c r="F1683" s="17" t="s">
        <v>4701</v>
      </c>
      <c r="G1683" s="17" t="s">
        <v>6110</v>
      </c>
      <c r="H1683" t="s">
        <v>7476</v>
      </c>
      <c r="I1683" s="1">
        <v>2</v>
      </c>
      <c r="J1683" s="1">
        <v>2</v>
      </c>
      <c r="K1683" t="s">
        <v>6639</v>
      </c>
      <c r="L1683" s="5">
        <f>VLOOKUP(D:D,[1]Munka2!$A:$B,2,FALSE)</f>
        <v>1</v>
      </c>
      <c r="M1683" s="5">
        <f>_xlfn.IFNA(Táblázat1[[#This Row],[Kész2020]],0)</f>
        <v>1</v>
      </c>
      <c r="N1683" s="5">
        <f>IF(Táblázat1[[#This Row],[Karb./akt.év]]-Táblázat1[[#This Row],[Kész2020_2]]&lt;0,0,Táblázat1[[#This Row],[Karb./akt.év]]-Táblázat1[[#This Row],[Kész2020_2]])</f>
        <v>1</v>
      </c>
    </row>
    <row r="1684" spans="1:14" hidden="1" x14ac:dyDescent="0.25">
      <c r="A1684" s="17" t="s">
        <v>7299</v>
      </c>
      <c r="B1684" s="17" t="s">
        <v>7290</v>
      </c>
      <c r="C1684" s="17" t="s">
        <v>1735</v>
      </c>
      <c r="D1684" s="17" t="s">
        <v>7320</v>
      </c>
      <c r="E1684" s="17" t="s">
        <v>7335</v>
      </c>
      <c r="F1684" s="17" t="s">
        <v>3793</v>
      </c>
      <c r="G1684" s="17" t="s">
        <v>7350</v>
      </c>
      <c r="H1684" t="s">
        <v>7476</v>
      </c>
      <c r="I1684" s="1">
        <v>2</v>
      </c>
      <c r="J1684" s="1">
        <v>2</v>
      </c>
      <c r="K1684" t="s">
        <v>6639</v>
      </c>
      <c r="L1684" s="5">
        <f>VLOOKUP(D:D,[1]Munka2!$A:$B,2,FALSE)</f>
        <v>1</v>
      </c>
      <c r="M1684" s="5">
        <f>_xlfn.IFNA(Táblázat1[[#This Row],[Kész2020]],0)</f>
        <v>1</v>
      </c>
      <c r="N1684" s="5">
        <f>IF(Táblázat1[[#This Row],[Karb./akt.év]]-Táblázat1[[#This Row],[Kész2020_2]]&lt;0,0,Táblázat1[[#This Row],[Karb./akt.év]]-Táblázat1[[#This Row],[Kész2020_2]])</f>
        <v>1</v>
      </c>
    </row>
    <row r="1685" spans="1:14" hidden="1" x14ac:dyDescent="0.25">
      <c r="A1685" s="17" t="s">
        <v>7299</v>
      </c>
      <c r="B1685" s="17" t="s">
        <v>1411</v>
      </c>
      <c r="C1685" s="17" t="s">
        <v>1746</v>
      </c>
      <c r="D1685" s="17" t="s">
        <v>3239</v>
      </c>
      <c r="E1685" s="17" t="s">
        <v>4877</v>
      </c>
      <c r="F1685" s="17" t="s">
        <v>4878</v>
      </c>
      <c r="G1685" s="17" t="s">
        <v>7662</v>
      </c>
      <c r="H1685" t="s">
        <v>7476</v>
      </c>
      <c r="I1685" s="1">
        <v>2</v>
      </c>
      <c r="J1685" s="1">
        <v>2</v>
      </c>
      <c r="K1685" t="s">
        <v>7354</v>
      </c>
      <c r="L1685" s="5">
        <f>VLOOKUP(D:D,[1]Munka2!$A:$B,2,FALSE)</f>
        <v>1</v>
      </c>
      <c r="M1685" s="5">
        <f>_xlfn.IFNA(Táblázat1[[#This Row],[Kész2020]],0)</f>
        <v>1</v>
      </c>
      <c r="N1685" s="5">
        <f>IF(Táblázat1[[#This Row],[Karb./akt.év]]-Táblázat1[[#This Row],[Kész2020_2]]&lt;0,0,Táblázat1[[#This Row],[Karb./akt.év]]-Táblázat1[[#This Row],[Kész2020_2]])</f>
        <v>1</v>
      </c>
    </row>
    <row r="1686" spans="1:14" x14ac:dyDescent="0.25">
      <c r="A1686" s="17" t="s">
        <v>7299</v>
      </c>
      <c r="B1686" s="17" t="s">
        <v>1369</v>
      </c>
      <c r="C1686" s="17" t="s">
        <v>1753</v>
      </c>
      <c r="D1686" s="17" t="s">
        <v>3188</v>
      </c>
      <c r="E1686" s="17" t="s">
        <v>3930</v>
      </c>
      <c r="F1686" s="17" t="s">
        <v>3931</v>
      </c>
      <c r="G1686" s="17" t="s">
        <v>6275</v>
      </c>
      <c r="H1686" t="s">
        <v>7476</v>
      </c>
      <c r="I1686" s="1">
        <v>2</v>
      </c>
      <c r="J1686" s="1">
        <v>2</v>
      </c>
      <c r="K1686" t="s">
        <v>7354</v>
      </c>
      <c r="L1686" s="5" t="e">
        <f>VLOOKUP(D:D,[1]Munka2!$A:$B,2,FALSE)</f>
        <v>#N/A</v>
      </c>
      <c r="M1686" s="5">
        <f>_xlfn.IFNA(Táblázat1[[#This Row],[Kész2020]],0)</f>
        <v>0</v>
      </c>
      <c r="N1686" s="5">
        <f>IF(Táblázat1[[#This Row],[Karb./akt.év]]-Táblázat1[[#This Row],[Kész2020_2]]&lt;0,0,Táblázat1[[#This Row],[Karb./akt.év]]-Táblázat1[[#This Row],[Kész2020_2]])</f>
        <v>2</v>
      </c>
    </row>
    <row r="1687" spans="1:14" hidden="1" x14ac:dyDescent="0.25">
      <c r="A1687" s="17" t="s">
        <v>7299</v>
      </c>
      <c r="B1687" s="17" t="s">
        <v>810</v>
      </c>
      <c r="C1687" s="17" t="s">
        <v>1746</v>
      </c>
      <c r="D1687" s="17" t="s">
        <v>2587</v>
      </c>
      <c r="E1687" s="17" t="s">
        <v>4382</v>
      </c>
      <c r="F1687" s="17" t="s">
        <v>4383</v>
      </c>
      <c r="G1687" s="17" t="s">
        <v>7663</v>
      </c>
      <c r="H1687" t="s">
        <v>7476</v>
      </c>
      <c r="I1687" s="1">
        <v>2</v>
      </c>
      <c r="J1687" s="1">
        <v>2</v>
      </c>
      <c r="K1687" t="s">
        <v>7354</v>
      </c>
      <c r="L1687" s="5">
        <f>VLOOKUP(D:D,[1]Munka2!$A:$B,2,FALSE)</f>
        <v>1</v>
      </c>
      <c r="M1687" s="5">
        <f>_xlfn.IFNA(Táblázat1[[#This Row],[Kész2020]],0)</f>
        <v>1</v>
      </c>
      <c r="N1687" s="5">
        <f>IF(Táblázat1[[#This Row],[Karb./akt.év]]-Táblázat1[[#This Row],[Kész2020_2]]&lt;0,0,Táblázat1[[#This Row],[Karb./akt.év]]-Táblázat1[[#This Row],[Kész2020_2]])</f>
        <v>1</v>
      </c>
    </row>
    <row r="1688" spans="1:14" x14ac:dyDescent="0.25">
      <c r="A1688" s="17" t="s">
        <v>7299</v>
      </c>
      <c r="B1688" s="17" t="s">
        <v>1688</v>
      </c>
      <c r="C1688" s="17" t="s">
        <v>1754</v>
      </c>
      <c r="D1688" s="17" t="s">
        <v>7390</v>
      </c>
      <c r="E1688" s="17" t="s">
        <v>4609</v>
      </c>
      <c r="F1688" s="17" t="s">
        <v>4610</v>
      </c>
      <c r="G1688" s="17" t="s">
        <v>6585</v>
      </c>
      <c r="H1688" t="s">
        <v>7476</v>
      </c>
      <c r="I1688" s="1">
        <v>2</v>
      </c>
      <c r="J1688" s="1">
        <v>2</v>
      </c>
      <c r="K1688" t="s">
        <v>6636</v>
      </c>
      <c r="L1688" s="5" t="e">
        <f>VLOOKUP(D:D,[1]Munka2!$A:$B,2,FALSE)</f>
        <v>#N/A</v>
      </c>
      <c r="M1688" s="5">
        <f>_xlfn.IFNA(Táblázat1[[#This Row],[Kész2020]],0)</f>
        <v>0</v>
      </c>
      <c r="N1688" s="5">
        <f>IF(Táblázat1[[#This Row],[Karb./akt.év]]-Táblázat1[[#This Row],[Kész2020_2]]&lt;0,0,Táblázat1[[#This Row],[Karb./akt.év]]-Táblázat1[[#This Row],[Kész2020_2]])</f>
        <v>2</v>
      </c>
    </row>
    <row r="1689" spans="1:14" hidden="1" x14ac:dyDescent="0.25">
      <c r="A1689" s="17" t="s">
        <v>7299</v>
      </c>
      <c r="B1689" s="17" t="s">
        <v>622</v>
      </c>
      <c r="C1689" s="17" t="s">
        <v>1748</v>
      </c>
      <c r="D1689" s="17" t="s">
        <v>2395</v>
      </c>
      <c r="E1689" s="17" t="s">
        <v>4121</v>
      </c>
      <c r="F1689" s="17" t="s">
        <v>4122</v>
      </c>
      <c r="G1689" s="17" t="s">
        <v>5578</v>
      </c>
      <c r="H1689" t="s">
        <v>7476</v>
      </c>
      <c r="I1689" s="1">
        <v>2</v>
      </c>
      <c r="J1689" s="1">
        <v>2</v>
      </c>
      <c r="K1689" t="s">
        <v>7014</v>
      </c>
      <c r="L1689" s="5">
        <f>VLOOKUP(D:D,[1]Munka2!$A:$B,2,FALSE)</f>
        <v>1</v>
      </c>
      <c r="M1689" s="5">
        <f>_xlfn.IFNA(Táblázat1[[#This Row],[Kész2020]],0)</f>
        <v>1</v>
      </c>
      <c r="N1689" s="5">
        <f>IF(Táblázat1[[#This Row],[Karb./akt.év]]-Táblázat1[[#This Row],[Kész2020_2]]&lt;0,0,Táblázat1[[#This Row],[Karb./akt.év]]-Táblázat1[[#This Row],[Kész2020_2]])</f>
        <v>1</v>
      </c>
    </row>
    <row r="1690" spans="1:14" hidden="1" x14ac:dyDescent="0.25">
      <c r="A1690" s="17" t="s">
        <v>7299</v>
      </c>
      <c r="B1690" s="17" t="s">
        <v>1697</v>
      </c>
      <c r="C1690" s="17" t="s">
        <v>1748</v>
      </c>
      <c r="D1690" s="17" t="s">
        <v>3554</v>
      </c>
      <c r="E1690" s="17" t="s">
        <v>4994</v>
      </c>
      <c r="F1690" s="17" t="s">
        <v>4995</v>
      </c>
      <c r="G1690" s="17" t="s">
        <v>7664</v>
      </c>
      <c r="H1690" t="s">
        <v>7476</v>
      </c>
      <c r="I1690" s="1">
        <v>2</v>
      </c>
      <c r="J1690" s="1">
        <v>2</v>
      </c>
      <c r="K1690" t="s">
        <v>7014</v>
      </c>
      <c r="L1690" s="5">
        <f>VLOOKUP(D:D,[1]Munka2!$A:$B,2,FALSE)</f>
        <v>1</v>
      </c>
      <c r="M1690" s="5">
        <f>_xlfn.IFNA(Táblázat1[[#This Row],[Kész2020]],0)</f>
        <v>1</v>
      </c>
      <c r="N1690" s="5">
        <f>IF(Táblázat1[[#This Row],[Karb./akt.év]]-Táblázat1[[#This Row],[Kész2020_2]]&lt;0,0,Táblázat1[[#This Row],[Karb./akt.év]]-Táblázat1[[#This Row],[Kész2020_2]])</f>
        <v>1</v>
      </c>
    </row>
    <row r="1691" spans="1:14" x14ac:dyDescent="0.25">
      <c r="A1691" s="17" t="s">
        <v>7299</v>
      </c>
      <c r="B1691" s="17" t="s">
        <v>7763</v>
      </c>
      <c r="C1691" s="17" t="s">
        <v>1748</v>
      </c>
      <c r="D1691" s="17" t="s">
        <v>7866</v>
      </c>
      <c r="E1691" s="17" t="s">
        <v>7985</v>
      </c>
      <c r="F1691" s="17" t="s">
        <v>7986</v>
      </c>
      <c r="G1691" s="17" t="s">
        <v>8082</v>
      </c>
      <c r="H1691" t="s">
        <v>7476</v>
      </c>
      <c r="I1691" s="1">
        <v>2</v>
      </c>
      <c r="J1691" s="1">
        <v>2</v>
      </c>
      <c r="K1691" t="s">
        <v>7354</v>
      </c>
      <c r="L1691" s="5" t="e">
        <f>VLOOKUP(D:D,[1]Munka2!$A:$B,2,FALSE)</f>
        <v>#N/A</v>
      </c>
      <c r="M1691" s="5">
        <f>_xlfn.IFNA(Táblázat1[[#This Row],[Kész2020]],0)</f>
        <v>0</v>
      </c>
      <c r="N1691" s="5">
        <f>IF(Táblázat1[[#This Row],[Karb./akt.év]]-Táblázat1[[#This Row],[Kész2020_2]]&lt;0,0,Táblázat1[[#This Row],[Karb./akt.év]]-Táblázat1[[#This Row],[Kész2020_2]])</f>
        <v>2</v>
      </c>
    </row>
    <row r="1692" spans="1:14" x14ac:dyDescent="0.25">
      <c r="A1692" s="17" t="s">
        <v>7299</v>
      </c>
      <c r="B1692" s="17" t="s">
        <v>7568</v>
      </c>
      <c r="C1692" s="17" t="s">
        <v>1738</v>
      </c>
      <c r="D1692" s="17" t="s">
        <v>3194</v>
      </c>
      <c r="E1692" s="17" t="s">
        <v>4061</v>
      </c>
      <c r="F1692" s="17" t="s">
        <v>4062</v>
      </c>
      <c r="G1692" s="17" t="s">
        <v>6277</v>
      </c>
      <c r="H1692" t="s">
        <v>7476</v>
      </c>
      <c r="I1692" s="1">
        <v>2</v>
      </c>
      <c r="J1692" s="1">
        <v>2</v>
      </c>
      <c r="K1692" t="s">
        <v>6636</v>
      </c>
      <c r="L1692" s="5" t="e">
        <f>VLOOKUP(D:D,[1]Munka2!$A:$B,2,FALSE)</f>
        <v>#N/A</v>
      </c>
      <c r="M1692" s="5">
        <f>_xlfn.IFNA(Táblázat1[[#This Row],[Kész2020]],0)</f>
        <v>0</v>
      </c>
      <c r="N1692" s="5">
        <f>IF(Táblázat1[[#This Row],[Karb./akt.év]]-Táblázat1[[#This Row],[Kész2020_2]]&lt;0,0,Táblázat1[[#This Row],[Karb./akt.év]]-Táblázat1[[#This Row],[Kész2020_2]])</f>
        <v>2</v>
      </c>
    </row>
    <row r="1693" spans="1:14" hidden="1" x14ac:dyDescent="0.25">
      <c r="A1693" s="17" t="s">
        <v>7299</v>
      </c>
      <c r="B1693" s="17" t="s">
        <v>7569</v>
      </c>
      <c r="C1693" s="17" t="s">
        <v>1738</v>
      </c>
      <c r="D1693" s="17" t="s">
        <v>2266</v>
      </c>
      <c r="E1693" s="17" t="s">
        <v>4113</v>
      </c>
      <c r="F1693" s="17" t="s">
        <v>4114</v>
      </c>
      <c r="G1693" s="17" t="s">
        <v>5466</v>
      </c>
      <c r="H1693" t="s">
        <v>7476</v>
      </c>
      <c r="I1693" s="1">
        <v>2</v>
      </c>
      <c r="J1693" s="1">
        <v>2</v>
      </c>
      <c r="K1693" t="s">
        <v>7354</v>
      </c>
      <c r="L1693" s="5">
        <f>VLOOKUP(D:D,[1]Munka2!$A:$B,2,FALSE)</f>
        <v>1</v>
      </c>
      <c r="M1693" s="5">
        <f>_xlfn.IFNA(Táblázat1[[#This Row],[Kész2020]],0)</f>
        <v>1</v>
      </c>
      <c r="N1693" s="5">
        <f>IF(Táblázat1[[#This Row],[Karb./akt.év]]-Táblázat1[[#This Row],[Kész2020_2]]&lt;0,0,Táblázat1[[#This Row],[Karb./akt.év]]-Táblázat1[[#This Row],[Kész2020_2]])</f>
        <v>1</v>
      </c>
    </row>
    <row r="1694" spans="1:14" hidden="1" x14ac:dyDescent="0.25">
      <c r="A1694" s="17" t="s">
        <v>7299</v>
      </c>
      <c r="B1694" s="17" t="s">
        <v>7570</v>
      </c>
      <c r="C1694" s="17" t="s">
        <v>1738</v>
      </c>
      <c r="D1694" s="17" t="s">
        <v>3207</v>
      </c>
      <c r="E1694" s="17" t="s">
        <v>4810</v>
      </c>
      <c r="F1694" s="17" t="s">
        <v>4811</v>
      </c>
      <c r="G1694" s="17" t="s">
        <v>6289</v>
      </c>
      <c r="H1694" t="s">
        <v>7476</v>
      </c>
      <c r="I1694" s="1">
        <v>2</v>
      </c>
      <c r="J1694" s="1">
        <v>2</v>
      </c>
      <c r="K1694" t="s">
        <v>6636</v>
      </c>
      <c r="L1694" s="5">
        <f>VLOOKUP(D:D,[1]Munka2!$A:$B,2,FALSE)</f>
        <v>1</v>
      </c>
      <c r="M1694" s="5">
        <f>_xlfn.IFNA(Táblázat1[[#This Row],[Kész2020]],0)</f>
        <v>1</v>
      </c>
      <c r="N1694" s="5">
        <f>IF(Táblázat1[[#This Row],[Karb./akt.év]]-Táblázat1[[#This Row],[Kész2020_2]]&lt;0,0,Táblázat1[[#This Row],[Karb./akt.év]]-Táblázat1[[#This Row],[Kész2020_2]])</f>
        <v>1</v>
      </c>
    </row>
    <row r="1695" spans="1:14" x14ac:dyDescent="0.25">
      <c r="A1695" s="17" t="s">
        <v>7299</v>
      </c>
      <c r="B1695" s="17" t="s">
        <v>7571</v>
      </c>
      <c r="C1695" s="17" t="s">
        <v>1738</v>
      </c>
      <c r="D1695" s="17" t="s">
        <v>2319</v>
      </c>
      <c r="E1695" s="17" t="s">
        <v>4177</v>
      </c>
      <c r="F1695" s="17" t="s">
        <v>4178</v>
      </c>
      <c r="G1695" s="17" t="s">
        <v>5511</v>
      </c>
      <c r="H1695" t="s">
        <v>7476</v>
      </c>
      <c r="I1695" s="1">
        <v>2</v>
      </c>
      <c r="J1695" s="1">
        <v>2</v>
      </c>
      <c r="K1695" t="s">
        <v>6636</v>
      </c>
      <c r="L1695" s="5" t="e">
        <f>VLOOKUP(D:D,[1]Munka2!$A:$B,2,FALSE)</f>
        <v>#N/A</v>
      </c>
      <c r="M1695" s="5">
        <f>_xlfn.IFNA(Táblázat1[[#This Row],[Kész2020]],0)</f>
        <v>0</v>
      </c>
      <c r="N1695" s="5">
        <f>IF(Táblázat1[[#This Row],[Karb./akt.év]]-Táblázat1[[#This Row],[Kész2020_2]]&lt;0,0,Táblázat1[[#This Row],[Karb./akt.év]]-Táblázat1[[#This Row],[Kész2020_2]])</f>
        <v>2</v>
      </c>
    </row>
    <row r="1696" spans="1:14" x14ac:dyDescent="0.25">
      <c r="A1696" s="17" t="s">
        <v>7299</v>
      </c>
      <c r="B1696" s="17" t="s">
        <v>7572</v>
      </c>
      <c r="C1696" s="17" t="s">
        <v>1738</v>
      </c>
      <c r="D1696" s="17" t="s">
        <v>3217</v>
      </c>
      <c r="E1696" s="17" t="s">
        <v>4867</v>
      </c>
      <c r="F1696" s="17" t="s">
        <v>4868</v>
      </c>
      <c r="G1696" s="17" t="s">
        <v>6298</v>
      </c>
      <c r="H1696" t="s">
        <v>7476</v>
      </c>
      <c r="I1696" s="1">
        <v>2</v>
      </c>
      <c r="J1696" s="1">
        <v>2</v>
      </c>
      <c r="K1696" t="s">
        <v>6636</v>
      </c>
      <c r="L1696" s="5" t="e">
        <f>VLOOKUP(D:D,[1]Munka2!$A:$B,2,FALSE)</f>
        <v>#N/A</v>
      </c>
      <c r="M1696" s="5">
        <f>_xlfn.IFNA(Táblázat1[[#This Row],[Kész2020]],0)</f>
        <v>0</v>
      </c>
      <c r="N1696" s="5">
        <f>IF(Táblázat1[[#This Row],[Karb./akt.év]]-Táblázat1[[#This Row],[Kész2020_2]]&lt;0,0,Táblázat1[[#This Row],[Karb./akt.év]]-Táblázat1[[#This Row],[Kész2020_2]])</f>
        <v>2</v>
      </c>
    </row>
    <row r="1697" spans="1:14" x14ac:dyDescent="0.25">
      <c r="A1697" s="17" t="s">
        <v>7299</v>
      </c>
      <c r="B1697" s="17" t="s">
        <v>7573</v>
      </c>
      <c r="C1697" s="17" t="s">
        <v>1738</v>
      </c>
      <c r="D1697" s="17" t="s">
        <v>3260</v>
      </c>
      <c r="E1697" s="17" t="s">
        <v>4884</v>
      </c>
      <c r="F1697" s="17" t="s">
        <v>4885</v>
      </c>
      <c r="G1697" s="17" t="s">
        <v>6334</v>
      </c>
      <c r="H1697" t="s">
        <v>7476</v>
      </c>
      <c r="I1697" s="1">
        <v>2</v>
      </c>
      <c r="J1697" s="1">
        <v>2</v>
      </c>
      <c r="K1697" t="s">
        <v>7354</v>
      </c>
      <c r="L1697" s="5" t="e">
        <f>VLOOKUP(D:D,[1]Munka2!$A:$B,2,FALSE)</f>
        <v>#N/A</v>
      </c>
      <c r="M1697" s="5">
        <f>_xlfn.IFNA(Táblázat1[[#This Row],[Kész2020]],0)</f>
        <v>0</v>
      </c>
      <c r="N1697" s="5">
        <f>IF(Táblázat1[[#This Row],[Karb./akt.év]]-Táblázat1[[#This Row],[Kész2020_2]]&lt;0,0,Táblázat1[[#This Row],[Karb./akt.év]]-Táblázat1[[#This Row],[Kész2020_2]])</f>
        <v>2</v>
      </c>
    </row>
    <row r="1698" spans="1:14" hidden="1" x14ac:dyDescent="0.25">
      <c r="A1698" s="17" t="s">
        <v>7299</v>
      </c>
      <c r="B1698" s="17" t="s">
        <v>7574</v>
      </c>
      <c r="C1698" s="17" t="s">
        <v>1738</v>
      </c>
      <c r="D1698" s="17" t="s">
        <v>2667</v>
      </c>
      <c r="E1698" s="17" t="s">
        <v>4464</v>
      </c>
      <c r="F1698" s="17" t="s">
        <v>4465</v>
      </c>
      <c r="G1698" s="17" t="s">
        <v>5817</v>
      </c>
      <c r="H1698" t="s">
        <v>7476</v>
      </c>
      <c r="I1698" s="1">
        <v>2</v>
      </c>
      <c r="J1698" s="1">
        <v>2</v>
      </c>
      <c r="K1698" t="s">
        <v>7354</v>
      </c>
      <c r="L1698" s="5">
        <f>VLOOKUP(D:D,[1]Munka2!$A:$B,2,FALSE)</f>
        <v>1</v>
      </c>
      <c r="M1698" s="5">
        <f>_xlfn.IFNA(Táblázat1[[#This Row],[Kész2020]],0)</f>
        <v>1</v>
      </c>
      <c r="N1698" s="5">
        <f>IF(Táblázat1[[#This Row],[Karb./akt.év]]-Táblázat1[[#This Row],[Kész2020_2]]&lt;0,0,Táblázat1[[#This Row],[Karb./akt.év]]-Táblázat1[[#This Row],[Kész2020_2]])</f>
        <v>1</v>
      </c>
    </row>
    <row r="1699" spans="1:14" hidden="1" x14ac:dyDescent="0.25">
      <c r="A1699" s="17" t="s">
        <v>7299</v>
      </c>
      <c r="B1699" s="17" t="s">
        <v>7575</v>
      </c>
      <c r="C1699" s="17" t="s">
        <v>1738</v>
      </c>
      <c r="D1699" s="17" t="s">
        <v>2990</v>
      </c>
      <c r="E1699" s="17" t="s">
        <v>4708</v>
      </c>
      <c r="F1699" s="17" t="s">
        <v>4709</v>
      </c>
      <c r="G1699" s="17" t="s">
        <v>6114</v>
      </c>
      <c r="H1699" t="s">
        <v>7476</v>
      </c>
      <c r="I1699" s="1">
        <v>2</v>
      </c>
      <c r="J1699" s="1">
        <v>2</v>
      </c>
      <c r="K1699" t="s">
        <v>7354</v>
      </c>
      <c r="L1699" s="5">
        <f>VLOOKUP(D:D,[1]Munka2!$A:$B,2,FALSE)</f>
        <v>1</v>
      </c>
      <c r="M1699" s="5">
        <f>_xlfn.IFNA(Táblázat1[[#This Row],[Kész2020]],0)</f>
        <v>1</v>
      </c>
      <c r="N1699" s="5">
        <f>IF(Táblázat1[[#This Row],[Karb./akt.év]]-Táblázat1[[#This Row],[Kész2020_2]]&lt;0,0,Táblázat1[[#This Row],[Karb./akt.év]]-Táblázat1[[#This Row],[Kész2020_2]])</f>
        <v>1</v>
      </c>
    </row>
    <row r="1700" spans="1:14" x14ac:dyDescent="0.25">
      <c r="A1700" s="17" t="s">
        <v>7299</v>
      </c>
      <c r="B1700" s="17" t="s">
        <v>7576</v>
      </c>
      <c r="C1700" s="17" t="s">
        <v>1735</v>
      </c>
      <c r="D1700" s="17" t="s">
        <v>2096</v>
      </c>
      <c r="E1700" s="17" t="s">
        <v>3968</v>
      </c>
      <c r="F1700" s="17" t="s">
        <v>3969</v>
      </c>
      <c r="G1700" s="17" t="s">
        <v>5308</v>
      </c>
      <c r="H1700" t="s">
        <v>7476</v>
      </c>
      <c r="I1700" s="1">
        <v>2</v>
      </c>
      <c r="J1700" s="1">
        <v>2</v>
      </c>
      <c r="K1700" t="s">
        <v>7354</v>
      </c>
      <c r="L1700" s="5" t="e">
        <f>VLOOKUP(D:D,[1]Munka2!$A:$B,2,FALSE)</f>
        <v>#N/A</v>
      </c>
      <c r="M1700" s="5">
        <f>_xlfn.IFNA(Táblázat1[[#This Row],[Kész2020]],0)</f>
        <v>0</v>
      </c>
      <c r="N1700" s="5">
        <f>IF(Táblázat1[[#This Row],[Karb./akt.év]]-Táblázat1[[#This Row],[Kész2020_2]]&lt;0,0,Táblázat1[[#This Row],[Karb./akt.év]]-Táblázat1[[#This Row],[Kész2020_2]])</f>
        <v>2</v>
      </c>
    </row>
    <row r="1701" spans="1:14" x14ac:dyDescent="0.25">
      <c r="A1701" s="17" t="s">
        <v>7299</v>
      </c>
      <c r="B1701" s="17" t="s">
        <v>7577</v>
      </c>
      <c r="C1701" s="17" t="s">
        <v>1754</v>
      </c>
      <c r="D1701" s="17" t="s">
        <v>2654</v>
      </c>
      <c r="E1701" s="17" t="s">
        <v>4444</v>
      </c>
      <c r="F1701" s="17" t="s">
        <v>4445</v>
      </c>
      <c r="G1701" s="17" t="s">
        <v>5810</v>
      </c>
      <c r="H1701" t="s">
        <v>7476</v>
      </c>
      <c r="I1701" s="1">
        <v>2</v>
      </c>
      <c r="J1701" s="1">
        <v>2</v>
      </c>
      <c r="K1701" t="s">
        <v>7354</v>
      </c>
      <c r="L1701" s="5" t="e">
        <f>VLOOKUP(D:D,[1]Munka2!$A:$B,2,FALSE)</f>
        <v>#N/A</v>
      </c>
      <c r="M1701" s="5">
        <f>_xlfn.IFNA(Táblázat1[[#This Row],[Kész2020]],0)</f>
        <v>0</v>
      </c>
      <c r="N1701" s="5">
        <f>IF(Táblázat1[[#This Row],[Karb./akt.év]]-Táblázat1[[#This Row],[Kész2020_2]]&lt;0,0,Táblázat1[[#This Row],[Karb./akt.év]]-Táblázat1[[#This Row],[Kész2020_2]])</f>
        <v>2</v>
      </c>
    </row>
    <row r="1702" spans="1:14" hidden="1" x14ac:dyDescent="0.25">
      <c r="A1702" s="17" t="s">
        <v>7299</v>
      </c>
      <c r="B1702" s="17" t="s">
        <v>7578</v>
      </c>
      <c r="C1702" s="17" t="s">
        <v>1754</v>
      </c>
      <c r="D1702" s="17" t="s">
        <v>2974</v>
      </c>
      <c r="E1702" s="17" t="s">
        <v>4678</v>
      </c>
      <c r="F1702" s="17" t="s">
        <v>4679</v>
      </c>
      <c r="G1702" s="17" t="s">
        <v>7665</v>
      </c>
      <c r="H1702" t="s">
        <v>7476</v>
      </c>
      <c r="I1702" s="1">
        <v>2</v>
      </c>
      <c r="J1702" s="1">
        <v>2</v>
      </c>
      <c r="K1702" t="s">
        <v>7354</v>
      </c>
      <c r="L1702" s="5">
        <f>VLOOKUP(D:D,[1]Munka2!$A:$B,2,FALSE)</f>
        <v>1</v>
      </c>
      <c r="M1702" s="5">
        <f>_xlfn.IFNA(Táblázat1[[#This Row],[Kész2020]],0)</f>
        <v>1</v>
      </c>
      <c r="N1702" s="5">
        <f>IF(Táblázat1[[#This Row],[Karb./akt.év]]-Táblázat1[[#This Row],[Kész2020_2]]&lt;0,0,Táblázat1[[#This Row],[Karb./akt.év]]-Táblázat1[[#This Row],[Kész2020_2]])</f>
        <v>1</v>
      </c>
    </row>
    <row r="1703" spans="1:14" hidden="1" x14ac:dyDescent="0.25">
      <c r="A1703" s="17" t="s">
        <v>7299</v>
      </c>
      <c r="B1703" s="17" t="s">
        <v>7579</v>
      </c>
      <c r="C1703" s="17" t="s">
        <v>1735</v>
      </c>
      <c r="D1703" s="17" t="s">
        <v>3154</v>
      </c>
      <c r="E1703" s="17" t="s">
        <v>4824</v>
      </c>
      <c r="F1703" s="17" t="s">
        <v>4825</v>
      </c>
      <c r="G1703" s="17" t="s">
        <v>6256</v>
      </c>
      <c r="H1703" t="s">
        <v>7476</v>
      </c>
      <c r="I1703" s="1">
        <v>2</v>
      </c>
      <c r="J1703" s="1">
        <v>2</v>
      </c>
      <c r="K1703" t="s">
        <v>7354</v>
      </c>
      <c r="L1703" s="5">
        <f>VLOOKUP(D:D,[1]Munka2!$A:$B,2,FALSE)</f>
        <v>1</v>
      </c>
      <c r="M1703" s="5">
        <f>_xlfn.IFNA(Táblázat1[[#This Row],[Kész2020]],0)</f>
        <v>1</v>
      </c>
      <c r="N1703" s="5">
        <f>IF(Táblázat1[[#This Row],[Karb./akt.év]]-Táblázat1[[#This Row],[Kész2020_2]]&lt;0,0,Táblázat1[[#This Row],[Karb./akt.év]]-Táblázat1[[#This Row],[Kész2020_2]])</f>
        <v>1</v>
      </c>
    </row>
    <row r="1704" spans="1:14" hidden="1" x14ac:dyDescent="0.25">
      <c r="A1704" s="17" t="s">
        <v>7299</v>
      </c>
      <c r="B1704" s="17" t="s">
        <v>7580</v>
      </c>
      <c r="C1704" s="17" t="s">
        <v>1735</v>
      </c>
      <c r="D1704" s="17" t="s">
        <v>3108</v>
      </c>
      <c r="E1704" s="17" t="s">
        <v>4793</v>
      </c>
      <c r="F1704" s="17" t="s">
        <v>4794</v>
      </c>
      <c r="G1704" s="17" t="s">
        <v>6669</v>
      </c>
      <c r="H1704" t="s">
        <v>7476</v>
      </c>
      <c r="I1704" s="1">
        <v>2</v>
      </c>
      <c r="J1704" s="1">
        <v>2</v>
      </c>
      <c r="K1704" t="s">
        <v>7354</v>
      </c>
      <c r="L1704" s="5">
        <f>VLOOKUP(D:D,[1]Munka2!$A:$B,2,FALSE)</f>
        <v>1</v>
      </c>
      <c r="M1704" s="5">
        <f>_xlfn.IFNA(Táblázat1[[#This Row],[Kész2020]],0)</f>
        <v>1</v>
      </c>
      <c r="N1704" s="5">
        <f>IF(Táblázat1[[#This Row],[Karb./akt.év]]-Táblázat1[[#This Row],[Kész2020_2]]&lt;0,0,Táblázat1[[#This Row],[Karb./akt.év]]-Táblázat1[[#This Row],[Kész2020_2]])</f>
        <v>1</v>
      </c>
    </row>
    <row r="1705" spans="1:14" hidden="1" x14ac:dyDescent="0.25">
      <c r="A1705" s="17" t="s">
        <v>7299</v>
      </c>
      <c r="B1705" s="17" t="s">
        <v>7581</v>
      </c>
      <c r="C1705" s="17" t="s">
        <v>1735</v>
      </c>
      <c r="D1705" s="17" t="s">
        <v>2719</v>
      </c>
      <c r="E1705" s="17" t="s">
        <v>4530</v>
      </c>
      <c r="F1705" s="17" t="s">
        <v>4531</v>
      </c>
      <c r="G1705" s="17" t="s">
        <v>7666</v>
      </c>
      <c r="H1705" t="s">
        <v>7476</v>
      </c>
      <c r="I1705" s="1">
        <v>2</v>
      </c>
      <c r="J1705" s="1">
        <v>2</v>
      </c>
      <c r="K1705" t="s">
        <v>7354</v>
      </c>
      <c r="L1705" s="5">
        <f>VLOOKUP(D:D,[1]Munka2!$A:$B,2,FALSE)</f>
        <v>1</v>
      </c>
      <c r="M1705" s="5">
        <f>_xlfn.IFNA(Táblázat1[[#This Row],[Kész2020]],0)</f>
        <v>1</v>
      </c>
      <c r="N1705" s="5">
        <f>IF(Táblázat1[[#This Row],[Karb./akt.év]]-Táblázat1[[#This Row],[Kész2020_2]]&lt;0,0,Táblázat1[[#This Row],[Karb./akt.év]]-Táblázat1[[#This Row],[Kész2020_2]])</f>
        <v>1</v>
      </c>
    </row>
    <row r="1706" spans="1:14" hidden="1" x14ac:dyDescent="0.25">
      <c r="A1706" s="17" t="s">
        <v>7299</v>
      </c>
      <c r="B1706" s="17" t="s">
        <v>7582</v>
      </c>
      <c r="C1706" s="17" t="s">
        <v>1735</v>
      </c>
      <c r="D1706" s="17" t="s">
        <v>2312</v>
      </c>
      <c r="E1706" s="17" t="s">
        <v>4163</v>
      </c>
      <c r="F1706" s="17" t="s">
        <v>4164</v>
      </c>
      <c r="G1706" s="17" t="s">
        <v>5505</v>
      </c>
      <c r="H1706" t="s">
        <v>7476</v>
      </c>
      <c r="I1706" s="1">
        <v>2</v>
      </c>
      <c r="J1706" s="1">
        <v>2</v>
      </c>
      <c r="K1706" t="s">
        <v>7354</v>
      </c>
      <c r="L1706" s="5">
        <f>VLOOKUP(D:D,[1]Munka2!$A:$B,2,FALSE)</f>
        <v>1</v>
      </c>
      <c r="M1706" s="5">
        <f>_xlfn.IFNA(Táblázat1[[#This Row],[Kész2020]],0)</f>
        <v>1</v>
      </c>
      <c r="N1706" s="5">
        <f>IF(Táblázat1[[#This Row],[Karb./akt.év]]-Táblázat1[[#This Row],[Kész2020_2]]&lt;0,0,Táblázat1[[#This Row],[Karb./akt.év]]-Táblázat1[[#This Row],[Kész2020_2]])</f>
        <v>1</v>
      </c>
    </row>
    <row r="1707" spans="1:14" hidden="1" x14ac:dyDescent="0.25">
      <c r="A1707" s="17" t="s">
        <v>7299</v>
      </c>
      <c r="B1707" s="17" t="s">
        <v>7583</v>
      </c>
      <c r="C1707" s="17" t="s">
        <v>1737</v>
      </c>
      <c r="D1707" s="17" t="s">
        <v>1912</v>
      </c>
      <c r="E1707" s="17" t="s">
        <v>3780</v>
      </c>
      <c r="F1707" s="17" t="s">
        <v>3781</v>
      </c>
      <c r="G1707" s="17" t="s">
        <v>5142</v>
      </c>
      <c r="H1707" t="s">
        <v>7476</v>
      </c>
      <c r="I1707" s="1">
        <v>2</v>
      </c>
      <c r="J1707" s="1">
        <v>2</v>
      </c>
      <c r="K1707" t="s">
        <v>6640</v>
      </c>
      <c r="L1707" s="5">
        <f>VLOOKUP(D:D,[1]Munka2!$A:$B,2,FALSE)</f>
        <v>1</v>
      </c>
      <c r="M1707" s="5">
        <f>_xlfn.IFNA(Táblázat1[[#This Row],[Kész2020]],0)</f>
        <v>1</v>
      </c>
      <c r="N1707" s="5">
        <f>IF(Táblázat1[[#This Row],[Karb./akt.év]]-Táblázat1[[#This Row],[Kész2020_2]]&lt;0,0,Táblázat1[[#This Row],[Karb./akt.év]]-Táblázat1[[#This Row],[Kész2020_2]])</f>
        <v>1</v>
      </c>
    </row>
    <row r="1708" spans="1:14" x14ac:dyDescent="0.25">
      <c r="A1708" s="17" t="s">
        <v>7299</v>
      </c>
      <c r="B1708" s="17" t="s">
        <v>7291</v>
      </c>
      <c r="C1708" s="17" t="s">
        <v>1735</v>
      </c>
      <c r="D1708" s="17" t="s">
        <v>7321</v>
      </c>
      <c r="E1708" s="17" t="s">
        <v>7333</v>
      </c>
      <c r="F1708" s="17" t="s">
        <v>3681</v>
      </c>
      <c r="G1708" s="17" t="s">
        <v>7347</v>
      </c>
      <c r="H1708" t="s">
        <v>7476</v>
      </c>
      <c r="I1708" s="1">
        <v>2</v>
      </c>
      <c r="J1708" s="1">
        <v>2</v>
      </c>
      <c r="K1708" t="s">
        <v>6637</v>
      </c>
      <c r="L1708" s="5" t="e">
        <f>VLOOKUP(D:D,[1]Munka2!$A:$B,2,FALSE)</f>
        <v>#N/A</v>
      </c>
      <c r="M1708" s="5">
        <f>_xlfn.IFNA(Táblázat1[[#This Row],[Kész2020]],0)</f>
        <v>0</v>
      </c>
      <c r="N1708" s="5">
        <f>IF(Táblázat1[[#This Row],[Karb./akt.év]]-Táblázat1[[#This Row],[Kész2020_2]]&lt;0,0,Táblázat1[[#This Row],[Karb./akt.év]]-Táblázat1[[#This Row],[Kész2020_2]])</f>
        <v>2</v>
      </c>
    </row>
    <row r="1709" spans="1:14" hidden="1" x14ac:dyDescent="0.25">
      <c r="A1709" s="17" t="s">
        <v>7299</v>
      </c>
      <c r="B1709" s="17" t="s">
        <v>7584</v>
      </c>
      <c r="C1709" s="17" t="s">
        <v>1735</v>
      </c>
      <c r="D1709" s="17" t="s">
        <v>2629</v>
      </c>
      <c r="E1709" s="17" t="s">
        <v>4413</v>
      </c>
      <c r="F1709" s="17" t="s">
        <v>4414</v>
      </c>
      <c r="G1709" s="17" t="s">
        <v>5788</v>
      </c>
      <c r="H1709" t="s">
        <v>7476</v>
      </c>
      <c r="I1709" s="1">
        <v>2</v>
      </c>
      <c r="J1709" s="1">
        <v>2</v>
      </c>
      <c r="K1709" t="s">
        <v>6640</v>
      </c>
      <c r="L1709" s="5">
        <f>VLOOKUP(D:D,[1]Munka2!$A:$B,2,FALSE)</f>
        <v>1</v>
      </c>
      <c r="M1709" s="5">
        <f>_xlfn.IFNA(Táblázat1[[#This Row],[Kész2020]],0)</f>
        <v>1</v>
      </c>
      <c r="N1709" s="5">
        <f>IF(Táblázat1[[#This Row],[Karb./akt.év]]-Táblázat1[[#This Row],[Kész2020_2]]&lt;0,0,Táblázat1[[#This Row],[Karb./akt.év]]-Táblázat1[[#This Row],[Kész2020_2]])</f>
        <v>1</v>
      </c>
    </row>
    <row r="1710" spans="1:14" x14ac:dyDescent="0.25">
      <c r="A1710" s="17" t="s">
        <v>7299</v>
      </c>
      <c r="B1710" s="17" t="s">
        <v>7585</v>
      </c>
      <c r="C1710" s="17" t="s">
        <v>1738</v>
      </c>
      <c r="D1710" s="17" t="s">
        <v>2688</v>
      </c>
      <c r="E1710" s="17" t="s">
        <v>4491</v>
      </c>
      <c r="F1710" s="17" t="s">
        <v>4492</v>
      </c>
      <c r="G1710" s="17" t="s">
        <v>5835</v>
      </c>
      <c r="H1710" t="s">
        <v>7476</v>
      </c>
      <c r="I1710" s="1">
        <v>2</v>
      </c>
      <c r="J1710" s="1">
        <v>2</v>
      </c>
      <c r="K1710" t="s">
        <v>6640</v>
      </c>
      <c r="L1710" s="5" t="e">
        <f>VLOOKUP(D:D,[1]Munka2!$A:$B,2,FALSE)</f>
        <v>#N/A</v>
      </c>
      <c r="M1710" s="5">
        <f>_xlfn.IFNA(Táblázat1[[#This Row],[Kész2020]],0)</f>
        <v>0</v>
      </c>
      <c r="N1710" s="5">
        <f>IF(Táblázat1[[#This Row],[Karb./akt.év]]-Táblázat1[[#This Row],[Kész2020_2]]&lt;0,0,Táblázat1[[#This Row],[Karb./akt.év]]-Táblázat1[[#This Row],[Kész2020_2]])</f>
        <v>2</v>
      </c>
    </row>
    <row r="1711" spans="1:14" hidden="1" x14ac:dyDescent="0.25">
      <c r="A1711" s="17" t="s">
        <v>7299</v>
      </c>
      <c r="B1711" s="17" t="s">
        <v>7586</v>
      </c>
      <c r="C1711" s="17" t="s">
        <v>1738</v>
      </c>
      <c r="D1711" s="17" t="s">
        <v>2387</v>
      </c>
      <c r="E1711" s="17" t="s">
        <v>4222</v>
      </c>
      <c r="F1711" s="17" t="s">
        <v>4223</v>
      </c>
      <c r="G1711" s="17" t="s">
        <v>5573</v>
      </c>
      <c r="H1711" t="s">
        <v>7476</v>
      </c>
      <c r="I1711" s="1">
        <v>2</v>
      </c>
      <c r="J1711" s="1">
        <v>2</v>
      </c>
      <c r="K1711" t="s">
        <v>6640</v>
      </c>
      <c r="L1711" s="5">
        <f>VLOOKUP(D:D,[1]Munka2!$A:$B,2,FALSE)</f>
        <v>1</v>
      </c>
      <c r="M1711" s="5">
        <f>_xlfn.IFNA(Táblázat1[[#This Row],[Kész2020]],0)</f>
        <v>1</v>
      </c>
      <c r="N1711" s="5">
        <f>IF(Táblázat1[[#This Row],[Karb./akt.év]]-Táblázat1[[#This Row],[Kész2020_2]]&lt;0,0,Táblázat1[[#This Row],[Karb./akt.év]]-Táblázat1[[#This Row],[Kész2020_2]])</f>
        <v>1</v>
      </c>
    </row>
    <row r="1712" spans="1:14" hidden="1" x14ac:dyDescent="0.25">
      <c r="A1712" s="17" t="s">
        <v>7299</v>
      </c>
      <c r="B1712" s="17" t="s">
        <v>7587</v>
      </c>
      <c r="C1712" s="17" t="s">
        <v>1735</v>
      </c>
      <c r="D1712" s="17" t="s">
        <v>2720</v>
      </c>
      <c r="E1712" s="17" t="s">
        <v>4532</v>
      </c>
      <c r="F1712" s="17" t="s">
        <v>4533</v>
      </c>
      <c r="G1712" s="17" t="s">
        <v>5861</v>
      </c>
      <c r="H1712" t="s">
        <v>7476</v>
      </c>
      <c r="I1712" s="1">
        <v>2</v>
      </c>
      <c r="J1712" s="1">
        <v>2</v>
      </c>
      <c r="K1712" t="s">
        <v>6640</v>
      </c>
      <c r="L1712" s="5">
        <f>VLOOKUP(D:D,[1]Munka2!$A:$B,2,FALSE)</f>
        <v>1</v>
      </c>
      <c r="M1712" s="5">
        <f>_xlfn.IFNA(Táblázat1[[#This Row],[Kész2020]],0)</f>
        <v>1</v>
      </c>
      <c r="N1712" s="5">
        <f>IF(Táblázat1[[#This Row],[Karb./akt.év]]-Táblázat1[[#This Row],[Kész2020_2]]&lt;0,0,Táblázat1[[#This Row],[Karb./akt.év]]-Táblázat1[[#This Row],[Kész2020_2]])</f>
        <v>1</v>
      </c>
    </row>
    <row r="1713" spans="1:14" hidden="1" x14ac:dyDescent="0.25">
      <c r="A1713" s="17" t="s">
        <v>7299</v>
      </c>
      <c r="B1713" s="17" t="s">
        <v>7588</v>
      </c>
      <c r="C1713" s="17" t="s">
        <v>1738</v>
      </c>
      <c r="D1713" s="17" t="s">
        <v>3161</v>
      </c>
      <c r="E1713" s="17" t="s">
        <v>4831</v>
      </c>
      <c r="F1713" s="17" t="s">
        <v>4832</v>
      </c>
      <c r="G1713" s="17" t="s">
        <v>6258</v>
      </c>
      <c r="H1713" t="s">
        <v>7476</v>
      </c>
      <c r="I1713" s="1">
        <v>2</v>
      </c>
      <c r="J1713" s="1">
        <v>2</v>
      </c>
      <c r="K1713" t="s">
        <v>6640</v>
      </c>
      <c r="L1713" s="5">
        <f>VLOOKUP(D:D,[1]Munka2!$A:$B,2,FALSE)</f>
        <v>1</v>
      </c>
      <c r="M1713" s="5">
        <f>_xlfn.IFNA(Táblázat1[[#This Row],[Kész2020]],0)</f>
        <v>1</v>
      </c>
      <c r="N1713" s="5">
        <f>IF(Táblázat1[[#This Row],[Karb./akt.év]]-Táblázat1[[#This Row],[Kész2020_2]]&lt;0,0,Táblázat1[[#This Row],[Karb./akt.év]]-Táblázat1[[#This Row],[Kész2020_2]])</f>
        <v>1</v>
      </c>
    </row>
    <row r="1714" spans="1:14" hidden="1" x14ac:dyDescent="0.25">
      <c r="A1714" s="17" t="s">
        <v>7299</v>
      </c>
      <c r="B1714" s="17" t="s">
        <v>7589</v>
      </c>
      <c r="C1714" s="17" t="s">
        <v>1738</v>
      </c>
      <c r="D1714" s="17" t="s">
        <v>2728</v>
      </c>
      <c r="E1714" s="17" t="s">
        <v>4325</v>
      </c>
      <c r="F1714" s="17" t="s">
        <v>4326</v>
      </c>
      <c r="G1714" s="17" t="s">
        <v>5870</v>
      </c>
      <c r="H1714" t="s">
        <v>7476</v>
      </c>
      <c r="I1714" s="1">
        <v>2</v>
      </c>
      <c r="J1714" s="1">
        <v>2</v>
      </c>
      <c r="K1714" t="s">
        <v>6640</v>
      </c>
      <c r="L1714" s="5">
        <f>VLOOKUP(D:D,[1]Munka2!$A:$B,2,FALSE)</f>
        <v>1</v>
      </c>
      <c r="M1714" s="5">
        <f>_xlfn.IFNA(Táblázat1[[#This Row],[Kész2020]],0)</f>
        <v>1</v>
      </c>
      <c r="N1714" s="5">
        <f>IF(Táblázat1[[#This Row],[Karb./akt.év]]-Táblázat1[[#This Row],[Kész2020_2]]&lt;0,0,Táblázat1[[#This Row],[Karb./akt.év]]-Táblázat1[[#This Row],[Kész2020_2]])</f>
        <v>1</v>
      </c>
    </row>
    <row r="1715" spans="1:14" hidden="1" x14ac:dyDescent="0.25">
      <c r="A1715" s="17" t="s">
        <v>7299</v>
      </c>
      <c r="B1715" s="17" t="s">
        <v>7590</v>
      </c>
      <c r="C1715" s="17" t="s">
        <v>1738</v>
      </c>
      <c r="D1715" s="17" t="s">
        <v>2259</v>
      </c>
      <c r="E1715" s="17" t="s">
        <v>4105</v>
      </c>
      <c r="F1715" s="17" t="s">
        <v>4106</v>
      </c>
      <c r="G1715" s="17" t="s">
        <v>5459</v>
      </c>
      <c r="H1715" t="s">
        <v>7476</v>
      </c>
      <c r="I1715" s="1">
        <v>2</v>
      </c>
      <c r="J1715" s="1">
        <v>2</v>
      </c>
      <c r="K1715" t="s">
        <v>6640</v>
      </c>
      <c r="L1715" s="5">
        <f>VLOOKUP(D:D,[1]Munka2!$A:$B,2,FALSE)</f>
        <v>1</v>
      </c>
      <c r="M1715" s="5">
        <f>_xlfn.IFNA(Táblázat1[[#This Row],[Kész2020]],0)</f>
        <v>1</v>
      </c>
      <c r="N1715" s="5">
        <f>IF(Táblázat1[[#This Row],[Karb./akt.év]]-Táblázat1[[#This Row],[Kész2020_2]]&lt;0,0,Táblázat1[[#This Row],[Karb./akt.év]]-Táblázat1[[#This Row],[Kész2020_2]])</f>
        <v>1</v>
      </c>
    </row>
    <row r="1716" spans="1:14" hidden="1" x14ac:dyDescent="0.25">
      <c r="A1716" s="17" t="s">
        <v>7299</v>
      </c>
      <c r="B1716" s="17" t="s">
        <v>7591</v>
      </c>
      <c r="C1716" s="17" t="s">
        <v>1738</v>
      </c>
      <c r="D1716" s="17" t="s">
        <v>3359</v>
      </c>
      <c r="E1716" s="17" t="s">
        <v>4918</v>
      </c>
      <c r="F1716" s="17" t="s">
        <v>4919</v>
      </c>
      <c r="G1716" s="17" t="s">
        <v>6423</v>
      </c>
      <c r="H1716" t="s">
        <v>7476</v>
      </c>
      <c r="I1716" s="1">
        <v>2</v>
      </c>
      <c r="J1716" s="1">
        <v>2</v>
      </c>
      <c r="K1716" t="s">
        <v>6640</v>
      </c>
      <c r="L1716" s="5">
        <f>VLOOKUP(D:D,[1]Munka2!$A:$B,2,FALSE)</f>
        <v>1</v>
      </c>
      <c r="M1716" s="5">
        <f>_xlfn.IFNA(Táblázat1[[#This Row],[Kész2020]],0)</f>
        <v>1</v>
      </c>
      <c r="N1716" s="5">
        <f>IF(Táblázat1[[#This Row],[Karb./akt.év]]-Táblázat1[[#This Row],[Kész2020_2]]&lt;0,0,Táblázat1[[#This Row],[Karb./akt.év]]-Táblázat1[[#This Row],[Kész2020_2]])</f>
        <v>1</v>
      </c>
    </row>
    <row r="1717" spans="1:14" hidden="1" x14ac:dyDescent="0.25">
      <c r="A1717" s="17" t="s">
        <v>7299</v>
      </c>
      <c r="B1717" s="17" t="s">
        <v>7592</v>
      </c>
      <c r="C1717" s="17" t="s">
        <v>1735</v>
      </c>
      <c r="D1717" s="17" t="s">
        <v>3336</v>
      </c>
      <c r="E1717" s="17" t="s">
        <v>4519</v>
      </c>
      <c r="F1717" s="17" t="s">
        <v>4520</v>
      </c>
      <c r="G1717" s="17" t="s">
        <v>6405</v>
      </c>
      <c r="H1717" t="s">
        <v>7476</v>
      </c>
      <c r="I1717" s="1">
        <v>2</v>
      </c>
      <c r="J1717" s="1">
        <v>2</v>
      </c>
      <c r="K1717" t="s">
        <v>7014</v>
      </c>
      <c r="L1717" s="5">
        <f>VLOOKUP(D:D,[1]Munka2!$A:$B,2,FALSE)</f>
        <v>1</v>
      </c>
      <c r="M1717" s="5">
        <f>_xlfn.IFNA(Táblázat1[[#This Row],[Kész2020]],0)</f>
        <v>1</v>
      </c>
      <c r="N1717" s="5">
        <f>IF(Táblázat1[[#This Row],[Karb./akt.év]]-Táblázat1[[#This Row],[Kész2020_2]]&lt;0,0,Táblázat1[[#This Row],[Karb./akt.év]]-Táblázat1[[#This Row],[Kész2020_2]])</f>
        <v>1</v>
      </c>
    </row>
    <row r="1718" spans="1:14" hidden="1" x14ac:dyDescent="0.25">
      <c r="A1718" s="17" t="s">
        <v>7299</v>
      </c>
      <c r="B1718" s="17" t="s">
        <v>7593</v>
      </c>
      <c r="C1718" s="17" t="s">
        <v>1735</v>
      </c>
      <c r="D1718" s="17" t="s">
        <v>2296</v>
      </c>
      <c r="E1718" s="17" t="s">
        <v>4147</v>
      </c>
      <c r="F1718" s="17" t="s">
        <v>4148</v>
      </c>
      <c r="G1718" s="17" t="s">
        <v>5491</v>
      </c>
      <c r="H1718" t="s">
        <v>7476</v>
      </c>
      <c r="I1718" s="1">
        <v>2</v>
      </c>
      <c r="J1718" s="1">
        <v>2</v>
      </c>
      <c r="K1718" t="s">
        <v>6640</v>
      </c>
      <c r="L1718" s="5">
        <f>VLOOKUP(D:D,[1]Munka2!$A:$B,2,FALSE)</f>
        <v>1</v>
      </c>
      <c r="M1718" s="5">
        <f>_xlfn.IFNA(Táblázat1[[#This Row],[Kész2020]],0)</f>
        <v>1</v>
      </c>
      <c r="N1718" s="5">
        <f>IF(Táblázat1[[#This Row],[Karb./akt.év]]-Táblázat1[[#This Row],[Kész2020_2]]&lt;0,0,Táblázat1[[#This Row],[Karb./akt.év]]-Táblázat1[[#This Row],[Kész2020_2]])</f>
        <v>1</v>
      </c>
    </row>
    <row r="1719" spans="1:14" hidden="1" x14ac:dyDescent="0.25">
      <c r="A1719" s="17" t="s">
        <v>7299</v>
      </c>
      <c r="B1719" s="17" t="s">
        <v>7594</v>
      </c>
      <c r="C1719" s="17" t="s">
        <v>1735</v>
      </c>
      <c r="D1719" s="17" t="s">
        <v>2284</v>
      </c>
      <c r="E1719" s="17" t="s">
        <v>4135</v>
      </c>
      <c r="F1719" s="17" t="s">
        <v>4136</v>
      </c>
      <c r="G1719" s="17" t="s">
        <v>5480</v>
      </c>
      <c r="H1719" t="s">
        <v>7476</v>
      </c>
      <c r="I1719" s="1">
        <v>2</v>
      </c>
      <c r="J1719" s="1">
        <v>2</v>
      </c>
      <c r="K1719" t="s">
        <v>6640</v>
      </c>
      <c r="L1719" s="5">
        <f>VLOOKUP(D:D,[1]Munka2!$A:$B,2,FALSE)</f>
        <v>1</v>
      </c>
      <c r="M1719" s="5">
        <f>_xlfn.IFNA(Táblázat1[[#This Row],[Kész2020]],0)</f>
        <v>1</v>
      </c>
      <c r="N1719" s="5">
        <f>IF(Táblázat1[[#This Row],[Karb./akt.év]]-Táblázat1[[#This Row],[Kész2020_2]]&lt;0,0,Táblázat1[[#This Row],[Karb./akt.év]]-Táblázat1[[#This Row],[Kész2020_2]])</f>
        <v>1</v>
      </c>
    </row>
    <row r="1720" spans="1:14" hidden="1" x14ac:dyDescent="0.25">
      <c r="A1720" s="17" t="s">
        <v>7299</v>
      </c>
      <c r="B1720" s="17" t="s">
        <v>7764</v>
      </c>
      <c r="C1720" s="17" t="s">
        <v>1753</v>
      </c>
      <c r="D1720" s="17" t="s">
        <v>7867</v>
      </c>
      <c r="E1720" s="17" t="s">
        <v>7987</v>
      </c>
      <c r="F1720" s="17" t="s">
        <v>7988</v>
      </c>
      <c r="G1720" s="17" t="s">
        <v>8083</v>
      </c>
      <c r="H1720" t="s">
        <v>7476</v>
      </c>
      <c r="I1720" s="1">
        <v>2</v>
      </c>
      <c r="J1720" s="1">
        <v>2</v>
      </c>
      <c r="K1720" t="s">
        <v>7354</v>
      </c>
      <c r="L1720" s="5">
        <f>VLOOKUP(D:D,[1]Munka2!$A:$B,2,FALSE)</f>
        <v>1</v>
      </c>
      <c r="M1720" s="5">
        <f>_xlfn.IFNA(Táblázat1[[#This Row],[Kész2020]],0)</f>
        <v>1</v>
      </c>
      <c r="N1720" s="5">
        <f>IF(Táblázat1[[#This Row],[Karb./akt.év]]-Táblázat1[[#This Row],[Kész2020_2]]&lt;0,0,Táblázat1[[#This Row],[Karb./akt.év]]-Táblázat1[[#This Row],[Kész2020_2]])</f>
        <v>1</v>
      </c>
    </row>
    <row r="1721" spans="1:14" x14ac:dyDescent="0.25">
      <c r="A1721" s="17" t="s">
        <v>7299</v>
      </c>
      <c r="B1721" s="17" t="s">
        <v>7765</v>
      </c>
      <c r="C1721" s="17" t="s">
        <v>1753</v>
      </c>
      <c r="D1721" s="17" t="s">
        <v>7868</v>
      </c>
      <c r="E1721" s="17" t="s">
        <v>4388</v>
      </c>
      <c r="F1721" s="17" t="s">
        <v>4389</v>
      </c>
      <c r="G1721" s="17" t="s">
        <v>8084</v>
      </c>
      <c r="H1721" t="s">
        <v>7476</v>
      </c>
      <c r="I1721" s="1">
        <v>2</v>
      </c>
      <c r="J1721" s="1">
        <v>2</v>
      </c>
      <c r="K1721" t="s">
        <v>6643</v>
      </c>
      <c r="L1721" s="5" t="e">
        <f>VLOOKUP(D:D,[1]Munka2!$A:$B,2,FALSE)</f>
        <v>#N/A</v>
      </c>
      <c r="M1721" s="5">
        <f>_xlfn.IFNA(Táblázat1[[#This Row],[Kész2020]],0)</f>
        <v>0</v>
      </c>
      <c r="N1721" s="5">
        <f>IF(Táblázat1[[#This Row],[Karb./akt.év]]-Táblázat1[[#This Row],[Kész2020_2]]&lt;0,0,Táblázat1[[#This Row],[Karb./akt.év]]-Táblázat1[[#This Row],[Kész2020_2]])</f>
        <v>2</v>
      </c>
    </row>
    <row r="1722" spans="1:14" hidden="1" x14ac:dyDescent="0.25">
      <c r="A1722" s="17" t="s">
        <v>7299</v>
      </c>
      <c r="B1722" s="17" t="s">
        <v>7766</v>
      </c>
      <c r="C1722" s="17" t="s">
        <v>1753</v>
      </c>
      <c r="D1722" s="17" t="s">
        <v>7869</v>
      </c>
      <c r="E1722" s="17" t="s">
        <v>7327</v>
      </c>
      <c r="F1722" s="17" t="s">
        <v>7328</v>
      </c>
      <c r="G1722" s="17" t="s">
        <v>6261</v>
      </c>
      <c r="H1722" t="s">
        <v>7476</v>
      </c>
      <c r="I1722" s="1">
        <v>2</v>
      </c>
      <c r="J1722" s="1">
        <v>0</v>
      </c>
      <c r="K1722" t="s">
        <v>7354</v>
      </c>
      <c r="L1722" s="5" t="e">
        <f>VLOOKUP(D:D,[1]Munka2!$A:$B,2,FALSE)</f>
        <v>#N/A</v>
      </c>
      <c r="M1722" s="5">
        <f>_xlfn.IFNA(Táblázat1[[#This Row],[Kész2020]],0)</f>
        <v>0</v>
      </c>
      <c r="N1722" s="5">
        <f>IF(Táblázat1[[#This Row],[Karb./akt.év]]-Táblázat1[[#This Row],[Kész2020_2]]&lt;0,0,Táblázat1[[#This Row],[Karb./akt.év]]-Táblázat1[[#This Row],[Kész2020_2]])</f>
        <v>0</v>
      </c>
    </row>
    <row r="1723" spans="1:14" x14ac:dyDescent="0.25">
      <c r="A1723" s="17" t="s">
        <v>7299</v>
      </c>
      <c r="B1723" s="17" t="s">
        <v>7767</v>
      </c>
      <c r="C1723" s="17" t="s">
        <v>1753</v>
      </c>
      <c r="D1723" s="17" t="s">
        <v>7870</v>
      </c>
      <c r="E1723" s="17" t="s">
        <v>7989</v>
      </c>
      <c r="F1723" s="17" t="s">
        <v>7990</v>
      </c>
      <c r="G1723" s="17" t="s">
        <v>8085</v>
      </c>
      <c r="H1723" t="s">
        <v>7476</v>
      </c>
      <c r="I1723" s="1">
        <v>2</v>
      </c>
      <c r="J1723" s="1">
        <v>2</v>
      </c>
      <c r="K1723" t="s">
        <v>7354</v>
      </c>
      <c r="L1723" s="5" t="e">
        <f>VLOOKUP(D:D,[1]Munka2!$A:$B,2,FALSE)</f>
        <v>#N/A</v>
      </c>
      <c r="M1723" s="5">
        <f>_xlfn.IFNA(Táblázat1[[#This Row],[Kész2020]],0)</f>
        <v>0</v>
      </c>
      <c r="N1723" s="5">
        <f>IF(Táblázat1[[#This Row],[Karb./akt.év]]-Táblázat1[[#This Row],[Kész2020_2]]&lt;0,0,Táblázat1[[#This Row],[Karb./akt.év]]-Táblázat1[[#This Row],[Kész2020_2]])</f>
        <v>2</v>
      </c>
    </row>
    <row r="1724" spans="1:14" hidden="1" x14ac:dyDescent="0.25">
      <c r="A1724" s="17" t="s">
        <v>7299</v>
      </c>
      <c r="B1724" s="17" t="s">
        <v>7768</v>
      </c>
      <c r="C1724" s="17" t="s">
        <v>1738</v>
      </c>
      <c r="D1724" s="17" t="s">
        <v>7871</v>
      </c>
      <c r="E1724" s="17" t="s">
        <v>7991</v>
      </c>
      <c r="F1724" s="17" t="s">
        <v>7992</v>
      </c>
      <c r="G1724" s="17" t="s">
        <v>8086</v>
      </c>
      <c r="H1724" t="s">
        <v>7476</v>
      </c>
      <c r="I1724" s="1">
        <v>2</v>
      </c>
      <c r="J1724" s="1">
        <v>0</v>
      </c>
      <c r="K1724" t="s">
        <v>7354</v>
      </c>
      <c r="L1724" s="5" t="e">
        <f>VLOOKUP(D:D,[1]Munka2!$A:$B,2,FALSE)</f>
        <v>#N/A</v>
      </c>
      <c r="M1724" s="5">
        <f>_xlfn.IFNA(Táblázat1[[#This Row],[Kész2020]],0)</f>
        <v>0</v>
      </c>
      <c r="N1724" s="5">
        <f>IF(Táblázat1[[#This Row],[Karb./akt.év]]-Táblázat1[[#This Row],[Kész2020_2]]&lt;0,0,Táblázat1[[#This Row],[Karb./akt.év]]-Táblázat1[[#This Row],[Kész2020_2]])</f>
        <v>0</v>
      </c>
    </row>
    <row r="1725" spans="1:14" hidden="1" x14ac:dyDescent="0.25">
      <c r="A1725" s="17" t="s">
        <v>7299</v>
      </c>
      <c r="B1725" s="17" t="s">
        <v>7595</v>
      </c>
      <c r="C1725" s="17" t="s">
        <v>1737</v>
      </c>
      <c r="D1725" s="17" t="s">
        <v>2592</v>
      </c>
      <c r="E1725" s="17" t="s">
        <v>7327</v>
      </c>
      <c r="F1725" s="17" t="s">
        <v>7328</v>
      </c>
      <c r="G1725" s="17" t="s">
        <v>7340</v>
      </c>
      <c r="H1725" t="s">
        <v>7476</v>
      </c>
      <c r="I1725" s="1">
        <v>2</v>
      </c>
      <c r="J1725" s="1">
        <v>2</v>
      </c>
      <c r="K1725" t="s">
        <v>7354</v>
      </c>
      <c r="L1725" s="5">
        <f>VLOOKUP(D:D,[1]Munka2!$A:$B,2,FALSE)</f>
        <v>1</v>
      </c>
      <c r="M1725" s="5">
        <f>_xlfn.IFNA(Táblázat1[[#This Row],[Kész2020]],0)</f>
        <v>1</v>
      </c>
      <c r="N1725" s="5">
        <f>IF(Táblázat1[[#This Row],[Karb./akt.év]]-Táblázat1[[#This Row],[Kész2020_2]]&lt;0,0,Táblázat1[[#This Row],[Karb./akt.év]]-Táblázat1[[#This Row],[Kész2020_2]])</f>
        <v>1</v>
      </c>
    </row>
    <row r="1726" spans="1:14" x14ac:dyDescent="0.25">
      <c r="A1726" s="17" t="s">
        <v>7299</v>
      </c>
      <c r="B1726" s="17" t="s">
        <v>7769</v>
      </c>
      <c r="C1726" s="17" t="s">
        <v>1748</v>
      </c>
      <c r="D1726" s="17" t="s">
        <v>7872</v>
      </c>
      <c r="E1726" s="17" t="s">
        <v>3625</v>
      </c>
      <c r="F1726" s="17" t="s">
        <v>3626</v>
      </c>
      <c r="G1726" s="17" t="s">
        <v>8087</v>
      </c>
      <c r="H1726" t="s">
        <v>7476</v>
      </c>
      <c r="I1726" s="1">
        <v>2</v>
      </c>
      <c r="J1726" s="1">
        <v>2</v>
      </c>
      <c r="K1726" t="s">
        <v>6642</v>
      </c>
      <c r="L1726" s="5" t="e">
        <f>VLOOKUP(D:D,[1]Munka2!$A:$B,2,FALSE)</f>
        <v>#N/A</v>
      </c>
      <c r="M1726" s="5">
        <f>_xlfn.IFNA(Táblázat1[[#This Row],[Kész2020]],0)</f>
        <v>0</v>
      </c>
      <c r="N1726" s="5">
        <f>IF(Táblázat1[[#This Row],[Karb./akt.év]]-Táblázat1[[#This Row],[Kész2020_2]]&lt;0,0,Táblázat1[[#This Row],[Karb./akt.év]]-Táblázat1[[#This Row],[Kész2020_2]])</f>
        <v>2</v>
      </c>
    </row>
    <row r="1727" spans="1:14" x14ac:dyDescent="0.25">
      <c r="A1727" s="17" t="s">
        <v>7299</v>
      </c>
      <c r="B1727" s="17" t="s">
        <v>1250</v>
      </c>
      <c r="C1727" s="17" t="s">
        <v>1750</v>
      </c>
      <c r="D1727" s="17" t="s">
        <v>3061</v>
      </c>
      <c r="E1727" s="17" t="s">
        <v>4747</v>
      </c>
      <c r="F1727" s="17" t="s">
        <v>4748</v>
      </c>
      <c r="G1727" s="17" t="s">
        <v>6176</v>
      </c>
      <c r="H1727" t="s">
        <v>7476</v>
      </c>
      <c r="I1727" s="1">
        <v>2</v>
      </c>
      <c r="J1727" s="1">
        <v>2</v>
      </c>
      <c r="K1727" t="s">
        <v>7118</v>
      </c>
      <c r="L1727" s="5" t="e">
        <f>VLOOKUP(D:D,[1]Munka2!$A:$B,2,FALSE)</f>
        <v>#N/A</v>
      </c>
      <c r="M1727" s="5">
        <f>_xlfn.IFNA(Táblázat1[[#This Row],[Kész2020]],0)</f>
        <v>0</v>
      </c>
      <c r="N1727" s="5">
        <f>IF(Táblázat1[[#This Row],[Karb./akt.év]]-Táblázat1[[#This Row],[Kész2020_2]]&lt;0,0,Táblázat1[[#This Row],[Karb./akt.év]]-Táblázat1[[#This Row],[Kész2020_2]])</f>
        <v>2</v>
      </c>
    </row>
    <row r="1728" spans="1:14" x14ac:dyDescent="0.25">
      <c r="A1728" s="17" t="s">
        <v>7299</v>
      </c>
      <c r="B1728" s="17" t="s">
        <v>903</v>
      </c>
      <c r="C1728" s="17" t="s">
        <v>1750</v>
      </c>
      <c r="D1728" s="17" t="s">
        <v>2686</v>
      </c>
      <c r="E1728" s="17" t="s">
        <v>4487</v>
      </c>
      <c r="F1728" s="17" t="s">
        <v>4488</v>
      </c>
      <c r="G1728" s="17" t="s">
        <v>5831</v>
      </c>
      <c r="H1728" t="s">
        <v>7476</v>
      </c>
      <c r="I1728" s="1">
        <v>2</v>
      </c>
      <c r="J1728" s="1">
        <v>2</v>
      </c>
      <c r="K1728" t="s">
        <v>7118</v>
      </c>
      <c r="L1728" s="5" t="e">
        <f>VLOOKUP(D:D,[1]Munka2!$A:$B,2,FALSE)</f>
        <v>#N/A</v>
      </c>
      <c r="M1728" s="5">
        <f>_xlfn.IFNA(Táblázat1[[#This Row],[Kész2020]],0)</f>
        <v>0</v>
      </c>
      <c r="N1728" s="5">
        <f>IF(Táblázat1[[#This Row],[Karb./akt.év]]-Táblázat1[[#This Row],[Kész2020_2]]&lt;0,0,Táblázat1[[#This Row],[Karb./akt.év]]-Táblázat1[[#This Row],[Kész2020_2]])</f>
        <v>2</v>
      </c>
    </row>
    <row r="1729" spans="1:14" x14ac:dyDescent="0.25">
      <c r="A1729" s="17" t="s">
        <v>7299</v>
      </c>
      <c r="B1729" s="17" t="s">
        <v>7770</v>
      </c>
      <c r="C1729" s="17" t="s">
        <v>1748</v>
      </c>
      <c r="D1729" s="17" t="s">
        <v>7873</v>
      </c>
      <c r="E1729" s="17" t="s">
        <v>7993</v>
      </c>
      <c r="F1729" s="17" t="s">
        <v>7994</v>
      </c>
      <c r="G1729" s="17" t="s">
        <v>8088</v>
      </c>
      <c r="H1729" t="s">
        <v>7476</v>
      </c>
      <c r="I1729" s="1">
        <v>2</v>
      </c>
      <c r="J1729" s="1">
        <v>2</v>
      </c>
      <c r="K1729" t="s">
        <v>8102</v>
      </c>
      <c r="L1729" s="5" t="e">
        <f>VLOOKUP(D:D,[1]Munka2!$A:$B,2,FALSE)</f>
        <v>#N/A</v>
      </c>
      <c r="M1729" s="5">
        <f>_xlfn.IFNA(Táblázat1[[#This Row],[Kész2020]],0)</f>
        <v>0</v>
      </c>
      <c r="N1729" s="5">
        <f>IF(Táblázat1[[#This Row],[Karb./akt.év]]-Táblázat1[[#This Row],[Kész2020_2]]&lt;0,0,Táblázat1[[#This Row],[Karb./akt.év]]-Táblázat1[[#This Row],[Kész2020_2]])</f>
        <v>2</v>
      </c>
    </row>
    <row r="1730" spans="1:14" x14ac:dyDescent="0.25">
      <c r="A1730" s="17" t="s">
        <v>7299</v>
      </c>
      <c r="B1730" s="17" t="s">
        <v>319</v>
      </c>
      <c r="C1730" s="17" t="s">
        <v>1750</v>
      </c>
      <c r="D1730" s="17" t="s">
        <v>2068</v>
      </c>
      <c r="E1730" s="17" t="s">
        <v>3941</v>
      </c>
      <c r="F1730" s="17" t="s">
        <v>3942</v>
      </c>
      <c r="G1730" s="17" t="s">
        <v>5285</v>
      </c>
      <c r="H1730" t="s">
        <v>7476</v>
      </c>
      <c r="I1730" s="1">
        <v>2</v>
      </c>
      <c r="J1730" s="1">
        <v>2</v>
      </c>
      <c r="K1730" t="s">
        <v>7118</v>
      </c>
      <c r="L1730" s="5" t="e">
        <f>VLOOKUP(D:D,[1]Munka2!$A:$B,2,FALSE)</f>
        <v>#N/A</v>
      </c>
      <c r="M1730" s="5">
        <f>_xlfn.IFNA(Táblázat1[[#This Row],[Kész2020]],0)</f>
        <v>0</v>
      </c>
      <c r="N1730" s="5">
        <f>IF(Táblázat1[[#This Row],[Karb./akt.év]]-Táblázat1[[#This Row],[Kész2020_2]]&lt;0,0,Táblázat1[[#This Row],[Karb./akt.év]]-Táblázat1[[#This Row],[Kész2020_2]])</f>
        <v>2</v>
      </c>
    </row>
    <row r="1731" spans="1:14" x14ac:dyDescent="0.25">
      <c r="A1731" s="17" t="s">
        <v>7299</v>
      </c>
      <c r="B1731" s="17" t="s">
        <v>445</v>
      </c>
      <c r="C1731" s="17" t="s">
        <v>1750</v>
      </c>
      <c r="D1731" s="17" t="s">
        <v>2203</v>
      </c>
      <c r="E1731" s="17" t="s">
        <v>4057</v>
      </c>
      <c r="F1731" s="17" t="s">
        <v>4058</v>
      </c>
      <c r="G1731" s="17" t="s">
        <v>7667</v>
      </c>
      <c r="H1731" t="s">
        <v>7476</v>
      </c>
      <c r="I1731" s="1">
        <v>2</v>
      </c>
      <c r="J1731" s="1">
        <v>2</v>
      </c>
      <c r="K1731" t="s">
        <v>7118</v>
      </c>
      <c r="L1731" s="5" t="e">
        <f>VLOOKUP(D:D,[1]Munka2!$A:$B,2,FALSE)</f>
        <v>#N/A</v>
      </c>
      <c r="M1731" s="5">
        <f>_xlfn.IFNA(Táblázat1[[#This Row],[Kész2020]],0)</f>
        <v>0</v>
      </c>
      <c r="N1731" s="5">
        <f>IF(Táblázat1[[#This Row],[Karb./akt.év]]-Táblázat1[[#This Row],[Kész2020_2]]&lt;0,0,Táblázat1[[#This Row],[Karb./akt.év]]-Táblázat1[[#This Row],[Kész2020_2]])</f>
        <v>2</v>
      </c>
    </row>
    <row r="1732" spans="1:14" x14ac:dyDescent="0.25">
      <c r="A1732" s="17" t="s">
        <v>7299</v>
      </c>
      <c r="B1732" s="17" t="s">
        <v>7120</v>
      </c>
      <c r="C1732" s="17" t="s">
        <v>1750</v>
      </c>
      <c r="D1732" s="17" t="s">
        <v>7138</v>
      </c>
      <c r="E1732" s="17" t="s">
        <v>7155</v>
      </c>
      <c r="F1732" s="17" t="s">
        <v>7156</v>
      </c>
      <c r="G1732" s="17" t="s">
        <v>7160</v>
      </c>
      <c r="H1732" t="s">
        <v>7476</v>
      </c>
      <c r="I1732" s="1">
        <v>2</v>
      </c>
      <c r="J1732" s="1">
        <v>2</v>
      </c>
      <c r="K1732" t="s">
        <v>7118</v>
      </c>
      <c r="L1732" s="5" t="e">
        <f>VLOOKUP(D:D,[1]Munka2!$A:$B,2,FALSE)</f>
        <v>#N/A</v>
      </c>
      <c r="M1732" s="5">
        <f>_xlfn.IFNA(Táblázat1[[#This Row],[Kész2020]],0)</f>
        <v>0</v>
      </c>
      <c r="N1732" s="5">
        <f>IF(Táblázat1[[#This Row],[Karb./akt.év]]-Táblázat1[[#This Row],[Kész2020_2]]&lt;0,0,Táblázat1[[#This Row],[Karb./akt.év]]-Táblázat1[[#This Row],[Kész2020_2]])</f>
        <v>2</v>
      </c>
    </row>
    <row r="1733" spans="1:14" x14ac:dyDescent="0.25">
      <c r="A1733" s="17" t="s">
        <v>7299</v>
      </c>
      <c r="B1733" s="17" t="s">
        <v>7771</v>
      </c>
      <c r="C1733" s="17" t="s">
        <v>1750</v>
      </c>
      <c r="D1733" s="17" t="s">
        <v>7874</v>
      </c>
      <c r="E1733" s="17" t="s">
        <v>7995</v>
      </c>
      <c r="F1733" s="17" t="s">
        <v>7996</v>
      </c>
      <c r="G1733" s="17" t="s">
        <v>8063</v>
      </c>
      <c r="H1733" t="s">
        <v>7476</v>
      </c>
      <c r="I1733" s="1">
        <v>2</v>
      </c>
      <c r="J1733" s="1">
        <v>2</v>
      </c>
      <c r="K1733" t="s">
        <v>6642</v>
      </c>
      <c r="L1733" s="5" t="e">
        <f>VLOOKUP(D:D,[1]Munka2!$A:$B,2,FALSE)</f>
        <v>#N/A</v>
      </c>
      <c r="M1733" s="5">
        <f>_xlfn.IFNA(Táblázat1[[#This Row],[Kész2020]],0)</f>
        <v>0</v>
      </c>
      <c r="N1733" s="5">
        <f>IF(Táblázat1[[#This Row],[Karb./akt.év]]-Táblázat1[[#This Row],[Kész2020_2]]&lt;0,0,Táblázat1[[#This Row],[Karb./akt.év]]-Táblázat1[[#This Row],[Kész2020_2]])</f>
        <v>2</v>
      </c>
    </row>
    <row r="1734" spans="1:14" hidden="1" x14ac:dyDescent="0.25">
      <c r="A1734" s="17" t="s">
        <v>7299</v>
      </c>
      <c r="B1734" s="17" t="s">
        <v>1196</v>
      </c>
      <c r="C1734" s="17" t="s">
        <v>1735</v>
      </c>
      <c r="D1734" s="17" t="s">
        <v>3002</v>
      </c>
      <c r="E1734" s="17" t="s">
        <v>4713</v>
      </c>
      <c r="F1734" s="17" t="s">
        <v>4714</v>
      </c>
      <c r="G1734" s="17" t="s">
        <v>6125</v>
      </c>
      <c r="H1734" t="s">
        <v>7476</v>
      </c>
      <c r="I1734" s="1">
        <v>2</v>
      </c>
      <c r="J1734" s="1">
        <v>2</v>
      </c>
      <c r="K1734" t="s">
        <v>6784</v>
      </c>
      <c r="L1734" s="5">
        <f>VLOOKUP(D:D,[1]Munka2!$A:$B,2,FALSE)</f>
        <v>1</v>
      </c>
      <c r="M1734" s="5">
        <f>_xlfn.IFNA(Táblázat1[[#This Row],[Kész2020]],0)</f>
        <v>1</v>
      </c>
      <c r="N1734" s="5">
        <f>IF(Táblázat1[[#This Row],[Karb./akt.év]]-Táblázat1[[#This Row],[Kész2020_2]]&lt;0,0,Táblázat1[[#This Row],[Karb./akt.év]]-Táblázat1[[#This Row],[Kész2020_2]])</f>
        <v>1</v>
      </c>
    </row>
    <row r="1735" spans="1:14" x14ac:dyDescent="0.25">
      <c r="A1735" s="17" t="s">
        <v>7299</v>
      </c>
      <c r="B1735" s="17" t="s">
        <v>7190</v>
      </c>
      <c r="C1735" s="17" t="s">
        <v>1735</v>
      </c>
      <c r="D1735" s="17" t="s">
        <v>7197</v>
      </c>
      <c r="E1735" s="17" t="s">
        <v>3828</v>
      </c>
      <c r="F1735" s="17" t="s">
        <v>7203</v>
      </c>
      <c r="G1735" s="17" t="s">
        <v>7205</v>
      </c>
      <c r="H1735" t="s">
        <v>7476</v>
      </c>
      <c r="I1735" s="1">
        <v>2</v>
      </c>
      <c r="J1735" s="1">
        <v>2</v>
      </c>
      <c r="K1735" t="s">
        <v>8102</v>
      </c>
      <c r="L1735" s="5" t="e">
        <f>VLOOKUP(D:D,[1]Munka2!$A:$B,2,FALSE)</f>
        <v>#N/A</v>
      </c>
      <c r="M1735" s="5">
        <f>_xlfn.IFNA(Táblázat1[[#This Row],[Kész2020]],0)</f>
        <v>0</v>
      </c>
      <c r="N1735" s="5">
        <f>IF(Táblázat1[[#This Row],[Karb./akt.év]]-Táblázat1[[#This Row],[Kész2020_2]]&lt;0,0,Táblázat1[[#This Row],[Karb./akt.év]]-Táblázat1[[#This Row],[Kész2020_2]])</f>
        <v>2</v>
      </c>
    </row>
    <row r="1736" spans="1:14" x14ac:dyDescent="0.25">
      <c r="A1736" s="17" t="s">
        <v>7299</v>
      </c>
      <c r="B1736" s="17" t="s">
        <v>7772</v>
      </c>
      <c r="C1736" s="17" t="s">
        <v>1748</v>
      </c>
      <c r="D1736" s="17" t="s">
        <v>7875</v>
      </c>
      <c r="E1736" s="17" t="s">
        <v>7997</v>
      </c>
      <c r="F1736" s="17" t="s">
        <v>7998</v>
      </c>
      <c r="G1736" s="17" t="s">
        <v>8089</v>
      </c>
      <c r="H1736" t="s">
        <v>7476</v>
      </c>
      <c r="I1736" s="1">
        <v>2</v>
      </c>
      <c r="J1736" s="1">
        <v>2</v>
      </c>
      <c r="K1736" t="s">
        <v>6784</v>
      </c>
      <c r="L1736" s="5" t="e">
        <f>VLOOKUP(D:D,[1]Munka2!$A:$B,2,FALSE)</f>
        <v>#N/A</v>
      </c>
      <c r="M1736" s="5">
        <f>_xlfn.IFNA(Táblázat1[[#This Row],[Kész2020]],0)</f>
        <v>0</v>
      </c>
      <c r="N1736" s="5">
        <f>IF(Táblázat1[[#This Row],[Karb./akt.év]]-Táblázat1[[#This Row],[Kész2020_2]]&lt;0,0,Táblázat1[[#This Row],[Karb./akt.év]]-Táblázat1[[#This Row],[Kész2020_2]])</f>
        <v>2</v>
      </c>
    </row>
    <row r="1737" spans="1:14" hidden="1" x14ac:dyDescent="0.25">
      <c r="A1737" s="17" t="s">
        <v>7299</v>
      </c>
      <c r="B1737" s="17" t="s">
        <v>1185</v>
      </c>
      <c r="C1737" s="17" t="s">
        <v>1735</v>
      </c>
      <c r="D1737" s="17" t="s">
        <v>2988</v>
      </c>
      <c r="E1737" s="17" t="s">
        <v>4704</v>
      </c>
      <c r="F1737" s="17" t="s">
        <v>4705</v>
      </c>
      <c r="G1737" s="17" t="s">
        <v>6112</v>
      </c>
      <c r="H1737" t="s">
        <v>7476</v>
      </c>
      <c r="I1737" s="1">
        <v>2</v>
      </c>
      <c r="J1737" s="1">
        <v>2</v>
      </c>
      <c r="K1737" t="s">
        <v>8102</v>
      </c>
      <c r="L1737" s="5">
        <f>VLOOKUP(D:D,[1]Munka2!$A:$B,2,FALSE)</f>
        <v>1</v>
      </c>
      <c r="M1737" s="5">
        <f>_xlfn.IFNA(Táblázat1[[#This Row],[Kész2020]],0)</f>
        <v>1</v>
      </c>
      <c r="N1737" s="5">
        <f>IF(Táblázat1[[#This Row],[Karb./akt.év]]-Táblázat1[[#This Row],[Kész2020_2]]&lt;0,0,Táblázat1[[#This Row],[Karb./akt.év]]-Táblázat1[[#This Row],[Kész2020_2]])</f>
        <v>1</v>
      </c>
    </row>
    <row r="1738" spans="1:14" x14ac:dyDescent="0.25">
      <c r="A1738" s="17" t="s">
        <v>7299</v>
      </c>
      <c r="B1738" s="17" t="s">
        <v>7773</v>
      </c>
      <c r="C1738" s="17" t="s">
        <v>1738</v>
      </c>
      <c r="D1738" s="17" t="s">
        <v>6766</v>
      </c>
      <c r="E1738" s="17" t="s">
        <v>7999</v>
      </c>
      <c r="F1738" s="17" t="s">
        <v>8000</v>
      </c>
      <c r="G1738" s="17" t="s">
        <v>8090</v>
      </c>
      <c r="H1738" t="s">
        <v>7476</v>
      </c>
      <c r="I1738" s="1">
        <v>2</v>
      </c>
      <c r="J1738" s="1">
        <v>2</v>
      </c>
      <c r="K1738" t="s">
        <v>6784</v>
      </c>
      <c r="L1738" s="5" t="e">
        <f>VLOOKUP(D:D,[1]Munka2!$A:$B,2,FALSE)</f>
        <v>#N/A</v>
      </c>
      <c r="M1738" s="5">
        <f>_xlfn.IFNA(Táblázat1[[#This Row],[Kész2020]],0)</f>
        <v>0</v>
      </c>
      <c r="N1738" s="5">
        <f>IF(Táblázat1[[#This Row],[Karb./akt.év]]-Táblázat1[[#This Row],[Kész2020_2]]&lt;0,0,Táblázat1[[#This Row],[Karb./akt.év]]-Táblázat1[[#This Row],[Kész2020_2]])</f>
        <v>2</v>
      </c>
    </row>
    <row r="1739" spans="1:14" hidden="1" x14ac:dyDescent="0.25">
      <c r="A1739" s="17" t="s">
        <v>7299</v>
      </c>
      <c r="B1739" s="17" t="s">
        <v>1152</v>
      </c>
      <c r="C1739" s="17" t="s">
        <v>1737</v>
      </c>
      <c r="D1739" s="17" t="s">
        <v>2950</v>
      </c>
      <c r="E1739" s="17" t="s">
        <v>3782</v>
      </c>
      <c r="F1739" s="17" t="s">
        <v>3783</v>
      </c>
      <c r="G1739" s="17" t="s">
        <v>6080</v>
      </c>
      <c r="H1739" t="s">
        <v>7476</v>
      </c>
      <c r="I1739" s="1">
        <v>2</v>
      </c>
      <c r="J1739" s="1">
        <v>2</v>
      </c>
      <c r="K1739" t="s">
        <v>8103</v>
      </c>
      <c r="L1739" s="5">
        <f>VLOOKUP(D:D,[1]Munka2!$A:$B,2,FALSE)</f>
        <v>1</v>
      </c>
      <c r="M1739" s="5">
        <f>_xlfn.IFNA(Táblázat1[[#This Row],[Kész2020]],0)</f>
        <v>1</v>
      </c>
      <c r="N1739" s="5">
        <f>IF(Táblázat1[[#This Row],[Karb./akt.év]]-Táblázat1[[#This Row],[Kész2020_2]]&lt;0,0,Táblázat1[[#This Row],[Karb./akt.év]]-Táblázat1[[#This Row],[Kész2020_2]])</f>
        <v>1</v>
      </c>
    </row>
    <row r="1740" spans="1:14" hidden="1" x14ac:dyDescent="0.25">
      <c r="A1740" s="17" t="s">
        <v>7299</v>
      </c>
      <c r="B1740" s="17" t="s">
        <v>1316</v>
      </c>
      <c r="C1740" s="17" t="s">
        <v>1737</v>
      </c>
      <c r="D1740" s="17" t="s">
        <v>3131</v>
      </c>
      <c r="E1740" s="17" t="s">
        <v>3782</v>
      </c>
      <c r="F1740" s="17" t="s">
        <v>3783</v>
      </c>
      <c r="G1740" s="17" t="s">
        <v>6235</v>
      </c>
      <c r="H1740" t="s">
        <v>7476</v>
      </c>
      <c r="I1740" s="1">
        <v>2</v>
      </c>
      <c r="J1740" s="1">
        <v>2</v>
      </c>
      <c r="K1740" t="s">
        <v>8103</v>
      </c>
      <c r="L1740" s="5">
        <f>VLOOKUP(D:D,[1]Munka2!$A:$B,2,FALSE)</f>
        <v>1</v>
      </c>
      <c r="M1740" s="5">
        <f>_xlfn.IFNA(Táblázat1[[#This Row],[Kész2020]],0)</f>
        <v>1</v>
      </c>
      <c r="N1740" s="5">
        <f>IF(Táblázat1[[#This Row],[Karb./akt.év]]-Táblázat1[[#This Row],[Kész2020_2]]&lt;0,0,Táblázat1[[#This Row],[Karb./akt.év]]-Táblázat1[[#This Row],[Kész2020_2]])</f>
        <v>1</v>
      </c>
    </row>
    <row r="1741" spans="1:14" hidden="1" x14ac:dyDescent="0.25">
      <c r="A1741" s="17" t="s">
        <v>7299</v>
      </c>
      <c r="B1741" s="17" t="s">
        <v>1487</v>
      </c>
      <c r="C1741" s="17" t="s">
        <v>1737</v>
      </c>
      <c r="D1741" s="17" t="s">
        <v>3324</v>
      </c>
      <c r="E1741" s="17" t="s">
        <v>4906</v>
      </c>
      <c r="F1741" s="17" t="s">
        <v>4907</v>
      </c>
      <c r="G1741" s="17" t="s">
        <v>6395</v>
      </c>
      <c r="H1741" t="s">
        <v>7476</v>
      </c>
      <c r="I1741" s="1">
        <v>2</v>
      </c>
      <c r="J1741" s="1">
        <v>2</v>
      </c>
      <c r="K1741" t="s">
        <v>8103</v>
      </c>
      <c r="L1741" s="5">
        <f>VLOOKUP(D:D,[1]Munka2!$A:$B,2,FALSE)</f>
        <v>1</v>
      </c>
      <c r="M1741" s="5">
        <f>_xlfn.IFNA(Táblázat1[[#This Row],[Kész2020]],0)</f>
        <v>1</v>
      </c>
      <c r="N1741" s="5">
        <f>IF(Táblázat1[[#This Row],[Karb./akt.év]]-Táblázat1[[#This Row],[Kész2020_2]]&lt;0,0,Táblázat1[[#This Row],[Karb./akt.év]]-Táblázat1[[#This Row],[Kész2020_2]])</f>
        <v>1</v>
      </c>
    </row>
    <row r="1742" spans="1:14" hidden="1" x14ac:dyDescent="0.25">
      <c r="A1742" s="17" t="s">
        <v>7299</v>
      </c>
      <c r="B1742" s="17" t="s">
        <v>1523</v>
      </c>
      <c r="C1742" s="17" t="s">
        <v>1737</v>
      </c>
      <c r="D1742" s="17" t="s">
        <v>3365</v>
      </c>
      <c r="E1742" s="17" t="s">
        <v>3782</v>
      </c>
      <c r="F1742" s="17" t="s">
        <v>3783</v>
      </c>
      <c r="G1742" s="17" t="s">
        <v>6430</v>
      </c>
      <c r="H1742" t="s">
        <v>7476</v>
      </c>
      <c r="I1742" s="1">
        <v>2</v>
      </c>
      <c r="J1742" s="1">
        <v>2</v>
      </c>
      <c r="K1742" t="s">
        <v>8103</v>
      </c>
      <c r="L1742" s="5">
        <f>VLOOKUP(D:D,[1]Munka2!$A:$B,2,FALSE)</f>
        <v>1</v>
      </c>
      <c r="M1742" s="5">
        <f>_xlfn.IFNA(Táblázat1[[#This Row],[Kész2020]],0)</f>
        <v>1</v>
      </c>
      <c r="N1742" s="5">
        <f>IF(Táblázat1[[#This Row],[Karb./akt.év]]-Táblázat1[[#This Row],[Kész2020_2]]&lt;0,0,Táblázat1[[#This Row],[Karb./akt.év]]-Táblázat1[[#This Row],[Kész2020_2]])</f>
        <v>1</v>
      </c>
    </row>
    <row r="1743" spans="1:14" x14ac:dyDescent="0.25">
      <c r="A1743" s="17" t="s">
        <v>7299</v>
      </c>
      <c r="B1743" s="17" t="s">
        <v>1571</v>
      </c>
      <c r="C1743" s="17" t="s">
        <v>1737</v>
      </c>
      <c r="D1743" s="17" t="s">
        <v>3416</v>
      </c>
      <c r="E1743" s="17" t="s">
        <v>4949</v>
      </c>
      <c r="F1743" s="17" t="s">
        <v>4950</v>
      </c>
      <c r="G1743" s="17" t="s">
        <v>7668</v>
      </c>
      <c r="H1743" t="s">
        <v>7476</v>
      </c>
      <c r="I1743" s="1">
        <v>2</v>
      </c>
      <c r="J1743" s="1">
        <v>2</v>
      </c>
      <c r="K1743" t="s">
        <v>8103</v>
      </c>
      <c r="L1743" s="5" t="e">
        <f>VLOOKUP(D:D,[1]Munka2!$A:$B,2,FALSE)</f>
        <v>#N/A</v>
      </c>
      <c r="M1743" s="5">
        <f>_xlfn.IFNA(Táblázat1[[#This Row],[Kész2020]],0)</f>
        <v>0</v>
      </c>
      <c r="N1743" s="5">
        <f>IF(Táblázat1[[#This Row],[Karb./akt.év]]-Táblázat1[[#This Row],[Kész2020_2]]&lt;0,0,Táblázat1[[#This Row],[Karb./akt.év]]-Táblázat1[[#This Row],[Kész2020_2]])</f>
        <v>2</v>
      </c>
    </row>
    <row r="1744" spans="1:14" hidden="1" x14ac:dyDescent="0.25">
      <c r="A1744" s="17" t="s">
        <v>7299</v>
      </c>
      <c r="B1744" s="17" t="s">
        <v>1654</v>
      </c>
      <c r="C1744" s="17" t="s">
        <v>1737</v>
      </c>
      <c r="D1744" s="17" t="s">
        <v>3511</v>
      </c>
      <c r="E1744" s="17" t="s">
        <v>4969</v>
      </c>
      <c r="F1744" s="17" t="s">
        <v>4970</v>
      </c>
      <c r="G1744" s="17" t="s">
        <v>6551</v>
      </c>
      <c r="H1744" t="s">
        <v>7476</v>
      </c>
      <c r="I1744" s="1">
        <v>2</v>
      </c>
      <c r="J1744" s="1">
        <v>2</v>
      </c>
      <c r="K1744" t="s">
        <v>6634</v>
      </c>
      <c r="L1744" s="5">
        <f>VLOOKUP(D:D,[1]Munka2!$A:$B,2,FALSE)</f>
        <v>1</v>
      </c>
      <c r="M1744" s="5">
        <f>_xlfn.IFNA(Táblázat1[[#This Row],[Kész2020]],0)</f>
        <v>1</v>
      </c>
      <c r="N1744" s="5">
        <f>IF(Táblázat1[[#This Row],[Karb./akt.év]]-Táblázat1[[#This Row],[Kész2020_2]]&lt;0,0,Táblázat1[[#This Row],[Karb./akt.év]]-Táblázat1[[#This Row],[Kész2020_2]])</f>
        <v>1</v>
      </c>
    </row>
    <row r="1745" spans="1:14" hidden="1" x14ac:dyDescent="0.25">
      <c r="A1745" s="17" t="s">
        <v>7299</v>
      </c>
      <c r="B1745" s="17" t="s">
        <v>551</v>
      </c>
      <c r="C1745" s="17" t="s">
        <v>1737</v>
      </c>
      <c r="D1745" s="17" t="s">
        <v>2320</v>
      </c>
      <c r="E1745" s="17" t="s">
        <v>4179</v>
      </c>
      <c r="F1745" s="17" t="s">
        <v>4180</v>
      </c>
      <c r="G1745" s="17" t="s">
        <v>5512</v>
      </c>
      <c r="H1745" t="s">
        <v>7476</v>
      </c>
      <c r="I1745" s="1">
        <v>2</v>
      </c>
      <c r="J1745" s="1">
        <v>2</v>
      </c>
      <c r="K1745" t="s">
        <v>6634</v>
      </c>
      <c r="L1745" s="5">
        <f>VLOOKUP(D:D,[1]Munka2!$A:$B,2,FALSE)</f>
        <v>1</v>
      </c>
      <c r="M1745" s="5">
        <f>_xlfn.IFNA(Táblázat1[[#This Row],[Kész2020]],0)</f>
        <v>1</v>
      </c>
      <c r="N1745" s="5">
        <f>IF(Táblázat1[[#This Row],[Karb./akt.év]]-Táblázat1[[#This Row],[Kész2020_2]]&lt;0,0,Táblázat1[[#This Row],[Karb./akt.év]]-Táblázat1[[#This Row],[Kész2020_2]])</f>
        <v>1</v>
      </c>
    </row>
    <row r="1746" spans="1:14" hidden="1" x14ac:dyDescent="0.25">
      <c r="A1746" s="17" t="s">
        <v>7299</v>
      </c>
      <c r="B1746" s="17" t="s">
        <v>1557</v>
      </c>
      <c r="C1746" s="17" t="s">
        <v>1737</v>
      </c>
      <c r="D1746" s="17" t="s">
        <v>3402</v>
      </c>
      <c r="E1746" s="17" t="s">
        <v>4818</v>
      </c>
      <c r="F1746" s="17" t="s">
        <v>4819</v>
      </c>
      <c r="G1746" s="17" t="s">
        <v>6462</v>
      </c>
      <c r="H1746" t="s">
        <v>7476</v>
      </c>
      <c r="I1746" s="1">
        <v>2</v>
      </c>
      <c r="J1746" s="1">
        <v>2</v>
      </c>
      <c r="K1746" t="s">
        <v>8103</v>
      </c>
      <c r="L1746" s="5">
        <f>VLOOKUP(D:D,[1]Munka2!$A:$B,2,FALSE)</f>
        <v>1</v>
      </c>
      <c r="M1746" s="5">
        <f>_xlfn.IFNA(Táblázat1[[#This Row],[Kész2020]],0)</f>
        <v>1</v>
      </c>
      <c r="N1746" s="5">
        <f>IF(Táblázat1[[#This Row],[Karb./akt.év]]-Táblázat1[[#This Row],[Kész2020_2]]&lt;0,0,Táblázat1[[#This Row],[Karb./akt.év]]-Táblázat1[[#This Row],[Kész2020_2]])</f>
        <v>1</v>
      </c>
    </row>
    <row r="1747" spans="1:14" hidden="1" x14ac:dyDescent="0.25">
      <c r="A1747" s="17" t="s">
        <v>7299</v>
      </c>
      <c r="B1747" s="17" t="s">
        <v>619</v>
      </c>
      <c r="C1747" s="17" t="s">
        <v>1737</v>
      </c>
      <c r="D1747" s="17" t="s">
        <v>2392</v>
      </c>
      <c r="E1747" s="17" t="s">
        <v>4232</v>
      </c>
      <c r="F1747" s="17" t="s">
        <v>4233</v>
      </c>
      <c r="G1747" s="17" t="s">
        <v>5579</v>
      </c>
      <c r="H1747" t="s">
        <v>7476</v>
      </c>
      <c r="I1747" s="1">
        <v>2</v>
      </c>
      <c r="J1747" s="1">
        <v>2</v>
      </c>
      <c r="K1747" t="s">
        <v>8103</v>
      </c>
      <c r="L1747" s="5">
        <f>VLOOKUP(D:D,[1]Munka2!$A:$B,2,FALSE)</f>
        <v>1</v>
      </c>
      <c r="M1747" s="5">
        <f>_xlfn.IFNA(Táblázat1[[#This Row],[Kész2020]],0)</f>
        <v>1</v>
      </c>
      <c r="N1747" s="5">
        <f>IF(Táblázat1[[#This Row],[Karb./akt.év]]-Táblázat1[[#This Row],[Kész2020_2]]&lt;0,0,Táblázat1[[#This Row],[Karb./akt.év]]-Táblázat1[[#This Row],[Kész2020_2]])</f>
        <v>1</v>
      </c>
    </row>
    <row r="1748" spans="1:14" x14ac:dyDescent="0.25">
      <c r="A1748" s="17" t="s">
        <v>7299</v>
      </c>
      <c r="B1748" s="17" t="s">
        <v>1340</v>
      </c>
      <c r="C1748" s="17" t="s">
        <v>1761</v>
      </c>
      <c r="D1748" s="17" t="s">
        <v>3158</v>
      </c>
      <c r="E1748" s="17" t="s">
        <v>4829</v>
      </c>
      <c r="F1748" s="17" t="s">
        <v>4830</v>
      </c>
      <c r="G1748" s="17" t="s">
        <v>6257</v>
      </c>
      <c r="H1748" t="s">
        <v>7476</v>
      </c>
      <c r="I1748" s="1">
        <v>2</v>
      </c>
      <c r="J1748" s="1">
        <v>2</v>
      </c>
      <c r="K1748" t="s">
        <v>8103</v>
      </c>
      <c r="L1748" s="5" t="e">
        <f>VLOOKUP(D:D,[1]Munka2!$A:$B,2,FALSE)</f>
        <v>#N/A</v>
      </c>
      <c r="M1748" s="5">
        <f>_xlfn.IFNA(Táblázat1[[#This Row],[Kész2020]],0)</f>
        <v>0</v>
      </c>
      <c r="N1748" s="5">
        <f>IF(Táblázat1[[#This Row],[Karb./akt.év]]-Táblázat1[[#This Row],[Kész2020_2]]&lt;0,0,Táblázat1[[#This Row],[Karb./akt.év]]-Táblázat1[[#This Row],[Kész2020_2]])</f>
        <v>2</v>
      </c>
    </row>
    <row r="1749" spans="1:14" x14ac:dyDescent="0.25">
      <c r="A1749" s="17" t="s">
        <v>7299</v>
      </c>
      <c r="B1749" s="17" t="s">
        <v>1219</v>
      </c>
      <c r="C1749" s="17" t="s">
        <v>1761</v>
      </c>
      <c r="D1749" s="17" t="s">
        <v>3026</v>
      </c>
      <c r="E1749" s="17" t="s">
        <v>4723</v>
      </c>
      <c r="F1749" s="17" t="s">
        <v>4724</v>
      </c>
      <c r="G1749" s="17" t="s">
        <v>6148</v>
      </c>
      <c r="H1749" t="s">
        <v>7476</v>
      </c>
      <c r="I1749" s="1">
        <v>2</v>
      </c>
      <c r="J1749" s="1">
        <v>2</v>
      </c>
      <c r="K1749" t="s">
        <v>8103</v>
      </c>
      <c r="L1749" s="5" t="e">
        <f>VLOOKUP(D:D,[1]Munka2!$A:$B,2,FALSE)</f>
        <v>#N/A</v>
      </c>
      <c r="M1749" s="5">
        <f>_xlfn.IFNA(Táblázat1[[#This Row],[Kész2020]],0)</f>
        <v>0</v>
      </c>
      <c r="N1749" s="5">
        <f>IF(Táblázat1[[#This Row],[Karb./akt.év]]-Táblázat1[[#This Row],[Kész2020_2]]&lt;0,0,Táblázat1[[#This Row],[Karb./akt.év]]-Táblázat1[[#This Row],[Kész2020_2]])</f>
        <v>2</v>
      </c>
    </row>
    <row r="1750" spans="1:14" x14ac:dyDescent="0.25">
      <c r="A1750" s="17" t="s">
        <v>7299</v>
      </c>
      <c r="B1750" s="17" t="s">
        <v>7774</v>
      </c>
      <c r="C1750" s="17" t="s">
        <v>1742</v>
      </c>
      <c r="D1750" s="17" t="s">
        <v>7876</v>
      </c>
      <c r="E1750" s="17" t="s">
        <v>8001</v>
      </c>
      <c r="F1750" s="17" t="s">
        <v>8002</v>
      </c>
      <c r="G1750" s="17" t="s">
        <v>8091</v>
      </c>
      <c r="H1750" t="s">
        <v>7476</v>
      </c>
      <c r="I1750" s="1">
        <v>2</v>
      </c>
      <c r="J1750" s="1">
        <v>2</v>
      </c>
      <c r="K1750" t="s">
        <v>8103</v>
      </c>
      <c r="L1750" s="5" t="e">
        <f>VLOOKUP(D:D,[1]Munka2!$A:$B,2,FALSE)</f>
        <v>#N/A</v>
      </c>
      <c r="M1750" s="5">
        <f>_xlfn.IFNA(Táblázat1[[#This Row],[Kész2020]],0)</f>
        <v>0</v>
      </c>
      <c r="N1750" s="5">
        <f>IF(Táblázat1[[#This Row],[Karb./akt.év]]-Táblázat1[[#This Row],[Kész2020_2]]&lt;0,0,Táblázat1[[#This Row],[Karb./akt.év]]-Táblázat1[[#This Row],[Kész2020_2]])</f>
        <v>2</v>
      </c>
    </row>
    <row r="1751" spans="1:14" hidden="1" x14ac:dyDescent="0.25">
      <c r="A1751" s="17" t="s">
        <v>7299</v>
      </c>
      <c r="B1751" s="17" t="s">
        <v>1154</v>
      </c>
      <c r="C1751" s="17" t="s">
        <v>1737</v>
      </c>
      <c r="D1751" s="17" t="s">
        <v>2952</v>
      </c>
      <c r="E1751" s="17" t="s">
        <v>4658</v>
      </c>
      <c r="F1751" s="17" t="s">
        <v>4659</v>
      </c>
      <c r="G1751" s="17" t="s">
        <v>7669</v>
      </c>
      <c r="H1751" t="s">
        <v>7476</v>
      </c>
      <c r="I1751" s="1">
        <v>2</v>
      </c>
      <c r="J1751" s="1">
        <v>2</v>
      </c>
      <c r="K1751" t="s">
        <v>8103</v>
      </c>
      <c r="L1751" s="5">
        <f>VLOOKUP(D:D,[1]Munka2!$A:$B,2,FALSE)</f>
        <v>1</v>
      </c>
      <c r="M1751" s="5">
        <f>_xlfn.IFNA(Táblázat1[[#This Row],[Kész2020]],0)</f>
        <v>1</v>
      </c>
      <c r="N1751" s="5">
        <f>IF(Táblázat1[[#This Row],[Karb./akt.év]]-Táblázat1[[#This Row],[Kész2020_2]]&lt;0,0,Táblázat1[[#This Row],[Karb./akt.év]]-Táblázat1[[#This Row],[Kész2020_2]])</f>
        <v>1</v>
      </c>
    </row>
    <row r="1752" spans="1:14" hidden="1" x14ac:dyDescent="0.25">
      <c r="A1752" s="17" t="s">
        <v>7299</v>
      </c>
      <c r="B1752" s="17" t="s">
        <v>883</v>
      </c>
      <c r="C1752" s="17" t="s">
        <v>1735</v>
      </c>
      <c r="D1752" s="17" t="s">
        <v>2666</v>
      </c>
      <c r="E1752" s="17" t="s">
        <v>4463</v>
      </c>
      <c r="F1752" s="17" t="s">
        <v>3946</v>
      </c>
      <c r="G1752" s="17" t="s">
        <v>5816</v>
      </c>
      <c r="H1752" t="s">
        <v>7476</v>
      </c>
      <c r="I1752" s="1">
        <v>2</v>
      </c>
      <c r="J1752" s="1">
        <v>2</v>
      </c>
      <c r="K1752" t="s">
        <v>8103</v>
      </c>
      <c r="L1752" s="5">
        <f>VLOOKUP(D:D,[1]Munka2!$A:$B,2,FALSE)</f>
        <v>1</v>
      </c>
      <c r="M1752" s="5">
        <f>_xlfn.IFNA(Táblázat1[[#This Row],[Kész2020]],0)</f>
        <v>1</v>
      </c>
      <c r="N1752" s="5">
        <f>IF(Táblázat1[[#This Row],[Karb./akt.év]]-Táblázat1[[#This Row],[Kész2020_2]]&lt;0,0,Táblázat1[[#This Row],[Karb./akt.év]]-Táblázat1[[#This Row],[Kész2020_2]])</f>
        <v>1</v>
      </c>
    </row>
    <row r="1753" spans="1:14" x14ac:dyDescent="0.25">
      <c r="A1753" s="17" t="s">
        <v>7299</v>
      </c>
      <c r="B1753" s="17" t="s">
        <v>7775</v>
      </c>
      <c r="C1753" s="17" t="s">
        <v>1737</v>
      </c>
      <c r="D1753" s="17" t="s">
        <v>7877</v>
      </c>
      <c r="E1753" s="17" t="s">
        <v>8003</v>
      </c>
      <c r="F1753" s="17" t="s">
        <v>8004</v>
      </c>
      <c r="G1753" s="17" t="s">
        <v>8092</v>
      </c>
      <c r="H1753" t="s">
        <v>7476</v>
      </c>
      <c r="I1753" s="1">
        <v>2</v>
      </c>
      <c r="J1753" s="1">
        <v>2</v>
      </c>
      <c r="K1753" t="s">
        <v>8103</v>
      </c>
      <c r="L1753" s="5" t="e">
        <f>VLOOKUP(D:D,[1]Munka2!$A:$B,2,FALSE)</f>
        <v>#N/A</v>
      </c>
      <c r="M1753" s="5">
        <f>_xlfn.IFNA(Táblázat1[[#This Row],[Kész2020]],0)</f>
        <v>0</v>
      </c>
      <c r="N1753" s="5">
        <f>IF(Táblázat1[[#This Row],[Karb./akt.év]]-Táblázat1[[#This Row],[Kész2020_2]]&lt;0,0,Táblázat1[[#This Row],[Karb./akt.év]]-Táblázat1[[#This Row],[Kész2020_2]])</f>
        <v>2</v>
      </c>
    </row>
    <row r="1754" spans="1:14" hidden="1" x14ac:dyDescent="0.25">
      <c r="A1754" s="17" t="s">
        <v>7299</v>
      </c>
      <c r="B1754" s="17" t="s">
        <v>164</v>
      </c>
      <c r="C1754" s="17" t="s">
        <v>1754</v>
      </c>
      <c r="D1754" s="17" t="s">
        <v>1904</v>
      </c>
      <c r="E1754" s="17" t="s">
        <v>3763</v>
      </c>
      <c r="F1754" s="17" t="s">
        <v>3764</v>
      </c>
      <c r="G1754" s="17" t="s">
        <v>7670</v>
      </c>
      <c r="H1754" t="s">
        <v>7476</v>
      </c>
      <c r="I1754" s="1">
        <v>2</v>
      </c>
      <c r="J1754" s="1">
        <v>2</v>
      </c>
      <c r="K1754" t="s">
        <v>8103</v>
      </c>
      <c r="L1754" s="5">
        <f>VLOOKUP(D:D,[1]Munka2!$A:$B,2,FALSE)</f>
        <v>1</v>
      </c>
      <c r="M1754" s="5">
        <f>_xlfn.IFNA(Táblázat1[[#This Row],[Kész2020]],0)</f>
        <v>1</v>
      </c>
      <c r="N1754" s="5">
        <f>IF(Táblázat1[[#This Row],[Karb./akt.év]]-Táblázat1[[#This Row],[Kész2020_2]]&lt;0,0,Táblázat1[[#This Row],[Karb./akt.év]]-Táblázat1[[#This Row],[Kész2020_2]])</f>
        <v>1</v>
      </c>
    </row>
    <row r="1755" spans="1:14" hidden="1" x14ac:dyDescent="0.25">
      <c r="A1755" s="17" t="s">
        <v>7299</v>
      </c>
      <c r="B1755" s="17" t="s">
        <v>249</v>
      </c>
      <c r="C1755" s="17" t="s">
        <v>1748</v>
      </c>
      <c r="D1755" s="17" t="s">
        <v>1994</v>
      </c>
      <c r="E1755" s="17" t="s">
        <v>3865</v>
      </c>
      <c r="F1755" s="17" t="s">
        <v>3866</v>
      </c>
      <c r="G1755" s="17" t="s">
        <v>5216</v>
      </c>
      <c r="H1755" t="s">
        <v>7476</v>
      </c>
      <c r="I1755" s="1">
        <v>2</v>
      </c>
      <c r="J1755" s="1">
        <v>2</v>
      </c>
      <c r="K1755" t="s">
        <v>8103</v>
      </c>
      <c r="L1755" s="5">
        <f>VLOOKUP(D:D,[1]Munka2!$A:$B,2,FALSE)</f>
        <v>1</v>
      </c>
      <c r="M1755" s="5">
        <f>_xlfn.IFNA(Táblázat1[[#This Row],[Kész2020]],0)</f>
        <v>1</v>
      </c>
      <c r="N1755" s="5">
        <f>IF(Táblázat1[[#This Row],[Karb./akt.év]]-Táblázat1[[#This Row],[Kész2020_2]]&lt;0,0,Táblázat1[[#This Row],[Karb./akt.év]]-Táblázat1[[#This Row],[Kész2020_2]])</f>
        <v>1</v>
      </c>
    </row>
    <row r="1756" spans="1:14" hidden="1" x14ac:dyDescent="0.25">
      <c r="A1756" s="17" t="s">
        <v>7299</v>
      </c>
      <c r="B1756" s="17" t="s">
        <v>1416</v>
      </c>
      <c r="C1756" s="17" t="s">
        <v>1735</v>
      </c>
      <c r="D1756" s="17" t="s">
        <v>3244</v>
      </c>
      <c r="E1756" s="17" t="s">
        <v>4882</v>
      </c>
      <c r="F1756" s="17" t="s">
        <v>4883</v>
      </c>
      <c r="G1756" s="17" t="s">
        <v>6319</v>
      </c>
      <c r="H1756" t="s">
        <v>7476</v>
      </c>
      <c r="I1756" s="1">
        <v>2</v>
      </c>
      <c r="J1756" s="1">
        <v>2</v>
      </c>
      <c r="K1756" t="s">
        <v>8103</v>
      </c>
      <c r="L1756" s="5">
        <f>VLOOKUP(D:D,[1]Munka2!$A:$B,2,FALSE)</f>
        <v>1</v>
      </c>
      <c r="M1756" s="5">
        <f>_xlfn.IFNA(Táblázat1[[#This Row],[Kész2020]],0)</f>
        <v>1</v>
      </c>
      <c r="N1756" s="5">
        <f>IF(Táblázat1[[#This Row],[Karb./akt.év]]-Táblázat1[[#This Row],[Kész2020_2]]&lt;0,0,Táblázat1[[#This Row],[Karb./akt.év]]-Táblázat1[[#This Row],[Kész2020_2]])</f>
        <v>1</v>
      </c>
    </row>
    <row r="1757" spans="1:14" hidden="1" x14ac:dyDescent="0.25">
      <c r="A1757" s="17" t="s">
        <v>7299</v>
      </c>
      <c r="B1757" s="17" t="s">
        <v>174</v>
      </c>
      <c r="C1757" s="17" t="s">
        <v>1735</v>
      </c>
      <c r="D1757" s="17" t="s">
        <v>1915</v>
      </c>
      <c r="E1757" s="17" t="s">
        <v>3784</v>
      </c>
      <c r="F1757" s="17" t="s">
        <v>3785</v>
      </c>
      <c r="G1757" s="17" t="s">
        <v>5145</v>
      </c>
      <c r="H1757" t="s">
        <v>7476</v>
      </c>
      <c r="I1757" s="1">
        <v>2</v>
      </c>
      <c r="J1757" s="1">
        <v>2</v>
      </c>
      <c r="K1757" t="s">
        <v>6634</v>
      </c>
      <c r="L1757" s="5">
        <f>VLOOKUP(D:D,[1]Munka2!$A:$B,2,FALSE)</f>
        <v>1</v>
      </c>
      <c r="M1757" s="5">
        <f>_xlfn.IFNA(Táblázat1[[#This Row],[Kész2020]],0)</f>
        <v>1</v>
      </c>
      <c r="N1757" s="5">
        <f>IF(Táblázat1[[#This Row],[Karb./akt.év]]-Táblázat1[[#This Row],[Kész2020_2]]&lt;0,0,Táblázat1[[#This Row],[Karb./akt.év]]-Táblázat1[[#This Row],[Kész2020_2]])</f>
        <v>1</v>
      </c>
    </row>
    <row r="1758" spans="1:14" hidden="1" x14ac:dyDescent="0.25">
      <c r="A1758" s="17" t="s">
        <v>7299</v>
      </c>
      <c r="B1758" s="17" t="s">
        <v>1254</v>
      </c>
      <c r="C1758" s="17" t="s">
        <v>1754</v>
      </c>
      <c r="D1758" s="17" t="s">
        <v>3066</v>
      </c>
      <c r="E1758" s="17" t="s">
        <v>4752</v>
      </c>
      <c r="F1758" s="17" t="s">
        <v>4753</v>
      </c>
      <c r="G1758" s="17" t="s">
        <v>6181</v>
      </c>
      <c r="H1758" t="s">
        <v>7476</v>
      </c>
      <c r="I1758" s="1">
        <v>2</v>
      </c>
      <c r="J1758" s="1">
        <v>2</v>
      </c>
      <c r="K1758" t="s">
        <v>8103</v>
      </c>
      <c r="L1758" s="5">
        <f>VLOOKUP(D:D,[1]Munka2!$A:$B,2,FALSE)</f>
        <v>1</v>
      </c>
      <c r="M1758" s="5">
        <f>_xlfn.IFNA(Táblázat1[[#This Row],[Kész2020]],0)</f>
        <v>1</v>
      </c>
      <c r="N1758" s="5">
        <f>IF(Táblázat1[[#This Row],[Karb./akt.év]]-Táblázat1[[#This Row],[Kész2020_2]]&lt;0,0,Táblázat1[[#This Row],[Karb./akt.év]]-Táblázat1[[#This Row],[Kész2020_2]])</f>
        <v>1</v>
      </c>
    </row>
    <row r="1759" spans="1:14" hidden="1" x14ac:dyDescent="0.25">
      <c r="A1759" s="17" t="s">
        <v>7299</v>
      </c>
      <c r="B1759" s="17" t="s">
        <v>714</v>
      </c>
      <c r="C1759" s="17" t="s">
        <v>1735</v>
      </c>
      <c r="D1759" s="17" t="s">
        <v>2491</v>
      </c>
      <c r="E1759" s="17" t="s">
        <v>4315</v>
      </c>
      <c r="F1759" s="17" t="s">
        <v>4316</v>
      </c>
      <c r="G1759" s="17" t="s">
        <v>5667</v>
      </c>
      <c r="H1759" t="s">
        <v>7476</v>
      </c>
      <c r="I1759" s="1">
        <v>2</v>
      </c>
      <c r="J1759" s="1">
        <v>2</v>
      </c>
      <c r="K1759" t="s">
        <v>6634</v>
      </c>
      <c r="L1759" s="5">
        <f>VLOOKUP(D:D,[1]Munka2!$A:$B,2,FALSE)</f>
        <v>1</v>
      </c>
      <c r="M1759" s="5">
        <f>_xlfn.IFNA(Táblázat1[[#This Row],[Kész2020]],0)</f>
        <v>1</v>
      </c>
      <c r="N1759" s="5">
        <f>IF(Táblázat1[[#This Row],[Karb./akt.év]]-Táblázat1[[#This Row],[Kész2020_2]]&lt;0,0,Táblázat1[[#This Row],[Karb./akt.év]]-Táblázat1[[#This Row],[Kész2020_2]])</f>
        <v>1</v>
      </c>
    </row>
    <row r="1760" spans="1:14" hidden="1" x14ac:dyDescent="0.25">
      <c r="A1760" s="17" t="s">
        <v>7299</v>
      </c>
      <c r="B1760" s="17" t="s">
        <v>472</v>
      </c>
      <c r="C1760" s="17" t="s">
        <v>1748</v>
      </c>
      <c r="D1760" s="17" t="s">
        <v>2230</v>
      </c>
      <c r="E1760" s="17" t="s">
        <v>3932</v>
      </c>
      <c r="F1760" s="17" t="s">
        <v>3933</v>
      </c>
      <c r="G1760" s="17" t="s">
        <v>5436</v>
      </c>
      <c r="H1760" t="s">
        <v>7476</v>
      </c>
      <c r="I1760" s="1">
        <v>2</v>
      </c>
      <c r="J1760" s="1">
        <v>2</v>
      </c>
      <c r="K1760" t="s">
        <v>6634</v>
      </c>
      <c r="L1760" s="5">
        <f>VLOOKUP(D:D,[1]Munka2!$A:$B,2,FALSE)</f>
        <v>1</v>
      </c>
      <c r="M1760" s="5">
        <f>_xlfn.IFNA(Táblázat1[[#This Row],[Kész2020]],0)</f>
        <v>1</v>
      </c>
      <c r="N1760" s="5">
        <f>IF(Táblázat1[[#This Row],[Karb./akt.év]]-Táblázat1[[#This Row],[Kész2020_2]]&lt;0,0,Táblázat1[[#This Row],[Karb./akt.év]]-Táblázat1[[#This Row],[Kész2020_2]])</f>
        <v>1</v>
      </c>
    </row>
    <row r="1761" spans="1:14" hidden="1" x14ac:dyDescent="0.25">
      <c r="A1761" s="17" t="s">
        <v>7299</v>
      </c>
      <c r="B1761" s="17" t="s">
        <v>878</v>
      </c>
      <c r="C1761" s="17" t="s">
        <v>1735</v>
      </c>
      <c r="D1761" s="17" t="s">
        <v>2660</v>
      </c>
      <c r="E1761" s="17" t="s">
        <v>4454</v>
      </c>
      <c r="F1761" s="17" t="s">
        <v>4455</v>
      </c>
      <c r="G1761" s="17" t="s">
        <v>5814</v>
      </c>
      <c r="H1761" t="s">
        <v>7476</v>
      </c>
      <c r="I1761" s="1">
        <v>2</v>
      </c>
      <c r="J1761" s="1">
        <v>2</v>
      </c>
      <c r="K1761" t="s">
        <v>6634</v>
      </c>
      <c r="L1761" s="5">
        <f>VLOOKUP(D:D,[1]Munka2!$A:$B,2,FALSE)</f>
        <v>1</v>
      </c>
      <c r="M1761" s="5">
        <f>_xlfn.IFNA(Táblázat1[[#This Row],[Kész2020]],0)</f>
        <v>1</v>
      </c>
      <c r="N1761" s="5">
        <f>IF(Táblázat1[[#This Row],[Karb./akt.év]]-Táblázat1[[#This Row],[Kész2020_2]]&lt;0,0,Táblázat1[[#This Row],[Karb./akt.év]]-Táblázat1[[#This Row],[Kész2020_2]])</f>
        <v>1</v>
      </c>
    </row>
    <row r="1762" spans="1:14" hidden="1" x14ac:dyDescent="0.25">
      <c r="A1762" s="17" t="s">
        <v>7299</v>
      </c>
      <c r="B1762" s="17" t="s">
        <v>892</v>
      </c>
      <c r="C1762" s="17" t="s">
        <v>1735</v>
      </c>
      <c r="D1762" s="17" t="s">
        <v>2677</v>
      </c>
      <c r="E1762" s="17" t="s">
        <v>4472</v>
      </c>
      <c r="F1762" s="17" t="s">
        <v>4473</v>
      </c>
      <c r="G1762" s="17" t="s">
        <v>5825</v>
      </c>
      <c r="H1762" t="s">
        <v>7476</v>
      </c>
      <c r="I1762" s="1">
        <v>2</v>
      </c>
      <c r="J1762" s="1">
        <v>2</v>
      </c>
      <c r="K1762" t="s">
        <v>6634</v>
      </c>
      <c r="L1762" s="5">
        <f>VLOOKUP(D:D,[1]Munka2!$A:$B,2,FALSE)</f>
        <v>1</v>
      </c>
      <c r="M1762" s="5">
        <f>_xlfn.IFNA(Táblázat1[[#This Row],[Kész2020]],0)</f>
        <v>1</v>
      </c>
      <c r="N1762" s="5">
        <f>IF(Táblázat1[[#This Row],[Karb./akt.év]]-Táblázat1[[#This Row],[Kész2020_2]]&lt;0,0,Táblázat1[[#This Row],[Karb./akt.év]]-Táblázat1[[#This Row],[Kész2020_2]])</f>
        <v>1</v>
      </c>
    </row>
    <row r="1763" spans="1:14" hidden="1" x14ac:dyDescent="0.25">
      <c r="A1763" s="17" t="s">
        <v>7299</v>
      </c>
      <c r="B1763" s="17" t="s">
        <v>139</v>
      </c>
      <c r="C1763" s="17" t="s">
        <v>1735</v>
      </c>
      <c r="D1763" s="17" t="s">
        <v>1879</v>
      </c>
      <c r="E1763" s="17" t="s">
        <v>3738</v>
      </c>
      <c r="F1763" s="17" t="s">
        <v>3739</v>
      </c>
      <c r="G1763" s="17" t="s">
        <v>5112</v>
      </c>
      <c r="H1763" t="s">
        <v>7476</v>
      </c>
      <c r="I1763" s="1">
        <v>2</v>
      </c>
      <c r="J1763" s="1">
        <v>2</v>
      </c>
      <c r="K1763" t="s">
        <v>6642</v>
      </c>
      <c r="L1763" s="5">
        <f>VLOOKUP(D:D,[1]Munka2!$A:$B,2,FALSE)</f>
        <v>1</v>
      </c>
      <c r="M1763" s="5">
        <f>_xlfn.IFNA(Táblázat1[[#This Row],[Kész2020]],0)</f>
        <v>1</v>
      </c>
      <c r="N1763" s="5">
        <f>IF(Táblázat1[[#This Row],[Karb./akt.év]]-Táblázat1[[#This Row],[Kész2020_2]]&lt;0,0,Táblázat1[[#This Row],[Karb./akt.év]]-Táblázat1[[#This Row],[Kész2020_2]])</f>
        <v>1</v>
      </c>
    </row>
    <row r="1764" spans="1:14" hidden="1" x14ac:dyDescent="0.25">
      <c r="A1764" s="17" t="s">
        <v>7299</v>
      </c>
      <c r="B1764" s="17" t="s">
        <v>531</v>
      </c>
      <c r="C1764" s="17" t="s">
        <v>1735</v>
      </c>
      <c r="D1764" s="17" t="s">
        <v>2297</v>
      </c>
      <c r="E1764" s="17" t="s">
        <v>4149</v>
      </c>
      <c r="F1764" s="17" t="s">
        <v>4150</v>
      </c>
      <c r="G1764" s="17" t="s">
        <v>5491</v>
      </c>
      <c r="H1764" t="s">
        <v>7476</v>
      </c>
      <c r="I1764" s="1">
        <v>2</v>
      </c>
      <c r="J1764" s="1">
        <v>2</v>
      </c>
      <c r="K1764" t="s">
        <v>6642</v>
      </c>
      <c r="L1764" s="5">
        <f>VLOOKUP(D:D,[1]Munka2!$A:$B,2,FALSE)</f>
        <v>1</v>
      </c>
      <c r="M1764" s="5">
        <f>_xlfn.IFNA(Táblázat1[[#This Row],[Kész2020]],0)</f>
        <v>1</v>
      </c>
      <c r="N1764" s="5">
        <f>IF(Táblázat1[[#This Row],[Karb./akt.év]]-Táblázat1[[#This Row],[Kész2020_2]]&lt;0,0,Táblázat1[[#This Row],[Karb./akt.év]]-Táblázat1[[#This Row],[Kész2020_2]])</f>
        <v>1</v>
      </c>
    </row>
    <row r="1765" spans="1:14" x14ac:dyDescent="0.25">
      <c r="A1765" s="17" t="s">
        <v>7299</v>
      </c>
      <c r="B1765" s="17" t="s">
        <v>1663</v>
      </c>
      <c r="C1765" s="17" t="s">
        <v>1735</v>
      </c>
      <c r="D1765" s="17" t="s">
        <v>3520</v>
      </c>
      <c r="E1765" s="17" t="s">
        <v>3625</v>
      </c>
      <c r="F1765" s="17" t="s">
        <v>3626</v>
      </c>
      <c r="G1765" s="17" t="s">
        <v>6561</v>
      </c>
      <c r="H1765" t="s">
        <v>7476</v>
      </c>
      <c r="I1765" s="1">
        <v>2</v>
      </c>
      <c r="J1765" s="1">
        <v>2</v>
      </c>
      <c r="K1765" t="s">
        <v>6642</v>
      </c>
      <c r="L1765" s="5" t="e">
        <f>VLOOKUP(D:D,[1]Munka2!$A:$B,2,FALSE)</f>
        <v>#N/A</v>
      </c>
      <c r="M1765" s="5">
        <f>_xlfn.IFNA(Táblázat1[[#This Row],[Kész2020]],0)</f>
        <v>0</v>
      </c>
      <c r="N1765" s="5">
        <f>IF(Táblázat1[[#This Row],[Karb./akt.év]]-Táblázat1[[#This Row],[Kész2020_2]]&lt;0,0,Táblázat1[[#This Row],[Karb./akt.év]]-Táblázat1[[#This Row],[Kész2020_2]])</f>
        <v>2</v>
      </c>
    </row>
    <row r="1766" spans="1:14" hidden="1" x14ac:dyDescent="0.25">
      <c r="A1766" s="17" t="s">
        <v>7299</v>
      </c>
      <c r="B1766" s="17" t="s">
        <v>497</v>
      </c>
      <c r="C1766" s="17" t="s">
        <v>1748</v>
      </c>
      <c r="D1766" s="17" t="s">
        <v>2256</v>
      </c>
      <c r="E1766" s="17" t="s">
        <v>4101</v>
      </c>
      <c r="F1766" s="17" t="s">
        <v>4102</v>
      </c>
      <c r="G1766" s="17" t="s">
        <v>5456</v>
      </c>
      <c r="H1766" t="s">
        <v>7476</v>
      </c>
      <c r="I1766" s="1">
        <v>2</v>
      </c>
      <c r="J1766" s="1">
        <v>2</v>
      </c>
      <c r="K1766" t="s">
        <v>6642</v>
      </c>
      <c r="L1766" s="5">
        <f>VLOOKUP(D:D,[1]Munka2!$A:$B,2,FALSE)</f>
        <v>1</v>
      </c>
      <c r="M1766" s="5">
        <f>_xlfn.IFNA(Táblázat1[[#This Row],[Kész2020]],0)</f>
        <v>1</v>
      </c>
      <c r="N1766" s="5">
        <f>IF(Táblázat1[[#This Row],[Karb./akt.év]]-Táblázat1[[#This Row],[Kész2020_2]]&lt;0,0,Táblázat1[[#This Row],[Karb./akt.év]]-Táblázat1[[#This Row],[Kész2020_2]])</f>
        <v>1</v>
      </c>
    </row>
    <row r="1767" spans="1:14" hidden="1" x14ac:dyDescent="0.25">
      <c r="A1767" s="17" t="s">
        <v>7299</v>
      </c>
      <c r="B1767" s="17" t="s">
        <v>289</v>
      </c>
      <c r="C1767" s="17" t="s">
        <v>1735</v>
      </c>
      <c r="D1767" s="17" t="s">
        <v>2038</v>
      </c>
      <c r="E1767" s="17" t="s">
        <v>3910</v>
      </c>
      <c r="F1767" s="17" t="s">
        <v>3598</v>
      </c>
      <c r="G1767" s="17" t="s">
        <v>5257</v>
      </c>
      <c r="H1767" t="s">
        <v>7476</v>
      </c>
      <c r="I1767" s="1">
        <v>2</v>
      </c>
      <c r="J1767" s="1">
        <v>2</v>
      </c>
      <c r="K1767" t="s">
        <v>6785</v>
      </c>
      <c r="L1767" s="5">
        <f>VLOOKUP(D:D,[1]Munka2!$A:$B,2,FALSE)</f>
        <v>1</v>
      </c>
      <c r="M1767" s="5">
        <f>_xlfn.IFNA(Táblázat1[[#This Row],[Kész2020]],0)</f>
        <v>1</v>
      </c>
      <c r="N1767" s="5">
        <f>IF(Táblázat1[[#This Row],[Karb./akt.év]]-Táblázat1[[#This Row],[Kész2020_2]]&lt;0,0,Táblázat1[[#This Row],[Karb./akt.év]]-Táblázat1[[#This Row],[Kész2020_2]])</f>
        <v>1</v>
      </c>
    </row>
    <row r="1768" spans="1:14" hidden="1" x14ac:dyDescent="0.25">
      <c r="A1768" s="17" t="s">
        <v>7299</v>
      </c>
      <c r="B1768" s="17" t="s">
        <v>763</v>
      </c>
      <c r="C1768" s="17" t="s">
        <v>1735</v>
      </c>
      <c r="D1768" s="17" t="s">
        <v>2538</v>
      </c>
      <c r="E1768" s="17" t="s">
        <v>3890</v>
      </c>
      <c r="F1768" s="17" t="s">
        <v>3891</v>
      </c>
      <c r="G1768" s="17" t="s">
        <v>5708</v>
      </c>
      <c r="H1768" t="s">
        <v>7476</v>
      </c>
      <c r="I1768" s="1">
        <v>2</v>
      </c>
      <c r="J1768" s="1">
        <v>2</v>
      </c>
      <c r="K1768" t="s">
        <v>8103</v>
      </c>
      <c r="L1768" s="5">
        <f>VLOOKUP(D:D,[1]Munka2!$A:$B,2,FALSE)</f>
        <v>1</v>
      </c>
      <c r="M1768" s="5">
        <f>_xlfn.IFNA(Táblázat1[[#This Row],[Kész2020]],0)</f>
        <v>1</v>
      </c>
      <c r="N1768" s="5">
        <f>IF(Táblázat1[[#This Row],[Karb./akt.év]]-Táblázat1[[#This Row],[Kész2020_2]]&lt;0,0,Táblázat1[[#This Row],[Karb./akt.év]]-Táblázat1[[#This Row],[Kész2020_2]])</f>
        <v>1</v>
      </c>
    </row>
    <row r="1769" spans="1:14" x14ac:dyDescent="0.25">
      <c r="A1769" s="17" t="s">
        <v>7299</v>
      </c>
      <c r="B1769" s="17" t="s">
        <v>1098</v>
      </c>
      <c r="C1769" s="17" t="s">
        <v>1748</v>
      </c>
      <c r="D1769" s="17" t="s">
        <v>2890</v>
      </c>
      <c r="E1769" s="17" t="s">
        <v>4618</v>
      </c>
      <c r="F1769" s="17" t="s">
        <v>3598</v>
      </c>
      <c r="G1769" s="17" t="s">
        <v>6026</v>
      </c>
      <c r="H1769" t="s">
        <v>7476</v>
      </c>
      <c r="I1769" s="1">
        <v>2</v>
      </c>
      <c r="J1769" s="1">
        <v>2</v>
      </c>
      <c r="K1769" t="s">
        <v>6785</v>
      </c>
      <c r="L1769" s="5" t="e">
        <f>VLOOKUP(D:D,[1]Munka2!$A:$B,2,FALSE)</f>
        <v>#N/A</v>
      </c>
      <c r="M1769" s="5">
        <f>_xlfn.IFNA(Táblázat1[[#This Row],[Kész2020]],0)</f>
        <v>0</v>
      </c>
      <c r="N1769" s="5">
        <f>IF(Táblázat1[[#This Row],[Karb./akt.év]]-Táblázat1[[#This Row],[Kész2020_2]]&lt;0,0,Táblázat1[[#This Row],[Karb./akt.év]]-Táblázat1[[#This Row],[Kész2020_2]])</f>
        <v>2</v>
      </c>
    </row>
    <row r="1770" spans="1:14" hidden="1" x14ac:dyDescent="0.25">
      <c r="A1770" s="17" t="s">
        <v>7299</v>
      </c>
      <c r="B1770" s="17" t="s">
        <v>302</v>
      </c>
      <c r="C1770" s="17" t="s">
        <v>1735</v>
      </c>
      <c r="D1770" s="17" t="s">
        <v>2051</v>
      </c>
      <c r="E1770" s="17" t="s">
        <v>3726</v>
      </c>
      <c r="F1770" s="17" t="s">
        <v>3727</v>
      </c>
      <c r="G1770" s="17" t="s">
        <v>5269</v>
      </c>
      <c r="H1770" t="s">
        <v>7476</v>
      </c>
      <c r="I1770" s="1">
        <v>2</v>
      </c>
      <c r="J1770" s="1">
        <v>2</v>
      </c>
      <c r="K1770" t="s">
        <v>6642</v>
      </c>
      <c r="L1770" s="5">
        <f>VLOOKUP(D:D,[1]Munka2!$A:$B,2,FALSE)</f>
        <v>1</v>
      </c>
      <c r="M1770" s="5">
        <f>_xlfn.IFNA(Táblázat1[[#This Row],[Kész2020]],0)</f>
        <v>1</v>
      </c>
      <c r="N1770" s="5">
        <f>IF(Táblázat1[[#This Row],[Karb./akt.év]]-Táblázat1[[#This Row],[Kész2020_2]]&lt;0,0,Táblázat1[[#This Row],[Karb./akt.év]]-Táblázat1[[#This Row],[Kész2020_2]])</f>
        <v>1</v>
      </c>
    </row>
    <row r="1771" spans="1:14" x14ac:dyDescent="0.25">
      <c r="A1771" s="17" t="s">
        <v>7299</v>
      </c>
      <c r="B1771" s="17" t="s">
        <v>822</v>
      </c>
      <c r="C1771" s="17" t="s">
        <v>1748</v>
      </c>
      <c r="D1771" s="17" t="s">
        <v>2599</v>
      </c>
      <c r="E1771" s="17" t="s">
        <v>3691</v>
      </c>
      <c r="F1771" s="17" t="s">
        <v>3692</v>
      </c>
      <c r="G1771" s="17" t="s">
        <v>5760</v>
      </c>
      <c r="H1771" t="s">
        <v>7476</v>
      </c>
      <c r="I1771" s="1">
        <v>2</v>
      </c>
      <c r="J1771" s="1">
        <v>2</v>
      </c>
      <c r="K1771" t="s">
        <v>6642</v>
      </c>
      <c r="L1771" s="5" t="e">
        <f>VLOOKUP(D:D,[1]Munka2!$A:$B,2,FALSE)</f>
        <v>#N/A</v>
      </c>
      <c r="M1771" s="5">
        <f>_xlfn.IFNA(Táblázat1[[#This Row],[Kész2020]],0)</f>
        <v>0</v>
      </c>
      <c r="N1771" s="5">
        <f>IF(Táblázat1[[#This Row],[Karb./akt.év]]-Táblázat1[[#This Row],[Kész2020_2]]&lt;0,0,Táblázat1[[#This Row],[Karb./akt.év]]-Táblázat1[[#This Row],[Kész2020_2]])</f>
        <v>2</v>
      </c>
    </row>
    <row r="1772" spans="1:14" hidden="1" x14ac:dyDescent="0.25">
      <c r="A1772" s="17" t="s">
        <v>7299</v>
      </c>
      <c r="B1772" s="17" t="s">
        <v>1116</v>
      </c>
      <c r="C1772" s="17" t="s">
        <v>1743</v>
      </c>
      <c r="D1772" s="17" t="s">
        <v>2910</v>
      </c>
      <c r="E1772" s="17" t="s">
        <v>3675</v>
      </c>
      <c r="F1772" s="17" t="s">
        <v>3598</v>
      </c>
      <c r="G1772" s="17" t="s">
        <v>6045</v>
      </c>
      <c r="H1772" t="s">
        <v>7476</v>
      </c>
      <c r="I1772" s="1">
        <v>2</v>
      </c>
      <c r="J1772" s="1">
        <v>2</v>
      </c>
      <c r="K1772" t="s">
        <v>7017</v>
      </c>
      <c r="L1772" s="5">
        <f>VLOOKUP(D:D,[1]Munka2!$A:$B,2,FALSE)</f>
        <v>1</v>
      </c>
      <c r="M1772" s="5">
        <f>_xlfn.IFNA(Táblázat1[[#This Row],[Kész2020]],0)</f>
        <v>1</v>
      </c>
      <c r="N1772" s="5">
        <f>IF(Táblázat1[[#This Row],[Karb./akt.év]]-Táblázat1[[#This Row],[Kész2020_2]]&lt;0,0,Táblázat1[[#This Row],[Karb./akt.év]]-Táblázat1[[#This Row],[Kész2020_2]])</f>
        <v>1</v>
      </c>
    </row>
    <row r="1773" spans="1:14" hidden="1" x14ac:dyDescent="0.25">
      <c r="A1773" s="17" t="s">
        <v>7299</v>
      </c>
      <c r="B1773" s="17" t="s">
        <v>1235</v>
      </c>
      <c r="C1773" s="17" t="s">
        <v>1748</v>
      </c>
      <c r="D1773" s="17" t="s">
        <v>3044</v>
      </c>
      <c r="E1773" s="17" t="s">
        <v>4730</v>
      </c>
      <c r="F1773" s="17" t="s">
        <v>4731</v>
      </c>
      <c r="G1773" s="17" t="s">
        <v>6163</v>
      </c>
      <c r="H1773" t="s">
        <v>7476</v>
      </c>
      <c r="I1773" s="1">
        <v>2</v>
      </c>
      <c r="J1773" s="1">
        <v>2</v>
      </c>
      <c r="K1773" t="s">
        <v>6642</v>
      </c>
      <c r="L1773" s="5">
        <f>VLOOKUP(D:D,[1]Munka2!$A:$B,2,FALSE)</f>
        <v>1</v>
      </c>
      <c r="M1773" s="5">
        <f>_xlfn.IFNA(Táblázat1[[#This Row],[Kész2020]],0)</f>
        <v>1</v>
      </c>
      <c r="N1773" s="5">
        <f>IF(Táblázat1[[#This Row],[Karb./akt.év]]-Táblázat1[[#This Row],[Kész2020_2]]&lt;0,0,Táblázat1[[#This Row],[Karb./akt.év]]-Táblázat1[[#This Row],[Kész2020_2]])</f>
        <v>1</v>
      </c>
    </row>
    <row r="1774" spans="1:14" hidden="1" x14ac:dyDescent="0.25">
      <c r="A1774" s="17" t="s">
        <v>7299</v>
      </c>
      <c r="B1774" s="17" t="s">
        <v>1343</v>
      </c>
      <c r="C1774" s="17" t="s">
        <v>1743</v>
      </c>
      <c r="D1774" s="17" t="s">
        <v>3162</v>
      </c>
      <c r="E1774" s="17" t="s">
        <v>4833</v>
      </c>
      <c r="F1774" s="17" t="s">
        <v>4834</v>
      </c>
      <c r="G1774" s="17" t="s">
        <v>6258</v>
      </c>
      <c r="H1774" t="s">
        <v>7476</v>
      </c>
      <c r="I1774" s="1">
        <v>2</v>
      </c>
      <c r="J1774" s="1">
        <v>2</v>
      </c>
      <c r="K1774" t="s">
        <v>6642</v>
      </c>
      <c r="L1774" s="5">
        <f>VLOOKUP(D:D,[1]Munka2!$A:$B,2,FALSE)</f>
        <v>1</v>
      </c>
      <c r="M1774" s="5">
        <f>_xlfn.IFNA(Táblázat1[[#This Row],[Kész2020]],0)</f>
        <v>1</v>
      </c>
      <c r="N1774" s="5">
        <f>IF(Táblázat1[[#This Row],[Karb./akt.év]]-Táblázat1[[#This Row],[Kész2020_2]]&lt;0,0,Táblázat1[[#This Row],[Karb./akt.év]]-Táblázat1[[#This Row],[Kész2020_2]])</f>
        <v>1</v>
      </c>
    </row>
    <row r="1775" spans="1:14" x14ac:dyDescent="0.25">
      <c r="A1775" s="17" t="s">
        <v>7299</v>
      </c>
      <c r="B1775" s="17" t="s">
        <v>7292</v>
      </c>
      <c r="C1775" s="17" t="s">
        <v>7300</v>
      </c>
      <c r="D1775" s="17" t="s">
        <v>7322</v>
      </c>
      <c r="E1775" s="17" t="s">
        <v>4085</v>
      </c>
      <c r="F1775" s="17" t="s">
        <v>4086</v>
      </c>
      <c r="G1775" s="17" t="s">
        <v>5467</v>
      </c>
      <c r="H1775" t="s">
        <v>7476</v>
      </c>
      <c r="I1775" s="1">
        <v>2</v>
      </c>
      <c r="J1775" s="1">
        <v>2</v>
      </c>
      <c r="K1775" t="s">
        <v>6643</v>
      </c>
      <c r="L1775" s="5" t="e">
        <f>VLOOKUP(D:D,[1]Munka2!$A:$B,2,FALSE)</f>
        <v>#N/A</v>
      </c>
      <c r="M1775" s="5">
        <f>_xlfn.IFNA(Táblázat1[[#This Row],[Kész2020]],0)</f>
        <v>0</v>
      </c>
      <c r="N1775" s="5">
        <f>IF(Táblázat1[[#This Row],[Karb./akt.év]]-Táblázat1[[#This Row],[Kész2020_2]]&lt;0,0,Táblázat1[[#This Row],[Karb./akt.év]]-Táblázat1[[#This Row],[Kész2020_2]])</f>
        <v>2</v>
      </c>
    </row>
    <row r="1776" spans="1:14" hidden="1" x14ac:dyDescent="0.25">
      <c r="A1776" s="17" t="s">
        <v>7299</v>
      </c>
      <c r="B1776" s="17" t="s">
        <v>7018</v>
      </c>
      <c r="C1776" s="17" t="s">
        <v>1735</v>
      </c>
      <c r="D1776" s="17" t="s">
        <v>7057</v>
      </c>
      <c r="E1776" s="17" t="s">
        <v>7094</v>
      </c>
      <c r="F1776" s="17" t="s">
        <v>3598</v>
      </c>
      <c r="G1776" s="17" t="s">
        <v>7098</v>
      </c>
      <c r="H1776" t="s">
        <v>7476</v>
      </c>
      <c r="I1776" s="1">
        <v>2</v>
      </c>
      <c r="J1776" s="1">
        <v>2</v>
      </c>
      <c r="K1776" t="s">
        <v>6641</v>
      </c>
      <c r="L1776" s="5">
        <f>VLOOKUP(D:D,[1]Munka2!$A:$B,2,FALSE)</f>
        <v>1</v>
      </c>
      <c r="M1776" s="5">
        <f>_xlfn.IFNA(Táblázat1[[#This Row],[Kész2020]],0)</f>
        <v>1</v>
      </c>
      <c r="N1776" s="5">
        <f>IF(Táblázat1[[#This Row],[Karb./akt.év]]-Táblázat1[[#This Row],[Kész2020_2]]&lt;0,0,Táblázat1[[#This Row],[Karb./akt.év]]-Táblázat1[[#This Row],[Kész2020_2]])</f>
        <v>1</v>
      </c>
    </row>
    <row r="1777" spans="1:14" hidden="1" x14ac:dyDescent="0.25">
      <c r="A1777" s="17" t="s">
        <v>7299</v>
      </c>
      <c r="B1777" s="17" t="s">
        <v>7293</v>
      </c>
      <c r="C1777" s="17" t="s">
        <v>1735</v>
      </c>
      <c r="D1777" s="17" t="s">
        <v>7323</v>
      </c>
      <c r="E1777" s="17" t="s">
        <v>3625</v>
      </c>
      <c r="F1777" s="17" t="s">
        <v>3626</v>
      </c>
      <c r="G1777" s="17" t="s">
        <v>7351</v>
      </c>
      <c r="H1777" t="s">
        <v>7476</v>
      </c>
      <c r="I1777" s="1">
        <v>2</v>
      </c>
      <c r="J1777" s="1">
        <v>2</v>
      </c>
      <c r="K1777" t="s">
        <v>6642</v>
      </c>
      <c r="L1777" s="5">
        <f>VLOOKUP(D:D,[1]Munka2!$A:$B,2,FALSE)</f>
        <v>1</v>
      </c>
      <c r="M1777" s="5">
        <f>_xlfn.IFNA(Táblázat1[[#This Row],[Kész2020]],0)</f>
        <v>1</v>
      </c>
      <c r="N1777" s="5">
        <f>IF(Táblázat1[[#This Row],[Karb./akt.év]]-Táblázat1[[#This Row],[Kész2020_2]]&lt;0,0,Táblázat1[[#This Row],[Karb./akt.év]]-Táblázat1[[#This Row],[Kész2020_2]])</f>
        <v>1</v>
      </c>
    </row>
    <row r="1778" spans="1:14" hidden="1" x14ac:dyDescent="0.25">
      <c r="A1778" s="17" t="s">
        <v>7299</v>
      </c>
      <c r="B1778" s="17" t="s">
        <v>1676</v>
      </c>
      <c r="C1778" s="17" t="s">
        <v>1735</v>
      </c>
      <c r="D1778" s="17" t="s">
        <v>3533</v>
      </c>
      <c r="E1778" s="17" t="s">
        <v>3890</v>
      </c>
      <c r="F1778" s="17" t="s">
        <v>3891</v>
      </c>
      <c r="G1778" s="17" t="s">
        <v>6572</v>
      </c>
      <c r="H1778" t="s">
        <v>7476</v>
      </c>
      <c r="I1778" s="1">
        <v>2</v>
      </c>
      <c r="J1778" s="1">
        <v>2</v>
      </c>
      <c r="K1778" t="s">
        <v>8103</v>
      </c>
      <c r="L1778" s="5">
        <f>VLOOKUP(D:D,[1]Munka2!$A:$B,2,FALSE)</f>
        <v>1</v>
      </c>
      <c r="M1778" s="5">
        <f>_xlfn.IFNA(Táblázat1[[#This Row],[Kész2020]],0)</f>
        <v>1</v>
      </c>
      <c r="N1778" s="5">
        <f>IF(Táblázat1[[#This Row],[Karb./akt.év]]-Táblázat1[[#This Row],[Kész2020_2]]&lt;0,0,Táblázat1[[#This Row],[Karb./akt.év]]-Táblázat1[[#This Row],[Kész2020_2]])</f>
        <v>1</v>
      </c>
    </row>
    <row r="1779" spans="1:14" hidden="1" x14ac:dyDescent="0.25">
      <c r="A1779" s="17" t="s">
        <v>7299</v>
      </c>
      <c r="B1779" s="17" t="s">
        <v>1042</v>
      </c>
      <c r="C1779" s="17" t="s">
        <v>1735</v>
      </c>
      <c r="D1779" s="17" t="s">
        <v>2830</v>
      </c>
      <c r="E1779" s="17" t="s">
        <v>3619</v>
      </c>
      <c r="F1779" s="17" t="s">
        <v>3620</v>
      </c>
      <c r="G1779" s="17" t="s">
        <v>5970</v>
      </c>
      <c r="H1779" t="s">
        <v>7476</v>
      </c>
      <c r="I1779" s="1">
        <v>2</v>
      </c>
      <c r="J1779" s="1">
        <v>2</v>
      </c>
      <c r="K1779" t="s">
        <v>6642</v>
      </c>
      <c r="L1779" s="5">
        <f>VLOOKUP(D:D,[1]Munka2!$A:$B,2,FALSE)</f>
        <v>1</v>
      </c>
      <c r="M1779" s="5">
        <f>_xlfn.IFNA(Táblázat1[[#This Row],[Kész2020]],0)</f>
        <v>1</v>
      </c>
      <c r="N1779" s="5">
        <f>IF(Táblázat1[[#This Row],[Karb./akt.év]]-Táblázat1[[#This Row],[Kész2020_2]]&lt;0,0,Táblázat1[[#This Row],[Karb./akt.év]]-Táblázat1[[#This Row],[Kész2020_2]])</f>
        <v>1</v>
      </c>
    </row>
    <row r="1780" spans="1:14" hidden="1" x14ac:dyDescent="0.25">
      <c r="A1780" s="17" t="s">
        <v>7299</v>
      </c>
      <c r="B1780" s="17" t="s">
        <v>1199</v>
      </c>
      <c r="C1780" s="17" t="s">
        <v>1735</v>
      </c>
      <c r="D1780" s="17" t="s">
        <v>3005</v>
      </c>
      <c r="E1780" s="17" t="s">
        <v>4715</v>
      </c>
      <c r="F1780" s="17" t="s">
        <v>4716</v>
      </c>
      <c r="G1780" s="17" t="s">
        <v>6128</v>
      </c>
      <c r="H1780" t="s">
        <v>7476</v>
      </c>
      <c r="I1780" s="1">
        <v>2</v>
      </c>
      <c r="J1780" s="1">
        <v>2</v>
      </c>
      <c r="K1780" t="s">
        <v>6642</v>
      </c>
      <c r="L1780" s="5">
        <f>VLOOKUP(D:D,[1]Munka2!$A:$B,2,FALSE)</f>
        <v>1</v>
      </c>
      <c r="M1780" s="5">
        <f>_xlfn.IFNA(Táblázat1[[#This Row],[Kész2020]],0)</f>
        <v>1</v>
      </c>
      <c r="N1780" s="5">
        <f>IF(Táblázat1[[#This Row],[Karb./akt.év]]-Táblázat1[[#This Row],[Kész2020_2]]&lt;0,0,Táblázat1[[#This Row],[Karb./akt.év]]-Táblázat1[[#This Row],[Kész2020_2]])</f>
        <v>1</v>
      </c>
    </row>
    <row r="1781" spans="1:14" x14ac:dyDescent="0.25">
      <c r="A1781" s="17" t="s">
        <v>7299</v>
      </c>
      <c r="B1781" s="17" t="s">
        <v>222</v>
      </c>
      <c r="C1781" s="17" t="s">
        <v>1735</v>
      </c>
      <c r="D1781" s="17" t="s">
        <v>1965</v>
      </c>
      <c r="E1781" s="17" t="s">
        <v>3832</v>
      </c>
      <c r="F1781" s="17" t="s">
        <v>3833</v>
      </c>
      <c r="G1781" s="17" t="s">
        <v>5190</v>
      </c>
      <c r="H1781" t="s">
        <v>7476</v>
      </c>
      <c r="I1781" s="1">
        <v>2</v>
      </c>
      <c r="J1781" s="1">
        <v>2</v>
      </c>
      <c r="K1781" t="s">
        <v>6642</v>
      </c>
      <c r="L1781" s="5" t="e">
        <f>VLOOKUP(D:D,[1]Munka2!$A:$B,2,FALSE)</f>
        <v>#N/A</v>
      </c>
      <c r="M1781" s="5">
        <f>_xlfn.IFNA(Táblázat1[[#This Row],[Kész2020]],0)</f>
        <v>0</v>
      </c>
      <c r="N1781" s="5">
        <f>IF(Táblázat1[[#This Row],[Karb./akt.év]]-Táblázat1[[#This Row],[Kész2020_2]]&lt;0,0,Táblázat1[[#This Row],[Karb./akt.év]]-Táblázat1[[#This Row],[Kész2020_2]])</f>
        <v>2</v>
      </c>
    </row>
    <row r="1782" spans="1:14" hidden="1" x14ac:dyDescent="0.25">
      <c r="A1782" s="17" t="s">
        <v>7299</v>
      </c>
      <c r="B1782" s="17" t="s">
        <v>1672</v>
      </c>
      <c r="C1782" s="17" t="s">
        <v>1735</v>
      </c>
      <c r="D1782" s="17" t="s">
        <v>3529</v>
      </c>
      <c r="E1782" s="17" t="s">
        <v>3890</v>
      </c>
      <c r="F1782" s="17" t="s">
        <v>3891</v>
      </c>
      <c r="G1782" s="17" t="s">
        <v>6568</v>
      </c>
      <c r="H1782" t="s">
        <v>7476</v>
      </c>
      <c r="I1782" s="1">
        <v>2</v>
      </c>
      <c r="J1782" s="1">
        <v>2</v>
      </c>
      <c r="K1782" t="s">
        <v>8103</v>
      </c>
      <c r="L1782" s="5">
        <f>VLOOKUP(D:D,[1]Munka2!$A:$B,2,FALSE)</f>
        <v>1</v>
      </c>
      <c r="M1782" s="5">
        <f>_xlfn.IFNA(Táblázat1[[#This Row],[Kész2020]],0)</f>
        <v>1</v>
      </c>
      <c r="N1782" s="5">
        <f>IF(Táblázat1[[#This Row],[Karb./akt.év]]-Táblázat1[[#This Row],[Kész2020_2]]&lt;0,0,Táblázat1[[#This Row],[Karb./akt.év]]-Táblázat1[[#This Row],[Kész2020_2]])</f>
        <v>1</v>
      </c>
    </row>
    <row r="1783" spans="1:14" hidden="1" x14ac:dyDescent="0.25">
      <c r="A1783" s="17" t="s">
        <v>7299</v>
      </c>
      <c r="B1783" s="17" t="s">
        <v>624</v>
      </c>
      <c r="C1783" s="17" t="s">
        <v>1735</v>
      </c>
      <c r="D1783" s="17" t="s">
        <v>2398</v>
      </c>
      <c r="E1783" s="17" t="s">
        <v>4240</v>
      </c>
      <c r="F1783" s="17" t="s">
        <v>4241</v>
      </c>
      <c r="G1783" s="17" t="s">
        <v>5584</v>
      </c>
      <c r="H1783" t="s">
        <v>7476</v>
      </c>
      <c r="I1783" s="1">
        <v>2</v>
      </c>
      <c r="J1783" s="1">
        <v>2</v>
      </c>
      <c r="K1783" t="s">
        <v>6642</v>
      </c>
      <c r="L1783" s="5">
        <f>VLOOKUP(D:D,[1]Munka2!$A:$B,2,FALSE)</f>
        <v>1</v>
      </c>
      <c r="M1783" s="5">
        <f>_xlfn.IFNA(Táblázat1[[#This Row],[Kész2020]],0)</f>
        <v>1</v>
      </c>
      <c r="N1783" s="5">
        <f>IF(Táblázat1[[#This Row],[Karb./akt.év]]-Táblázat1[[#This Row],[Kész2020_2]]&lt;0,0,Táblázat1[[#This Row],[Karb./akt.év]]-Táblázat1[[#This Row],[Kész2020_2]])</f>
        <v>1</v>
      </c>
    </row>
    <row r="1784" spans="1:14" hidden="1" x14ac:dyDescent="0.25">
      <c r="A1784" s="17" t="s">
        <v>7299</v>
      </c>
      <c r="B1784" s="17" t="s">
        <v>381</v>
      </c>
      <c r="C1784" s="17" t="s">
        <v>1735</v>
      </c>
      <c r="D1784" s="17" t="s">
        <v>2137</v>
      </c>
      <c r="E1784" s="17" t="s">
        <v>3619</v>
      </c>
      <c r="F1784" s="17" t="s">
        <v>3620</v>
      </c>
      <c r="G1784" s="17" t="s">
        <v>5349</v>
      </c>
      <c r="H1784" t="s">
        <v>7476</v>
      </c>
      <c r="I1784" s="1">
        <v>2</v>
      </c>
      <c r="J1784" s="1">
        <v>2</v>
      </c>
      <c r="K1784" t="s">
        <v>6642</v>
      </c>
      <c r="L1784" s="5">
        <f>VLOOKUP(D:D,[1]Munka2!$A:$B,2,FALSE)</f>
        <v>1</v>
      </c>
      <c r="M1784" s="5">
        <f>_xlfn.IFNA(Táblázat1[[#This Row],[Kész2020]],0)</f>
        <v>1</v>
      </c>
      <c r="N1784" s="5">
        <f>IF(Táblázat1[[#This Row],[Karb./akt.év]]-Táblázat1[[#This Row],[Kész2020_2]]&lt;0,0,Táblázat1[[#This Row],[Karb./akt.év]]-Táblázat1[[#This Row],[Kész2020_2]])</f>
        <v>1</v>
      </c>
    </row>
    <row r="1785" spans="1:14" x14ac:dyDescent="0.25">
      <c r="A1785" s="17" t="s">
        <v>7299</v>
      </c>
      <c r="B1785" s="17" t="s">
        <v>1289</v>
      </c>
      <c r="C1785" s="17" t="s">
        <v>1735</v>
      </c>
      <c r="D1785" s="17" t="s">
        <v>3102</v>
      </c>
      <c r="E1785" s="17" t="s">
        <v>4787</v>
      </c>
      <c r="F1785" s="17" t="s">
        <v>4788</v>
      </c>
      <c r="G1785" s="17" t="s">
        <v>6211</v>
      </c>
      <c r="H1785" t="s">
        <v>7476</v>
      </c>
      <c r="I1785" s="1">
        <v>2</v>
      </c>
      <c r="J1785" s="1">
        <v>2</v>
      </c>
      <c r="K1785" t="s">
        <v>8103</v>
      </c>
      <c r="L1785" s="5" t="e">
        <f>VLOOKUP(D:D,[1]Munka2!$A:$B,2,FALSE)</f>
        <v>#N/A</v>
      </c>
      <c r="M1785" s="5">
        <f>_xlfn.IFNA(Táblázat1[[#This Row],[Kész2020]],0)</f>
        <v>0</v>
      </c>
      <c r="N1785" s="5">
        <f>IF(Táblázat1[[#This Row],[Karb./akt.év]]-Táblázat1[[#This Row],[Kész2020_2]]&lt;0,0,Táblázat1[[#This Row],[Karb./akt.év]]-Táblázat1[[#This Row],[Kész2020_2]])</f>
        <v>2</v>
      </c>
    </row>
    <row r="1786" spans="1:14" hidden="1" x14ac:dyDescent="0.25">
      <c r="A1786" s="17" t="s">
        <v>7299</v>
      </c>
      <c r="B1786" s="17" t="s">
        <v>1482</v>
      </c>
      <c r="C1786" s="17" t="s">
        <v>1735</v>
      </c>
      <c r="D1786" s="17" t="s">
        <v>3319</v>
      </c>
      <c r="E1786" s="17" t="s">
        <v>4904</v>
      </c>
      <c r="F1786" s="17" t="s">
        <v>4905</v>
      </c>
      <c r="G1786" s="17" t="s">
        <v>6392</v>
      </c>
      <c r="H1786" t="s">
        <v>7476</v>
      </c>
      <c r="I1786" s="1">
        <v>2</v>
      </c>
      <c r="J1786" s="1">
        <v>2</v>
      </c>
      <c r="K1786" t="s">
        <v>6634</v>
      </c>
      <c r="L1786" s="5">
        <f>VLOOKUP(D:D,[1]Munka2!$A:$B,2,FALSE)</f>
        <v>1</v>
      </c>
      <c r="M1786" s="5">
        <f>_xlfn.IFNA(Táblázat1[[#This Row],[Kész2020]],0)</f>
        <v>1</v>
      </c>
      <c r="N1786" s="5">
        <f>IF(Táblázat1[[#This Row],[Karb./akt.év]]-Táblázat1[[#This Row],[Kész2020_2]]&lt;0,0,Táblázat1[[#This Row],[Karb./akt.év]]-Táblázat1[[#This Row],[Kész2020_2]])</f>
        <v>1</v>
      </c>
    </row>
    <row r="1787" spans="1:14" hidden="1" x14ac:dyDescent="0.25">
      <c r="A1787" s="17" t="s">
        <v>7299</v>
      </c>
      <c r="B1787" s="17" t="s">
        <v>583</v>
      </c>
      <c r="C1787" s="17" t="s">
        <v>1748</v>
      </c>
      <c r="D1787" s="17" t="s">
        <v>2356</v>
      </c>
      <c r="E1787" s="17" t="s">
        <v>4207</v>
      </c>
      <c r="F1787" s="17" t="s">
        <v>4208</v>
      </c>
      <c r="G1787" s="17" t="s">
        <v>5547</v>
      </c>
      <c r="H1787" t="s">
        <v>7476</v>
      </c>
      <c r="I1787" s="1">
        <v>2</v>
      </c>
      <c r="J1787" s="1">
        <v>2</v>
      </c>
      <c r="K1787" t="s">
        <v>6634</v>
      </c>
      <c r="L1787" s="5">
        <f>VLOOKUP(D:D,[1]Munka2!$A:$B,2,FALSE)</f>
        <v>1</v>
      </c>
      <c r="M1787" s="5">
        <f>_xlfn.IFNA(Táblázat1[[#This Row],[Kész2020]],0)</f>
        <v>1</v>
      </c>
      <c r="N1787" s="5">
        <f>IF(Táblázat1[[#This Row],[Karb./akt.év]]-Táblázat1[[#This Row],[Kész2020_2]]&lt;0,0,Táblázat1[[#This Row],[Karb./akt.év]]-Táblázat1[[#This Row],[Kész2020_2]])</f>
        <v>1</v>
      </c>
    </row>
    <row r="1788" spans="1:14" hidden="1" x14ac:dyDescent="0.25">
      <c r="A1788" s="17" t="s">
        <v>7299</v>
      </c>
      <c r="B1788" s="17" t="s">
        <v>688</v>
      </c>
      <c r="C1788" s="17" t="s">
        <v>1735</v>
      </c>
      <c r="D1788" s="17" t="s">
        <v>2463</v>
      </c>
      <c r="E1788" s="17" t="s">
        <v>4295</v>
      </c>
      <c r="F1788" s="17" t="s">
        <v>4296</v>
      </c>
      <c r="G1788" s="17" t="s">
        <v>5642</v>
      </c>
      <c r="H1788" t="s">
        <v>7476</v>
      </c>
      <c r="I1788" s="1">
        <v>2</v>
      </c>
      <c r="J1788" s="1">
        <v>2</v>
      </c>
      <c r="K1788" t="s">
        <v>6634</v>
      </c>
      <c r="L1788" s="5">
        <f>VLOOKUP(D:D,[1]Munka2!$A:$B,2,FALSE)</f>
        <v>1</v>
      </c>
      <c r="M1788" s="5">
        <f>_xlfn.IFNA(Táblázat1[[#This Row],[Kész2020]],0)</f>
        <v>1</v>
      </c>
      <c r="N1788" s="5">
        <f>IF(Táblázat1[[#This Row],[Karb./akt.év]]-Táblázat1[[#This Row],[Kész2020_2]]&lt;0,0,Táblázat1[[#This Row],[Karb./akt.év]]-Táblázat1[[#This Row],[Kész2020_2]])</f>
        <v>1</v>
      </c>
    </row>
    <row r="1789" spans="1:14" x14ac:dyDescent="0.25">
      <c r="A1789" s="17" t="s">
        <v>7299</v>
      </c>
      <c r="B1789" s="17" t="s">
        <v>7776</v>
      </c>
      <c r="C1789" s="17" t="s">
        <v>1735</v>
      </c>
      <c r="D1789" s="17" t="s">
        <v>7878</v>
      </c>
      <c r="E1789" s="17" t="s">
        <v>8005</v>
      </c>
      <c r="F1789" s="17" t="s">
        <v>8006</v>
      </c>
      <c r="G1789" s="17" t="s">
        <v>5791</v>
      </c>
      <c r="H1789" t="s">
        <v>7476</v>
      </c>
      <c r="I1789" s="1">
        <v>2</v>
      </c>
      <c r="J1789" s="1">
        <v>2</v>
      </c>
      <c r="K1789" t="s">
        <v>6634</v>
      </c>
      <c r="L1789" s="5" t="e">
        <f>VLOOKUP(D:D,[1]Munka2!$A:$B,2,FALSE)</f>
        <v>#N/A</v>
      </c>
      <c r="M1789" s="5">
        <f>_xlfn.IFNA(Táblázat1[[#This Row],[Kész2020]],0)</f>
        <v>0</v>
      </c>
      <c r="N1789" s="5">
        <f>IF(Táblázat1[[#This Row],[Karb./akt.év]]-Táblázat1[[#This Row],[Kész2020_2]]&lt;0,0,Táblázat1[[#This Row],[Karb./akt.év]]-Táblázat1[[#This Row],[Kész2020_2]])</f>
        <v>2</v>
      </c>
    </row>
    <row r="1790" spans="1:14" hidden="1" x14ac:dyDescent="0.25">
      <c r="A1790" s="17" t="s">
        <v>7299</v>
      </c>
      <c r="B1790" s="17" t="s">
        <v>312</v>
      </c>
      <c r="C1790" s="17" t="s">
        <v>1735</v>
      </c>
      <c r="D1790" s="17" t="s">
        <v>2061</v>
      </c>
      <c r="E1790" s="17" t="s">
        <v>3936</v>
      </c>
      <c r="F1790" s="17" t="s">
        <v>3937</v>
      </c>
      <c r="G1790" s="17" t="s">
        <v>5279</v>
      </c>
      <c r="H1790" t="s">
        <v>7476</v>
      </c>
      <c r="I1790" s="1">
        <v>2</v>
      </c>
      <c r="J1790" s="1">
        <v>2</v>
      </c>
      <c r="K1790" t="s">
        <v>6634</v>
      </c>
      <c r="L1790" s="5">
        <f>VLOOKUP(D:D,[1]Munka2!$A:$B,2,FALSE)</f>
        <v>1</v>
      </c>
      <c r="M1790" s="5">
        <f>_xlfn.IFNA(Táblázat1[[#This Row],[Kész2020]],0)</f>
        <v>1</v>
      </c>
      <c r="N1790" s="5">
        <f>IF(Táblázat1[[#This Row],[Karb./akt.év]]-Táblázat1[[#This Row],[Kész2020_2]]&lt;0,0,Táblázat1[[#This Row],[Karb./akt.év]]-Táblázat1[[#This Row],[Kész2020_2]])</f>
        <v>1</v>
      </c>
    </row>
    <row r="1791" spans="1:14" hidden="1" x14ac:dyDescent="0.25">
      <c r="A1791" s="17" t="s">
        <v>7299</v>
      </c>
      <c r="B1791" s="17" t="s">
        <v>841</v>
      </c>
      <c r="C1791" s="17" t="s">
        <v>1735</v>
      </c>
      <c r="D1791" s="17" t="s">
        <v>2619</v>
      </c>
      <c r="E1791" s="17" t="s">
        <v>4411</v>
      </c>
      <c r="F1791" s="17" t="s">
        <v>4412</v>
      </c>
      <c r="G1791" s="17" t="s">
        <v>5782</v>
      </c>
      <c r="H1791" t="s">
        <v>7476</v>
      </c>
      <c r="I1791" s="1">
        <v>2</v>
      </c>
      <c r="J1791" s="1">
        <v>2</v>
      </c>
      <c r="K1791" t="s">
        <v>6634</v>
      </c>
      <c r="L1791" s="5">
        <f>VLOOKUP(D:D,[1]Munka2!$A:$B,2,FALSE)</f>
        <v>1</v>
      </c>
      <c r="M1791" s="5">
        <f>_xlfn.IFNA(Táblázat1[[#This Row],[Kész2020]],0)</f>
        <v>1</v>
      </c>
      <c r="N1791" s="5">
        <f>IF(Táblázat1[[#This Row],[Karb./akt.év]]-Táblázat1[[#This Row],[Kész2020_2]]&lt;0,0,Táblázat1[[#This Row],[Karb./akt.év]]-Táblázat1[[#This Row],[Kész2020_2]])</f>
        <v>1</v>
      </c>
    </row>
    <row r="1792" spans="1:14" x14ac:dyDescent="0.25">
      <c r="A1792" s="17" t="s">
        <v>7299</v>
      </c>
      <c r="B1792" s="17" t="s">
        <v>7777</v>
      </c>
      <c r="C1792" s="17" t="s">
        <v>1735</v>
      </c>
      <c r="D1792" s="17" t="s">
        <v>7879</v>
      </c>
      <c r="E1792" s="17" t="s">
        <v>8007</v>
      </c>
      <c r="F1792" s="17" t="s">
        <v>8008</v>
      </c>
      <c r="G1792" s="17" t="s">
        <v>8093</v>
      </c>
      <c r="H1792" t="s">
        <v>7476</v>
      </c>
      <c r="I1792" s="1">
        <v>2</v>
      </c>
      <c r="J1792" s="1">
        <v>2</v>
      </c>
      <c r="K1792" t="s">
        <v>6634</v>
      </c>
      <c r="L1792" s="5" t="e">
        <f>VLOOKUP(D:D,[1]Munka2!$A:$B,2,FALSE)</f>
        <v>#N/A</v>
      </c>
      <c r="M1792" s="5">
        <f>_xlfn.IFNA(Táblázat1[[#This Row],[Kész2020]],0)</f>
        <v>0</v>
      </c>
      <c r="N1792" s="5">
        <f>IF(Táblázat1[[#This Row],[Karb./akt.év]]-Táblázat1[[#This Row],[Kész2020_2]]&lt;0,0,Táblázat1[[#This Row],[Karb./akt.év]]-Táblázat1[[#This Row],[Kész2020_2]])</f>
        <v>2</v>
      </c>
    </row>
    <row r="1793" spans="1:14" x14ac:dyDescent="0.25">
      <c r="A1793" s="17" t="s">
        <v>7299</v>
      </c>
      <c r="B1793" s="17" t="s">
        <v>7778</v>
      </c>
      <c r="C1793" s="17" t="s">
        <v>1735</v>
      </c>
      <c r="D1793" s="17" t="s">
        <v>7880</v>
      </c>
      <c r="E1793" s="17" t="s">
        <v>8009</v>
      </c>
      <c r="F1793" s="17" t="s">
        <v>8010</v>
      </c>
      <c r="G1793" s="17" t="s">
        <v>8094</v>
      </c>
      <c r="H1793" t="s">
        <v>7476</v>
      </c>
      <c r="I1793" s="1">
        <v>2</v>
      </c>
      <c r="J1793" s="1">
        <v>2</v>
      </c>
      <c r="K1793" t="s">
        <v>6634</v>
      </c>
      <c r="L1793" s="5" t="e">
        <f>VLOOKUP(D:D,[1]Munka2!$A:$B,2,FALSE)</f>
        <v>#N/A</v>
      </c>
      <c r="M1793" s="5">
        <f>_xlfn.IFNA(Táblázat1[[#This Row],[Kész2020]],0)</f>
        <v>0</v>
      </c>
      <c r="N1793" s="5">
        <f>IF(Táblázat1[[#This Row],[Karb./akt.év]]-Táblázat1[[#This Row],[Kész2020_2]]&lt;0,0,Táblázat1[[#This Row],[Karb./akt.év]]-Táblázat1[[#This Row],[Kész2020_2]])</f>
        <v>2</v>
      </c>
    </row>
    <row r="1794" spans="1:14" hidden="1" x14ac:dyDescent="0.25">
      <c r="A1794" s="17" t="s">
        <v>7299</v>
      </c>
      <c r="B1794" s="17" t="s">
        <v>519</v>
      </c>
      <c r="C1794" s="17" t="s">
        <v>1735</v>
      </c>
      <c r="D1794" s="17" t="s">
        <v>2283</v>
      </c>
      <c r="E1794" s="17" t="s">
        <v>4131</v>
      </c>
      <c r="F1794" s="17" t="s">
        <v>4132</v>
      </c>
      <c r="G1794" s="17" t="s">
        <v>5479</v>
      </c>
      <c r="H1794" t="s">
        <v>7476</v>
      </c>
      <c r="I1794" s="1">
        <v>2</v>
      </c>
      <c r="J1794" s="1">
        <v>2</v>
      </c>
      <c r="K1794" t="s">
        <v>6634</v>
      </c>
      <c r="L1794" s="5">
        <f>VLOOKUP(D:D,[1]Munka2!$A:$B,2,FALSE)</f>
        <v>1</v>
      </c>
      <c r="M1794" s="5">
        <f>_xlfn.IFNA(Táblázat1[[#This Row],[Kész2020]],0)</f>
        <v>1</v>
      </c>
      <c r="N1794" s="5">
        <f>IF(Táblázat1[[#This Row],[Karb./akt.év]]-Táblázat1[[#This Row],[Kész2020_2]]&lt;0,0,Táblázat1[[#This Row],[Karb./akt.év]]-Táblázat1[[#This Row],[Kész2020_2]])</f>
        <v>1</v>
      </c>
    </row>
    <row r="1795" spans="1:14" hidden="1" x14ac:dyDescent="0.25">
      <c r="A1795" s="17" t="s">
        <v>7299</v>
      </c>
      <c r="B1795" s="17" t="s">
        <v>7294</v>
      </c>
      <c r="C1795" s="17" t="s">
        <v>1735</v>
      </c>
      <c r="D1795" s="17" t="s">
        <v>7324</v>
      </c>
      <c r="E1795" s="17" t="s">
        <v>4904</v>
      </c>
      <c r="F1795" s="17" t="s">
        <v>4905</v>
      </c>
      <c r="G1795" s="17" t="s">
        <v>6392</v>
      </c>
      <c r="H1795" t="s">
        <v>7476</v>
      </c>
      <c r="I1795" s="1">
        <v>2</v>
      </c>
      <c r="J1795" s="1">
        <v>2</v>
      </c>
      <c r="K1795" t="s">
        <v>6634</v>
      </c>
      <c r="L1795" s="5">
        <f>VLOOKUP(D:D,[1]Munka2!$A:$B,2,FALSE)</f>
        <v>1</v>
      </c>
      <c r="M1795" s="5">
        <f>_xlfn.IFNA(Táblázat1[[#This Row],[Kész2020]],0)</f>
        <v>1</v>
      </c>
      <c r="N1795" s="5">
        <f>IF(Táblázat1[[#This Row],[Karb./akt.év]]-Táblázat1[[#This Row],[Kész2020_2]]&lt;0,0,Táblázat1[[#This Row],[Karb./akt.év]]-Táblázat1[[#This Row],[Kész2020_2]])</f>
        <v>1</v>
      </c>
    </row>
    <row r="1796" spans="1:14" x14ac:dyDescent="0.25">
      <c r="A1796" s="17" t="s">
        <v>7299</v>
      </c>
      <c r="B1796" s="17" t="s">
        <v>7779</v>
      </c>
      <c r="C1796" s="17" t="s">
        <v>1750</v>
      </c>
      <c r="D1796" s="17" t="s">
        <v>7881</v>
      </c>
      <c r="E1796" s="17" t="s">
        <v>3788</v>
      </c>
      <c r="F1796" s="17" t="s">
        <v>3789</v>
      </c>
      <c r="G1796" s="17" t="s">
        <v>8095</v>
      </c>
      <c r="H1796" t="s">
        <v>7476</v>
      </c>
      <c r="I1796" s="1">
        <v>2</v>
      </c>
      <c r="J1796" s="1">
        <v>2</v>
      </c>
      <c r="K1796" t="s">
        <v>6634</v>
      </c>
      <c r="L1796" s="5" t="e">
        <f>VLOOKUP(D:D,[1]Munka2!$A:$B,2,FALSE)</f>
        <v>#N/A</v>
      </c>
      <c r="M1796" s="5">
        <f>_xlfn.IFNA(Táblázat1[[#This Row],[Kész2020]],0)</f>
        <v>0</v>
      </c>
      <c r="N1796" s="5">
        <f>IF(Táblázat1[[#This Row],[Karb./akt.év]]-Táblázat1[[#This Row],[Kész2020_2]]&lt;0,0,Táblázat1[[#This Row],[Karb./akt.év]]-Táblázat1[[#This Row],[Kész2020_2]])</f>
        <v>2</v>
      </c>
    </row>
    <row r="1797" spans="1:14" hidden="1" x14ac:dyDescent="0.25">
      <c r="A1797" s="17" t="s">
        <v>7299</v>
      </c>
      <c r="B1797" s="17" t="s">
        <v>369</v>
      </c>
      <c r="C1797" s="17" t="s">
        <v>1737</v>
      </c>
      <c r="D1797" s="17" t="s">
        <v>7424</v>
      </c>
      <c r="E1797" s="17" t="s">
        <v>4005</v>
      </c>
      <c r="F1797" s="17" t="s">
        <v>4006</v>
      </c>
      <c r="G1797" s="17" t="s">
        <v>5337</v>
      </c>
      <c r="H1797" t="s">
        <v>7476</v>
      </c>
      <c r="I1797" s="1">
        <v>2</v>
      </c>
      <c r="J1797" s="1">
        <v>2</v>
      </c>
      <c r="K1797" t="s">
        <v>6634</v>
      </c>
      <c r="L1797" s="5">
        <f>VLOOKUP(D:D,[1]Munka2!$A:$B,2,FALSE)</f>
        <v>1</v>
      </c>
      <c r="M1797" s="5">
        <f>_xlfn.IFNA(Táblázat1[[#This Row],[Kész2020]],0)</f>
        <v>1</v>
      </c>
      <c r="N1797" s="5">
        <f>IF(Táblázat1[[#This Row],[Karb./akt.év]]-Táblázat1[[#This Row],[Kész2020_2]]&lt;0,0,Táblázat1[[#This Row],[Karb./akt.év]]-Táblázat1[[#This Row],[Kész2020_2]])</f>
        <v>1</v>
      </c>
    </row>
    <row r="1798" spans="1:14" hidden="1" x14ac:dyDescent="0.25">
      <c r="A1798" s="17" t="s">
        <v>7299</v>
      </c>
      <c r="B1798" s="17" t="s">
        <v>899</v>
      </c>
      <c r="C1798" s="17" t="s">
        <v>1735</v>
      </c>
      <c r="D1798" s="17" t="s">
        <v>7425</v>
      </c>
      <c r="E1798" s="17" t="s">
        <v>4483</v>
      </c>
      <c r="F1798" s="17" t="s">
        <v>4484</v>
      </c>
      <c r="G1798" s="17" t="s">
        <v>5828</v>
      </c>
      <c r="H1798" t="s">
        <v>7476</v>
      </c>
      <c r="I1798" s="1">
        <v>2</v>
      </c>
      <c r="J1798" s="1">
        <v>2</v>
      </c>
      <c r="K1798" t="s">
        <v>6634</v>
      </c>
      <c r="L1798" s="5">
        <f>VLOOKUP(D:D,[1]Munka2!$A:$B,2,FALSE)</f>
        <v>1</v>
      </c>
      <c r="M1798" s="5">
        <f>_xlfn.IFNA(Táblázat1[[#This Row],[Kész2020]],0)</f>
        <v>1</v>
      </c>
      <c r="N1798" s="5">
        <f>IF(Táblázat1[[#This Row],[Karb./akt.év]]-Táblázat1[[#This Row],[Kész2020_2]]&lt;0,0,Táblázat1[[#This Row],[Karb./akt.év]]-Táblázat1[[#This Row],[Kész2020_2]])</f>
        <v>1</v>
      </c>
    </row>
    <row r="1799" spans="1:14" hidden="1" x14ac:dyDescent="0.25">
      <c r="A1799" s="17" t="s">
        <v>7299</v>
      </c>
      <c r="B1799" s="17" t="s">
        <v>882</v>
      </c>
      <c r="C1799" s="17" t="s">
        <v>1738</v>
      </c>
      <c r="D1799" s="17" t="s">
        <v>2665</v>
      </c>
      <c r="E1799" s="17" t="s">
        <v>4462</v>
      </c>
      <c r="F1799" s="17" t="s">
        <v>7524</v>
      </c>
      <c r="G1799" s="17" t="s">
        <v>5816</v>
      </c>
      <c r="H1799" t="s">
        <v>7476</v>
      </c>
      <c r="I1799" s="1">
        <v>2</v>
      </c>
      <c r="J1799" s="1">
        <v>2</v>
      </c>
      <c r="K1799" t="s">
        <v>6634</v>
      </c>
      <c r="L1799" s="5">
        <f>VLOOKUP(D:D,[1]Munka2!$A:$B,2,FALSE)</f>
        <v>1</v>
      </c>
      <c r="M1799" s="5">
        <f>_xlfn.IFNA(Táblázat1[[#This Row],[Kész2020]],0)</f>
        <v>1</v>
      </c>
      <c r="N1799" s="5">
        <f>IF(Táblázat1[[#This Row],[Karb./akt.év]]-Táblázat1[[#This Row],[Kész2020_2]]&lt;0,0,Táblázat1[[#This Row],[Karb./akt.év]]-Táblázat1[[#This Row],[Kész2020_2]])</f>
        <v>1</v>
      </c>
    </row>
    <row r="1800" spans="1:14" hidden="1" x14ac:dyDescent="0.25">
      <c r="A1800" s="17" t="s">
        <v>7299</v>
      </c>
      <c r="B1800" s="17" t="s">
        <v>7224</v>
      </c>
      <c r="C1800" s="17" t="s">
        <v>1735</v>
      </c>
      <c r="D1800" s="17" t="s">
        <v>2633</v>
      </c>
      <c r="E1800" s="17" t="s">
        <v>4481</v>
      </c>
      <c r="F1800" s="17" t="s">
        <v>4482</v>
      </c>
      <c r="G1800" s="17" t="s">
        <v>5827</v>
      </c>
      <c r="H1800" t="s">
        <v>7476</v>
      </c>
      <c r="I1800" s="1">
        <v>2</v>
      </c>
      <c r="J1800" s="1">
        <v>2</v>
      </c>
      <c r="K1800" t="s">
        <v>6634</v>
      </c>
      <c r="L1800" s="5">
        <f>VLOOKUP(D:D,[1]Munka2!$A:$B,2,FALSE)</f>
        <v>1</v>
      </c>
      <c r="M1800" s="5">
        <f>_xlfn.IFNA(Táblázat1[[#This Row],[Kész2020]],0)</f>
        <v>1</v>
      </c>
      <c r="N1800" s="5">
        <f>IF(Táblázat1[[#This Row],[Karb./akt.év]]-Táblázat1[[#This Row],[Kész2020_2]]&lt;0,0,Táblázat1[[#This Row],[Karb./akt.év]]-Táblázat1[[#This Row],[Kész2020_2]])</f>
        <v>1</v>
      </c>
    </row>
    <row r="1801" spans="1:14" hidden="1" x14ac:dyDescent="0.25">
      <c r="A1801" s="17" t="s">
        <v>7299</v>
      </c>
      <c r="B1801" s="17" t="s">
        <v>873</v>
      </c>
      <c r="C1801" s="17" t="s">
        <v>1735</v>
      </c>
      <c r="D1801" s="17" t="s">
        <v>2655</v>
      </c>
      <c r="E1801" s="17" t="s">
        <v>4446</v>
      </c>
      <c r="F1801" s="17" t="s">
        <v>4447</v>
      </c>
      <c r="G1801" s="17" t="s">
        <v>5810</v>
      </c>
      <c r="H1801" t="s">
        <v>7476</v>
      </c>
      <c r="I1801" s="1">
        <v>2</v>
      </c>
      <c r="J1801" s="1">
        <v>2</v>
      </c>
      <c r="K1801" t="s">
        <v>6634</v>
      </c>
      <c r="L1801" s="5">
        <f>VLOOKUP(D:D,[1]Munka2!$A:$B,2,FALSE)</f>
        <v>1</v>
      </c>
      <c r="M1801" s="5">
        <f>_xlfn.IFNA(Táblázat1[[#This Row],[Kész2020]],0)</f>
        <v>1</v>
      </c>
      <c r="N1801" s="5">
        <f>IF(Táblázat1[[#This Row],[Karb./akt.év]]-Táblázat1[[#This Row],[Kész2020_2]]&lt;0,0,Táblázat1[[#This Row],[Karb./akt.év]]-Táblázat1[[#This Row],[Kész2020_2]])</f>
        <v>1</v>
      </c>
    </row>
    <row r="1802" spans="1:14" hidden="1" x14ac:dyDescent="0.25">
      <c r="A1802" s="17" t="s">
        <v>7299</v>
      </c>
      <c r="B1802" s="17" t="s">
        <v>898</v>
      </c>
      <c r="C1802" s="17" t="s">
        <v>1735</v>
      </c>
      <c r="D1802" s="17" t="s">
        <v>2682</v>
      </c>
      <c r="E1802" s="17" t="s">
        <v>4479</v>
      </c>
      <c r="F1802" s="17" t="s">
        <v>4480</v>
      </c>
      <c r="G1802" s="17" t="s">
        <v>5826</v>
      </c>
      <c r="H1802" t="s">
        <v>7476</v>
      </c>
      <c r="I1802" s="1">
        <v>2</v>
      </c>
      <c r="J1802" s="1">
        <v>2</v>
      </c>
      <c r="K1802" t="s">
        <v>6634</v>
      </c>
      <c r="L1802" s="5">
        <f>VLOOKUP(D:D,[1]Munka2!$A:$B,2,FALSE)</f>
        <v>1</v>
      </c>
      <c r="M1802" s="5">
        <f>_xlfn.IFNA(Táblázat1[[#This Row],[Kész2020]],0)</f>
        <v>1</v>
      </c>
      <c r="N1802" s="5">
        <f>IF(Táblázat1[[#This Row],[Karb./akt.év]]-Táblázat1[[#This Row],[Kész2020_2]]&lt;0,0,Táblázat1[[#This Row],[Karb./akt.év]]-Táblázat1[[#This Row],[Kész2020_2]])</f>
        <v>1</v>
      </c>
    </row>
    <row r="1803" spans="1:14" hidden="1" x14ac:dyDescent="0.25">
      <c r="A1803" s="17" t="s">
        <v>7299</v>
      </c>
      <c r="B1803" s="17" t="s">
        <v>56</v>
      </c>
      <c r="C1803" s="17" t="s">
        <v>1738</v>
      </c>
      <c r="D1803" s="17" t="s">
        <v>1794</v>
      </c>
      <c r="E1803" s="17" t="s">
        <v>3637</v>
      </c>
      <c r="F1803" s="17" t="s">
        <v>3638</v>
      </c>
      <c r="G1803" s="17" t="s">
        <v>5032</v>
      </c>
      <c r="H1803" t="s">
        <v>7476</v>
      </c>
      <c r="I1803" s="1">
        <v>2</v>
      </c>
      <c r="J1803" s="1">
        <v>2</v>
      </c>
      <c r="K1803" t="s">
        <v>6634</v>
      </c>
      <c r="L1803" s="5">
        <f>VLOOKUP(D:D,[1]Munka2!$A:$B,2,FALSE)</f>
        <v>1</v>
      </c>
      <c r="M1803" s="5">
        <f>_xlfn.IFNA(Táblázat1[[#This Row],[Kész2020]],0)</f>
        <v>1</v>
      </c>
      <c r="N1803" s="5">
        <f>IF(Táblázat1[[#This Row],[Karb./akt.év]]-Táblázat1[[#This Row],[Kész2020_2]]&lt;0,0,Táblázat1[[#This Row],[Karb./akt.év]]-Táblázat1[[#This Row],[Kész2020_2]])</f>
        <v>1</v>
      </c>
    </row>
    <row r="1804" spans="1:14" hidden="1" x14ac:dyDescent="0.25">
      <c r="A1804" s="17" t="s">
        <v>7299</v>
      </c>
      <c r="B1804" s="17" t="s">
        <v>1186</v>
      </c>
      <c r="C1804" s="17" t="s">
        <v>1735</v>
      </c>
      <c r="D1804" s="17" t="s">
        <v>2991</v>
      </c>
      <c r="E1804" s="17" t="s">
        <v>4419</v>
      </c>
      <c r="F1804" s="17" t="s">
        <v>4420</v>
      </c>
      <c r="G1804" s="17" t="s">
        <v>6114</v>
      </c>
      <c r="H1804" t="s">
        <v>7476</v>
      </c>
      <c r="I1804" s="1">
        <v>2</v>
      </c>
      <c r="J1804" s="1">
        <v>2</v>
      </c>
      <c r="K1804" t="s">
        <v>6634</v>
      </c>
      <c r="L1804" s="5">
        <f>VLOOKUP(D:D,[1]Munka2!$A:$B,2,FALSE)</f>
        <v>1</v>
      </c>
      <c r="M1804" s="5">
        <f>_xlfn.IFNA(Táblázat1[[#This Row],[Kész2020]],0)</f>
        <v>1</v>
      </c>
      <c r="N1804" s="5">
        <f>IF(Táblázat1[[#This Row],[Karb./akt.év]]-Táblázat1[[#This Row],[Kész2020_2]]&lt;0,0,Táblázat1[[#This Row],[Karb./akt.év]]-Táblázat1[[#This Row],[Kész2020_2]])</f>
        <v>1</v>
      </c>
    </row>
    <row r="1805" spans="1:14" hidden="1" x14ac:dyDescent="0.25">
      <c r="A1805" s="17" t="s">
        <v>7299</v>
      </c>
      <c r="B1805" s="17" t="s">
        <v>1358</v>
      </c>
      <c r="C1805" s="17" t="s">
        <v>1748</v>
      </c>
      <c r="D1805" s="17" t="s">
        <v>3176</v>
      </c>
      <c r="E1805" s="17" t="s">
        <v>4839</v>
      </c>
      <c r="F1805" s="17" t="s">
        <v>4840</v>
      </c>
      <c r="G1805" s="17" t="s">
        <v>7671</v>
      </c>
      <c r="H1805" t="s">
        <v>7476</v>
      </c>
      <c r="I1805" s="1">
        <v>2</v>
      </c>
      <c r="J1805" s="1">
        <v>2</v>
      </c>
      <c r="K1805" t="s">
        <v>6634</v>
      </c>
      <c r="L1805" s="5">
        <f>VLOOKUP(D:D,[1]Munka2!$A:$B,2,FALSE)</f>
        <v>1</v>
      </c>
      <c r="M1805" s="5">
        <f>_xlfn.IFNA(Táblázat1[[#This Row],[Kész2020]],0)</f>
        <v>1</v>
      </c>
      <c r="N1805" s="5">
        <f>IF(Táblázat1[[#This Row],[Karb./akt.év]]-Táblázat1[[#This Row],[Kész2020_2]]&lt;0,0,Táblázat1[[#This Row],[Karb./akt.év]]-Táblázat1[[#This Row],[Kész2020_2]])</f>
        <v>1</v>
      </c>
    </row>
    <row r="1806" spans="1:14" hidden="1" x14ac:dyDescent="0.25">
      <c r="A1806" s="17" t="s">
        <v>7299</v>
      </c>
      <c r="B1806" s="17" t="s">
        <v>1099</v>
      </c>
      <c r="C1806" s="17" t="s">
        <v>1735</v>
      </c>
      <c r="D1806" s="17" t="s">
        <v>2892</v>
      </c>
      <c r="E1806" s="17" t="s">
        <v>3768</v>
      </c>
      <c r="F1806" s="17" t="s">
        <v>3769</v>
      </c>
      <c r="G1806" s="17" t="s">
        <v>6028</v>
      </c>
      <c r="H1806" t="s">
        <v>7476</v>
      </c>
      <c r="I1806" s="1">
        <v>2</v>
      </c>
      <c r="J1806" s="1">
        <v>2</v>
      </c>
      <c r="K1806" t="s">
        <v>6634</v>
      </c>
      <c r="L1806" s="5">
        <f>VLOOKUP(D:D,[1]Munka2!$A:$B,2,FALSE)</f>
        <v>1</v>
      </c>
      <c r="M1806" s="5">
        <f>_xlfn.IFNA(Táblázat1[[#This Row],[Kész2020]],0)</f>
        <v>1</v>
      </c>
      <c r="N1806" s="5">
        <f>IF(Táblázat1[[#This Row],[Karb./akt.év]]-Táblázat1[[#This Row],[Kész2020_2]]&lt;0,0,Táblázat1[[#This Row],[Karb./akt.év]]-Táblázat1[[#This Row],[Kész2020_2]])</f>
        <v>1</v>
      </c>
    </row>
    <row r="1807" spans="1:14" hidden="1" x14ac:dyDescent="0.25">
      <c r="A1807" s="17" t="s">
        <v>26</v>
      </c>
      <c r="B1807" s="17" t="s">
        <v>1618</v>
      </c>
      <c r="C1807" s="17" t="s">
        <v>1743</v>
      </c>
      <c r="D1807" s="17" t="s">
        <v>3469</v>
      </c>
      <c r="E1807" s="17" t="s">
        <v>3670</v>
      </c>
      <c r="F1807" s="17" t="s">
        <v>3598</v>
      </c>
      <c r="G1807" s="17" t="s">
        <v>6520</v>
      </c>
      <c r="H1807" t="s">
        <v>7476</v>
      </c>
      <c r="I1807" s="1">
        <v>1</v>
      </c>
      <c r="J1807" s="1">
        <v>1</v>
      </c>
      <c r="K1807" t="s">
        <v>8101</v>
      </c>
      <c r="L1807" s="5">
        <f>VLOOKUP(D:D,[1]Munka2!$A:$B,2,FALSE)</f>
        <v>1</v>
      </c>
      <c r="M1807" s="5">
        <f>_xlfn.IFNA(Táblázat1[[#This Row],[Kész2020]],0)</f>
        <v>1</v>
      </c>
      <c r="N1807" s="5">
        <f>IF(Táblázat1[[#This Row],[Karb./akt.év]]-Táblázat1[[#This Row],[Kész2020_2]]&lt;0,0,Táblázat1[[#This Row],[Karb./akt.év]]-Táblázat1[[#This Row],[Kész2020_2]])</f>
        <v>0</v>
      </c>
    </row>
    <row r="1808" spans="1:14" hidden="1" x14ac:dyDescent="0.25">
      <c r="A1808" s="17" t="s">
        <v>26</v>
      </c>
      <c r="B1808" s="17" t="s">
        <v>140</v>
      </c>
      <c r="C1808" s="17" t="s">
        <v>1743</v>
      </c>
      <c r="D1808" s="17" t="s">
        <v>1880</v>
      </c>
      <c r="E1808" s="17" t="s">
        <v>3740</v>
      </c>
      <c r="F1808" s="17" t="s">
        <v>3679</v>
      </c>
      <c r="G1808" s="17" t="s">
        <v>5113</v>
      </c>
      <c r="H1808" t="s">
        <v>7476</v>
      </c>
      <c r="I1808" s="1">
        <v>1</v>
      </c>
      <c r="J1808" s="1">
        <v>1</v>
      </c>
      <c r="K1808" t="s">
        <v>6635</v>
      </c>
      <c r="L1808" s="5">
        <f>VLOOKUP(D:D,[1]Munka2!$A:$B,2,FALSE)</f>
        <v>1</v>
      </c>
      <c r="M1808" s="5">
        <f>_xlfn.IFNA(Táblázat1[[#This Row],[Kész2020]],0)</f>
        <v>1</v>
      </c>
      <c r="N1808" s="5">
        <f>IF(Táblázat1[[#This Row],[Karb./akt.év]]-Táblázat1[[#This Row],[Kész2020_2]]&lt;0,0,Táblázat1[[#This Row],[Karb./akt.év]]-Táblázat1[[#This Row],[Kész2020_2]])</f>
        <v>0</v>
      </c>
    </row>
    <row r="1809" spans="1:14" hidden="1" x14ac:dyDescent="0.25">
      <c r="A1809" s="17" t="s">
        <v>26</v>
      </c>
      <c r="B1809" s="17" t="s">
        <v>172</v>
      </c>
      <c r="C1809" s="17" t="s">
        <v>1735</v>
      </c>
      <c r="D1809" s="17" t="s">
        <v>1913</v>
      </c>
      <c r="E1809" s="17" t="s">
        <v>3782</v>
      </c>
      <c r="F1809" s="17" t="s">
        <v>3783</v>
      </c>
      <c r="G1809" s="17" t="s">
        <v>5143</v>
      </c>
      <c r="H1809" t="s">
        <v>7476</v>
      </c>
      <c r="I1809" s="1">
        <v>1</v>
      </c>
      <c r="J1809" s="1">
        <v>1</v>
      </c>
      <c r="K1809" t="s">
        <v>8103</v>
      </c>
      <c r="L1809" s="5">
        <f>VLOOKUP(D:D,[1]Munka2!$A:$B,2,FALSE)</f>
        <v>1</v>
      </c>
      <c r="M1809" s="5">
        <f>_xlfn.IFNA(Táblázat1[[#This Row],[Kész2020]],0)</f>
        <v>1</v>
      </c>
      <c r="N1809" s="5">
        <f>IF(Táblázat1[[#This Row],[Karb./akt.év]]-Táblázat1[[#This Row],[Kész2020_2]]&lt;0,0,Táblázat1[[#This Row],[Karb./akt.év]]-Táblázat1[[#This Row],[Kész2020_2]])</f>
        <v>0</v>
      </c>
    </row>
    <row r="1810" spans="1:14" hidden="1" x14ac:dyDescent="0.25">
      <c r="A1810" s="17" t="s">
        <v>26</v>
      </c>
      <c r="B1810" s="17" t="s">
        <v>598</v>
      </c>
      <c r="C1810" s="17" t="s">
        <v>1743</v>
      </c>
      <c r="D1810" s="17" t="s">
        <v>2371</v>
      </c>
      <c r="E1810" s="17" t="s">
        <v>4206</v>
      </c>
      <c r="F1810" s="17" t="s">
        <v>3598</v>
      </c>
      <c r="G1810" s="17" t="s">
        <v>5560</v>
      </c>
      <c r="H1810" t="s">
        <v>7476</v>
      </c>
      <c r="I1810" s="1">
        <v>1</v>
      </c>
      <c r="J1810" s="1">
        <v>1</v>
      </c>
      <c r="K1810" t="s">
        <v>7017</v>
      </c>
      <c r="L1810" s="5">
        <f>VLOOKUP(D:D,[1]Munka2!$A:$B,2,FALSE)</f>
        <v>1</v>
      </c>
      <c r="M1810" s="5">
        <f>_xlfn.IFNA(Táblázat1[[#This Row],[Kész2020]],0)</f>
        <v>1</v>
      </c>
      <c r="N1810" s="5">
        <f>IF(Táblázat1[[#This Row],[Karb./akt.év]]-Táblázat1[[#This Row],[Kész2020_2]]&lt;0,0,Táblázat1[[#This Row],[Karb./akt.év]]-Táblázat1[[#This Row],[Kész2020_2]])</f>
        <v>0</v>
      </c>
    </row>
    <row r="1811" spans="1:14" hidden="1" x14ac:dyDescent="0.25">
      <c r="A1811" s="17" t="s">
        <v>26</v>
      </c>
      <c r="B1811" s="17" t="s">
        <v>169</v>
      </c>
      <c r="C1811" s="17" t="s">
        <v>1743</v>
      </c>
      <c r="D1811" s="17" t="s">
        <v>1909</v>
      </c>
      <c r="E1811" s="17" t="s">
        <v>3772</v>
      </c>
      <c r="F1811" s="17" t="s">
        <v>3755</v>
      </c>
      <c r="G1811" s="17" t="s">
        <v>5139</v>
      </c>
      <c r="H1811" t="s">
        <v>7476</v>
      </c>
      <c r="I1811" s="1">
        <v>1</v>
      </c>
      <c r="J1811" s="1">
        <v>1</v>
      </c>
      <c r="K1811" t="s">
        <v>6640</v>
      </c>
      <c r="L1811" s="5" t="e">
        <f>VLOOKUP(D:D,[1]Munka2!$A:$B,2,FALSE)</f>
        <v>#N/A</v>
      </c>
      <c r="M1811" s="5">
        <f>_xlfn.IFNA(Táblázat1[[#This Row],[Kész2020]],0)</f>
        <v>0</v>
      </c>
      <c r="N1811" s="5">
        <f>IF(Táblázat1[[#This Row],[Karb./akt.év]]-Táblázat1[[#This Row],[Kész2020_2]]&lt;0,0,Táblázat1[[#This Row],[Karb./akt.év]]-Táblázat1[[#This Row],[Kész2020_2]])</f>
        <v>1</v>
      </c>
    </row>
    <row r="1812" spans="1:14" hidden="1" x14ac:dyDescent="0.25">
      <c r="A1812" s="17" t="s">
        <v>26</v>
      </c>
      <c r="B1812" s="17" t="s">
        <v>736</v>
      </c>
      <c r="C1812" s="17" t="s">
        <v>1735</v>
      </c>
      <c r="D1812" s="17" t="s">
        <v>2513</v>
      </c>
      <c r="E1812" s="17" t="s">
        <v>3641</v>
      </c>
      <c r="F1812" s="17" t="s">
        <v>3642</v>
      </c>
      <c r="G1812" s="17" t="s">
        <v>5684</v>
      </c>
      <c r="H1812" t="s">
        <v>7476</v>
      </c>
      <c r="I1812" s="1">
        <v>1</v>
      </c>
      <c r="J1812" s="1">
        <v>1</v>
      </c>
      <c r="K1812" t="s">
        <v>7354</v>
      </c>
      <c r="L1812" s="5">
        <f>VLOOKUP(D:D,[1]Munka2!$A:$B,2,FALSE)</f>
        <v>1</v>
      </c>
      <c r="M1812" s="5">
        <f>_xlfn.IFNA(Táblázat1[[#This Row],[Kész2020]],0)</f>
        <v>1</v>
      </c>
      <c r="N1812" s="5">
        <f>IF(Táblázat1[[#This Row],[Karb./akt.év]]-Táblázat1[[#This Row],[Kész2020_2]]&lt;0,0,Táblázat1[[#This Row],[Karb./akt.év]]-Táblázat1[[#This Row],[Kész2020_2]])</f>
        <v>0</v>
      </c>
    </row>
    <row r="1813" spans="1:14" s="10" customFormat="1" hidden="1" x14ac:dyDescent="0.25">
      <c r="A1813" s="17" t="s">
        <v>26</v>
      </c>
      <c r="B1813" s="17" t="s">
        <v>750</v>
      </c>
      <c r="C1813" s="17" t="s">
        <v>1735</v>
      </c>
      <c r="D1813" s="17" t="s">
        <v>2525</v>
      </c>
      <c r="E1813" s="17" t="s">
        <v>3680</v>
      </c>
      <c r="F1813" s="17" t="s">
        <v>3681</v>
      </c>
      <c r="G1813" s="17" t="s">
        <v>5695</v>
      </c>
      <c r="H1813" t="s">
        <v>7476</v>
      </c>
      <c r="I1813" s="13">
        <v>1</v>
      </c>
      <c r="J1813" s="13">
        <v>1</v>
      </c>
      <c r="K1813" s="10" t="s">
        <v>6637</v>
      </c>
      <c r="L1813" s="5" t="e">
        <f>VLOOKUP(D:D,[1]Munka2!$A:$B,2,FALSE)</f>
        <v>#N/A</v>
      </c>
      <c r="M1813" s="14">
        <f>_xlfn.IFNA(Táblázat1[[#This Row],[Kész2020]],0)</f>
        <v>0</v>
      </c>
      <c r="N1813" s="12">
        <f>IF(Táblázat1[[#This Row],[Karb./akt.év]]-Táblázat1[[#This Row],[Kész2020_2]]&lt;0,0,Táblázat1[[#This Row],[Karb./akt.év]]-Táblázat1[[#This Row],[Kész2020_2]])</f>
        <v>1</v>
      </c>
    </row>
    <row r="1814" spans="1:14" hidden="1" x14ac:dyDescent="0.25">
      <c r="A1814" s="17" t="s">
        <v>26</v>
      </c>
      <c r="B1814" s="17" t="s">
        <v>1274</v>
      </c>
      <c r="C1814" s="17" t="s">
        <v>1742</v>
      </c>
      <c r="D1814" s="17" t="s">
        <v>3086</v>
      </c>
      <c r="E1814" s="17" t="s">
        <v>3625</v>
      </c>
      <c r="F1814" s="17" t="s">
        <v>3626</v>
      </c>
      <c r="G1814" s="17" t="s">
        <v>6197</v>
      </c>
      <c r="H1814" t="s">
        <v>7476</v>
      </c>
      <c r="I1814" s="1">
        <v>1</v>
      </c>
      <c r="J1814" s="1">
        <v>1</v>
      </c>
      <c r="K1814" t="s">
        <v>6642</v>
      </c>
      <c r="L1814" s="5" t="e">
        <f>VLOOKUP(D:D,[1]Munka2!$A:$B,2,FALSE)</f>
        <v>#N/A</v>
      </c>
      <c r="M1814" s="5">
        <f>_xlfn.IFNA(Táblázat1[[#This Row],[Kész2020]],0)</f>
        <v>0</v>
      </c>
      <c r="N1814" s="5">
        <f>IF(Táblázat1[[#This Row],[Karb./akt.év]]-Táblázat1[[#This Row],[Kész2020_2]]&lt;0,0,Táblázat1[[#This Row],[Karb./akt.év]]-Táblázat1[[#This Row],[Kész2020_2]])</f>
        <v>1</v>
      </c>
    </row>
    <row r="1815" spans="1:14" hidden="1" x14ac:dyDescent="0.25">
      <c r="A1815" s="17" t="s">
        <v>8</v>
      </c>
      <c r="B1815" s="17" t="s">
        <v>440</v>
      </c>
      <c r="C1815" s="17" t="s">
        <v>1741</v>
      </c>
      <c r="D1815" s="17" t="s">
        <v>2198</v>
      </c>
      <c r="E1815" s="17" t="s">
        <v>4052</v>
      </c>
      <c r="F1815" s="17" t="s">
        <v>3598</v>
      </c>
      <c r="G1815" s="17" t="s">
        <v>5406</v>
      </c>
      <c r="H1815" t="s">
        <v>7476</v>
      </c>
      <c r="I1815" s="1">
        <v>2</v>
      </c>
      <c r="J1815" s="1">
        <v>2</v>
      </c>
      <c r="K1815" t="s">
        <v>7017</v>
      </c>
      <c r="L1815" s="5">
        <f>VLOOKUP(D:D,[1]Munka2!$A:$B,2,FALSE)</f>
        <v>1</v>
      </c>
      <c r="M1815" s="5">
        <f>_xlfn.IFNA(Táblázat1[[#This Row],[Kész2020]],0)</f>
        <v>1</v>
      </c>
      <c r="N1815" s="5">
        <f>IF(Táblázat1[[#This Row],[Karb./akt.év]]-Táblázat1[[#This Row],[Kész2020_2]]&lt;0,0,Táblázat1[[#This Row],[Karb./akt.év]]-Táblázat1[[#This Row],[Kész2020_2]])</f>
        <v>1</v>
      </c>
    </row>
    <row r="1816" spans="1:14" hidden="1" x14ac:dyDescent="0.25">
      <c r="A1816" s="17" t="s">
        <v>8</v>
      </c>
      <c r="B1816" s="17" t="s">
        <v>437</v>
      </c>
      <c r="C1816" s="17" t="s">
        <v>1741</v>
      </c>
      <c r="D1816" s="17" t="s">
        <v>2194</v>
      </c>
      <c r="E1816" s="17" t="s">
        <v>4051</v>
      </c>
      <c r="F1816" s="17" t="s">
        <v>3598</v>
      </c>
      <c r="G1816" s="17" t="s">
        <v>5403</v>
      </c>
      <c r="H1816" t="s">
        <v>7476</v>
      </c>
      <c r="I1816" s="1">
        <v>2</v>
      </c>
      <c r="J1816" s="1">
        <v>2</v>
      </c>
      <c r="K1816" t="s">
        <v>6636</v>
      </c>
      <c r="L1816" s="5">
        <f>VLOOKUP(D:D,[1]Munka2!$A:$B,2,FALSE)</f>
        <v>1</v>
      </c>
      <c r="M1816" s="5">
        <f>_xlfn.IFNA(Táblázat1[[#This Row],[Kész2020]],0)</f>
        <v>1</v>
      </c>
      <c r="N1816" s="5">
        <f>IF(Táblázat1[[#This Row],[Karb./akt.év]]-Táblázat1[[#This Row],[Kész2020_2]]&lt;0,0,Táblázat1[[#This Row],[Karb./akt.év]]-Táblázat1[[#This Row],[Kész2020_2]])</f>
        <v>1</v>
      </c>
    </row>
    <row r="1817" spans="1:14" x14ac:dyDescent="0.25">
      <c r="A1817" s="17" t="s">
        <v>8</v>
      </c>
      <c r="B1817" s="17" t="s">
        <v>848</v>
      </c>
      <c r="C1817" s="17" t="s">
        <v>1741</v>
      </c>
      <c r="D1817" s="17" t="s">
        <v>2627</v>
      </c>
      <c r="E1817" s="17" t="s">
        <v>3875</v>
      </c>
      <c r="F1817" s="17" t="s">
        <v>3876</v>
      </c>
      <c r="G1817" s="17" t="s">
        <v>5785</v>
      </c>
      <c r="H1817" t="s">
        <v>7476</v>
      </c>
      <c r="I1817" s="1">
        <v>2</v>
      </c>
      <c r="J1817" s="1">
        <v>2</v>
      </c>
      <c r="K1817" t="s">
        <v>7354</v>
      </c>
      <c r="L1817" s="5" t="e">
        <f>VLOOKUP(D:D,[1]Munka2!$A:$B,2,FALSE)</f>
        <v>#N/A</v>
      </c>
      <c r="M1817" s="5">
        <f>_xlfn.IFNA(Táblázat1[[#This Row],[Kész2020]],0)</f>
        <v>0</v>
      </c>
      <c r="N1817" s="5">
        <f>IF(Táblázat1[[#This Row],[Karb./akt.év]]-Táblázat1[[#This Row],[Kész2020_2]]&lt;0,0,Táblázat1[[#This Row],[Karb./akt.év]]-Táblázat1[[#This Row],[Kész2020_2]])</f>
        <v>2</v>
      </c>
    </row>
    <row r="1818" spans="1:14" hidden="1" x14ac:dyDescent="0.25">
      <c r="A1818" s="17" t="s">
        <v>8</v>
      </c>
      <c r="B1818" s="17" t="s">
        <v>1461</v>
      </c>
      <c r="C1818" s="17" t="s">
        <v>1741</v>
      </c>
      <c r="D1818" s="17" t="s">
        <v>3294</v>
      </c>
      <c r="E1818" s="17" t="s">
        <v>4899</v>
      </c>
      <c r="F1818" s="17" t="s">
        <v>3598</v>
      </c>
      <c r="G1818" s="17" t="s">
        <v>6370</v>
      </c>
      <c r="H1818" t="s">
        <v>7476</v>
      </c>
      <c r="I1818" s="1">
        <v>2</v>
      </c>
      <c r="J1818" s="1">
        <v>2</v>
      </c>
      <c r="K1818" t="s">
        <v>6633</v>
      </c>
      <c r="L1818" s="5">
        <f>VLOOKUP(D:D,[1]Munka2!$A:$B,2,FALSE)</f>
        <v>1</v>
      </c>
      <c r="M1818" s="5">
        <f>_xlfn.IFNA(Táblázat1[[#This Row],[Kész2020]],0)</f>
        <v>1</v>
      </c>
      <c r="N1818" s="5">
        <f>IF(Táblázat1[[#This Row],[Karb./akt.év]]-Táblázat1[[#This Row],[Kész2020_2]]&lt;0,0,Táblázat1[[#This Row],[Karb./akt.év]]-Táblázat1[[#This Row],[Kész2020_2]])</f>
        <v>1</v>
      </c>
    </row>
    <row r="1819" spans="1:14" hidden="1" x14ac:dyDescent="0.25">
      <c r="A1819" s="17" t="s">
        <v>8</v>
      </c>
      <c r="B1819" s="17" t="s">
        <v>1623</v>
      </c>
      <c r="C1819" s="17" t="s">
        <v>1741</v>
      </c>
      <c r="D1819" s="17" t="s">
        <v>3474</v>
      </c>
      <c r="E1819" s="17" t="s">
        <v>3670</v>
      </c>
      <c r="F1819" s="17" t="s">
        <v>3598</v>
      </c>
      <c r="G1819" s="17" t="s">
        <v>6521</v>
      </c>
      <c r="H1819" t="s">
        <v>7476</v>
      </c>
      <c r="I1819" s="1">
        <v>2</v>
      </c>
      <c r="J1819" s="1">
        <v>2</v>
      </c>
      <c r="K1819" t="s">
        <v>8101</v>
      </c>
      <c r="L1819" s="5">
        <f>VLOOKUP(D:D,[1]Munka2!$A:$B,2,FALSE)</f>
        <v>1</v>
      </c>
      <c r="M1819" s="5">
        <f>_xlfn.IFNA(Táblázat1[[#This Row],[Kész2020]],0)</f>
        <v>1</v>
      </c>
      <c r="N1819" s="5">
        <f>IF(Táblázat1[[#This Row],[Karb./akt.év]]-Táblázat1[[#This Row],[Kész2020_2]]&lt;0,0,Táblázat1[[#This Row],[Karb./akt.év]]-Táblázat1[[#This Row],[Kész2020_2]])</f>
        <v>1</v>
      </c>
    </row>
    <row r="1820" spans="1:14" hidden="1" x14ac:dyDescent="0.25">
      <c r="A1820" s="17" t="s">
        <v>8</v>
      </c>
      <c r="B1820" s="17" t="s">
        <v>462</v>
      </c>
      <c r="C1820" s="17" t="s">
        <v>1741</v>
      </c>
      <c r="D1820" s="17" t="s">
        <v>2219</v>
      </c>
      <c r="E1820" s="17" t="s">
        <v>4071</v>
      </c>
      <c r="F1820" s="17" t="s">
        <v>4072</v>
      </c>
      <c r="G1820" s="17" t="s">
        <v>5426</v>
      </c>
      <c r="H1820" t="s">
        <v>7476</v>
      </c>
      <c r="I1820" s="1">
        <v>2</v>
      </c>
      <c r="J1820" s="1">
        <v>2</v>
      </c>
      <c r="K1820" t="s">
        <v>6642</v>
      </c>
      <c r="L1820" s="5">
        <f>VLOOKUP(D:D,[1]Munka2!$A:$B,2,FALSE)</f>
        <v>1</v>
      </c>
      <c r="M1820" s="5">
        <f>_xlfn.IFNA(Táblázat1[[#This Row],[Kész2020]],0)</f>
        <v>1</v>
      </c>
      <c r="N1820" s="5">
        <f>IF(Táblázat1[[#This Row],[Karb./akt.év]]-Táblázat1[[#This Row],[Kész2020_2]]&lt;0,0,Táblázat1[[#This Row],[Karb./akt.év]]-Táblázat1[[#This Row],[Kész2020_2]])</f>
        <v>1</v>
      </c>
    </row>
    <row r="1821" spans="1:14" hidden="1" x14ac:dyDescent="0.25">
      <c r="A1821" s="17" t="s">
        <v>8</v>
      </c>
      <c r="B1821" s="17" t="s">
        <v>468</v>
      </c>
      <c r="C1821" s="17" t="s">
        <v>1741</v>
      </c>
      <c r="D1821" s="17" t="s">
        <v>2226</v>
      </c>
      <c r="E1821" s="17" t="s">
        <v>3782</v>
      </c>
      <c r="F1821" s="17" t="s">
        <v>3783</v>
      </c>
      <c r="G1821" s="17" t="s">
        <v>5433</v>
      </c>
      <c r="H1821" t="s">
        <v>7476</v>
      </c>
      <c r="I1821" s="1">
        <v>2</v>
      </c>
      <c r="J1821" s="1">
        <v>2</v>
      </c>
      <c r="K1821" t="s">
        <v>8103</v>
      </c>
      <c r="L1821" s="5">
        <f>VLOOKUP(D:D,[1]Munka2!$A:$B,2,FALSE)</f>
        <v>1</v>
      </c>
      <c r="M1821" s="5">
        <f>_xlfn.IFNA(Táblázat1[[#This Row],[Kész2020]],0)</f>
        <v>1</v>
      </c>
      <c r="N1821" s="5">
        <f>IF(Táblázat1[[#This Row],[Karb./akt.év]]-Táblázat1[[#This Row],[Kész2020_2]]&lt;0,0,Táblázat1[[#This Row],[Karb./akt.év]]-Táblázat1[[#This Row],[Kész2020_2]])</f>
        <v>1</v>
      </c>
    </row>
    <row r="1822" spans="1:14" hidden="1" x14ac:dyDescent="0.25">
      <c r="A1822" s="17" t="s">
        <v>8</v>
      </c>
      <c r="B1822" s="17" t="s">
        <v>1291</v>
      </c>
      <c r="C1822" s="17" t="s">
        <v>1741</v>
      </c>
      <c r="D1822" s="17" t="s">
        <v>3104</v>
      </c>
      <c r="E1822" s="17" t="s">
        <v>4049</v>
      </c>
      <c r="F1822" s="17" t="s">
        <v>3718</v>
      </c>
      <c r="G1822" s="17" t="s">
        <v>6213</v>
      </c>
      <c r="H1822" t="s">
        <v>7476</v>
      </c>
      <c r="I1822" s="1">
        <v>2</v>
      </c>
      <c r="J1822" s="1">
        <v>2</v>
      </c>
      <c r="K1822" t="s">
        <v>8102</v>
      </c>
      <c r="L1822" s="5">
        <f>VLOOKUP(D:D,[1]Munka2!$A:$B,2,FALSE)</f>
        <v>1</v>
      </c>
      <c r="M1822" s="5">
        <f>_xlfn.IFNA(Táblázat1[[#This Row],[Kész2020]],0)</f>
        <v>1</v>
      </c>
      <c r="N1822" s="5">
        <f>IF(Táblázat1[[#This Row],[Karb./akt.év]]-Táblázat1[[#This Row],[Kész2020_2]]&lt;0,0,Táblázat1[[#This Row],[Karb./akt.év]]-Táblázat1[[#This Row],[Kész2020_2]])</f>
        <v>1</v>
      </c>
    </row>
    <row r="1823" spans="1:14" hidden="1" x14ac:dyDescent="0.25">
      <c r="A1823" s="17" t="s">
        <v>8</v>
      </c>
      <c r="B1823" s="17" t="s">
        <v>338</v>
      </c>
      <c r="C1823" s="17" t="s">
        <v>1741</v>
      </c>
      <c r="D1823" s="17" t="s">
        <v>2087</v>
      </c>
      <c r="E1823" s="17" t="s">
        <v>3792</v>
      </c>
      <c r="F1823" s="17" t="s">
        <v>3793</v>
      </c>
      <c r="G1823" s="17" t="s">
        <v>5301</v>
      </c>
      <c r="H1823" t="s">
        <v>7476</v>
      </c>
      <c r="I1823" s="1">
        <v>2</v>
      </c>
      <c r="J1823" s="1">
        <v>2</v>
      </c>
      <c r="K1823" t="s">
        <v>6639</v>
      </c>
      <c r="L1823" s="5">
        <f>VLOOKUP(D:D,[1]Munka2!$A:$B,2,FALSE)</f>
        <v>1</v>
      </c>
      <c r="M1823" s="5">
        <f>_xlfn.IFNA(Táblázat1[[#This Row],[Kész2020]],0)</f>
        <v>1</v>
      </c>
      <c r="N1823" s="5">
        <f>IF(Táblázat1[[#This Row],[Karb./akt.év]]-Táblázat1[[#This Row],[Kész2020_2]]&lt;0,0,Táblázat1[[#This Row],[Karb./akt.év]]-Táblázat1[[#This Row],[Kész2020_2]])</f>
        <v>1</v>
      </c>
    </row>
    <row r="1824" spans="1:14" hidden="1" x14ac:dyDescent="0.25">
      <c r="A1824" s="17" t="s">
        <v>8</v>
      </c>
      <c r="B1824" s="17" t="s">
        <v>181</v>
      </c>
      <c r="C1824" s="17" t="s">
        <v>1741</v>
      </c>
      <c r="D1824" s="17" t="s">
        <v>1922</v>
      </c>
      <c r="E1824" s="17" t="s">
        <v>3797</v>
      </c>
      <c r="F1824" s="17" t="s">
        <v>3598</v>
      </c>
      <c r="G1824" s="17" t="s">
        <v>5153</v>
      </c>
      <c r="H1824" t="s">
        <v>7476</v>
      </c>
      <c r="I1824" s="1">
        <v>2</v>
      </c>
      <c r="J1824" s="1">
        <v>2</v>
      </c>
      <c r="K1824" t="s">
        <v>6641</v>
      </c>
      <c r="L1824" s="5">
        <f>VLOOKUP(D:D,[1]Munka2!$A:$B,2,FALSE)</f>
        <v>1</v>
      </c>
      <c r="M1824" s="5">
        <f>_xlfn.IFNA(Táblázat1[[#This Row],[Kész2020]],0)</f>
        <v>1</v>
      </c>
      <c r="N1824" s="5">
        <f>IF(Táblázat1[[#This Row],[Karb./akt.év]]-Táblázat1[[#This Row],[Kész2020_2]]&lt;0,0,Táblázat1[[#This Row],[Karb./akt.év]]-Táblázat1[[#This Row],[Kész2020_2]])</f>
        <v>1</v>
      </c>
    </row>
    <row r="1825" spans="1:14" hidden="1" x14ac:dyDescent="0.25">
      <c r="A1825" s="17" t="s">
        <v>8</v>
      </c>
      <c r="B1825" s="17" t="s">
        <v>732</v>
      </c>
      <c r="C1825" s="17" t="s">
        <v>1741</v>
      </c>
      <c r="D1825" s="17" t="s">
        <v>2509</v>
      </c>
      <c r="E1825" s="17" t="s">
        <v>3788</v>
      </c>
      <c r="F1825" s="17" t="s">
        <v>3789</v>
      </c>
      <c r="G1825" s="17" t="s">
        <v>5682</v>
      </c>
      <c r="H1825" t="s">
        <v>7476</v>
      </c>
      <c r="I1825" s="1">
        <v>2</v>
      </c>
      <c r="J1825" s="1">
        <v>2</v>
      </c>
      <c r="K1825" t="s">
        <v>6634</v>
      </c>
      <c r="L1825" s="5">
        <f>VLOOKUP(D:D,[1]Munka2!$A:$B,2,FALSE)</f>
        <v>1</v>
      </c>
      <c r="M1825" s="5">
        <f>_xlfn.IFNA(Táblázat1[[#This Row],[Kész2020]],0)</f>
        <v>1</v>
      </c>
      <c r="N1825" s="5">
        <f>IF(Táblázat1[[#This Row],[Karb./akt.év]]-Táblázat1[[#This Row],[Kész2020_2]]&lt;0,0,Táblázat1[[#This Row],[Karb./akt.év]]-Táblázat1[[#This Row],[Kész2020_2]])</f>
        <v>1</v>
      </c>
    </row>
    <row r="1826" spans="1:14" hidden="1" x14ac:dyDescent="0.25">
      <c r="A1826" s="17" t="s">
        <v>8</v>
      </c>
      <c r="B1826" s="17" t="s">
        <v>1498</v>
      </c>
      <c r="C1826" s="17" t="s">
        <v>1741</v>
      </c>
      <c r="D1826" s="17" t="s">
        <v>3337</v>
      </c>
      <c r="E1826" s="17" t="s">
        <v>3918</v>
      </c>
      <c r="F1826" s="17" t="s">
        <v>3919</v>
      </c>
      <c r="G1826" s="17" t="s">
        <v>6406</v>
      </c>
      <c r="H1826" t="s">
        <v>7476</v>
      </c>
      <c r="I1826" s="1">
        <v>2</v>
      </c>
      <c r="J1826" s="1">
        <v>2</v>
      </c>
      <c r="K1826" t="s">
        <v>7014</v>
      </c>
      <c r="L1826" s="5">
        <f>VLOOKUP(D:D,[1]Munka2!$A:$B,2,FALSE)</f>
        <v>1</v>
      </c>
      <c r="M1826" s="5">
        <f>_xlfn.IFNA(Táblázat1[[#This Row],[Kész2020]],0)</f>
        <v>1</v>
      </c>
      <c r="N1826" s="5">
        <f>IF(Táblázat1[[#This Row],[Karb./akt.év]]-Táblázat1[[#This Row],[Kész2020_2]]&lt;0,0,Táblázat1[[#This Row],[Karb./akt.év]]-Táblázat1[[#This Row],[Kész2020_2]])</f>
        <v>1</v>
      </c>
    </row>
    <row r="1827" spans="1:14" hidden="1" x14ac:dyDescent="0.25">
      <c r="A1827" s="17" t="s">
        <v>8</v>
      </c>
      <c r="B1827" s="17" t="s">
        <v>1483</v>
      </c>
      <c r="C1827" s="17" t="s">
        <v>1741</v>
      </c>
      <c r="D1827" s="17" t="s">
        <v>3320</v>
      </c>
      <c r="E1827" s="17" t="s">
        <v>3743</v>
      </c>
      <c r="F1827" s="17" t="s">
        <v>3744</v>
      </c>
      <c r="G1827" s="17" t="s">
        <v>6392</v>
      </c>
      <c r="H1827" t="s">
        <v>7476</v>
      </c>
      <c r="I1827" s="1">
        <v>2</v>
      </c>
      <c r="J1827" s="1">
        <v>2</v>
      </c>
      <c r="K1827" t="s">
        <v>8102</v>
      </c>
      <c r="L1827" s="5">
        <f>VLOOKUP(D:D,[1]Munka2!$A:$B,2,FALSE)</f>
        <v>1</v>
      </c>
      <c r="M1827" s="5">
        <f>_xlfn.IFNA(Táblázat1[[#This Row],[Kész2020]],0)</f>
        <v>1</v>
      </c>
      <c r="N1827" s="5">
        <f>IF(Táblázat1[[#This Row],[Karb./akt.év]]-Táblázat1[[#This Row],[Kész2020_2]]&lt;0,0,Táblázat1[[#This Row],[Karb./akt.év]]-Táblázat1[[#This Row],[Kész2020_2]])</f>
        <v>1</v>
      </c>
    </row>
    <row r="1828" spans="1:14" hidden="1" x14ac:dyDescent="0.25">
      <c r="A1828" s="17" t="s">
        <v>8</v>
      </c>
      <c r="B1828" s="17" t="s">
        <v>193</v>
      </c>
      <c r="C1828" s="17" t="s">
        <v>1741</v>
      </c>
      <c r="D1828" s="17" t="s">
        <v>1933</v>
      </c>
      <c r="E1828" s="17" t="s">
        <v>3811</v>
      </c>
      <c r="F1828" s="17" t="s">
        <v>3812</v>
      </c>
      <c r="G1828" s="17" t="s">
        <v>5162</v>
      </c>
      <c r="H1828" t="s">
        <v>7476</v>
      </c>
      <c r="I1828" s="1">
        <v>2</v>
      </c>
      <c r="J1828" s="1">
        <v>2</v>
      </c>
      <c r="K1828" t="s">
        <v>6637</v>
      </c>
      <c r="L1828" s="5">
        <f>VLOOKUP(D:D,[1]Munka2!$A:$B,2,FALSE)</f>
        <v>1</v>
      </c>
      <c r="M1828" s="5">
        <f>_xlfn.IFNA(Táblázat1[[#This Row],[Kész2020]],0)</f>
        <v>1</v>
      </c>
      <c r="N1828" s="5">
        <f>IF(Táblázat1[[#This Row],[Karb./akt.év]]-Táblázat1[[#This Row],[Kész2020_2]]&lt;0,0,Táblázat1[[#This Row],[Karb./akt.év]]-Táblázat1[[#This Row],[Kész2020_2]])</f>
        <v>1</v>
      </c>
    </row>
    <row r="1829" spans="1:14" x14ac:dyDescent="0.25">
      <c r="A1829" s="17" t="s">
        <v>8</v>
      </c>
      <c r="B1829" s="17" t="s">
        <v>6690</v>
      </c>
      <c r="C1829" s="17" t="s">
        <v>1741</v>
      </c>
      <c r="D1829" s="17" t="s">
        <v>2362</v>
      </c>
      <c r="E1829" s="17" t="s">
        <v>3880</v>
      </c>
      <c r="F1829" s="17" t="s">
        <v>3755</v>
      </c>
      <c r="G1829" s="17" t="s">
        <v>6691</v>
      </c>
      <c r="H1829" t="s">
        <v>7476</v>
      </c>
      <c r="I1829" s="1">
        <v>2</v>
      </c>
      <c r="J1829" s="1">
        <v>2</v>
      </c>
      <c r="K1829" t="s">
        <v>6640</v>
      </c>
      <c r="L1829" s="5" t="e">
        <f>VLOOKUP(D:D,[1]Munka2!$A:$B,2,FALSE)</f>
        <v>#N/A</v>
      </c>
      <c r="M1829" s="5">
        <f>_xlfn.IFNA(Táblázat1[[#This Row],[Kész2020]],0)</f>
        <v>0</v>
      </c>
      <c r="N1829" s="5">
        <f>IF(Táblázat1[[#This Row],[Karb./akt.év]]-Táblázat1[[#This Row],[Kész2020_2]]&lt;0,0,Táblázat1[[#This Row],[Karb./akt.év]]-Táblázat1[[#This Row],[Kész2020_2]])</f>
        <v>2</v>
      </c>
    </row>
    <row r="1830" spans="1:14" hidden="1" x14ac:dyDescent="0.25">
      <c r="A1830" s="17" t="s">
        <v>8</v>
      </c>
      <c r="B1830" s="17" t="s">
        <v>1531</v>
      </c>
      <c r="C1830" s="17" t="s">
        <v>1741</v>
      </c>
      <c r="D1830" s="17" t="s">
        <v>3375</v>
      </c>
      <c r="E1830" s="17" t="s">
        <v>3790</v>
      </c>
      <c r="F1830" s="17" t="s">
        <v>3791</v>
      </c>
      <c r="G1830" s="17" t="s">
        <v>6438</v>
      </c>
      <c r="H1830" t="s">
        <v>7476</v>
      </c>
      <c r="I1830" s="1">
        <v>2</v>
      </c>
      <c r="J1830" s="1">
        <v>2</v>
      </c>
      <c r="K1830" t="s">
        <v>6784</v>
      </c>
      <c r="L1830" s="5">
        <f>VLOOKUP(D:D,[1]Munka2!$A:$B,2,FALSE)</f>
        <v>2</v>
      </c>
      <c r="M1830" s="5">
        <f>_xlfn.IFNA(Táblázat1[[#This Row],[Kész2020]],0)</f>
        <v>2</v>
      </c>
      <c r="N1830" s="5">
        <f>IF(Táblázat1[[#This Row],[Karb./akt.év]]-Táblázat1[[#This Row],[Kész2020_2]]&lt;0,0,Táblázat1[[#This Row],[Karb./akt.év]]-Táblázat1[[#This Row],[Kész2020_2]])</f>
        <v>0</v>
      </c>
    </row>
    <row r="1831" spans="1:14" hidden="1" x14ac:dyDescent="0.25">
      <c r="A1831" s="17" t="s">
        <v>8</v>
      </c>
      <c r="B1831" s="17" t="s">
        <v>1584</v>
      </c>
      <c r="C1831" s="17" t="s">
        <v>1741</v>
      </c>
      <c r="D1831" s="17" t="s">
        <v>3431</v>
      </c>
      <c r="E1831" s="17" t="s">
        <v>3736</v>
      </c>
      <c r="F1831" s="17" t="s">
        <v>3737</v>
      </c>
      <c r="G1831" s="17" t="s">
        <v>6486</v>
      </c>
      <c r="H1831" t="s">
        <v>7476</v>
      </c>
      <c r="I1831" s="1">
        <v>2</v>
      </c>
      <c r="J1831" s="1">
        <v>2</v>
      </c>
      <c r="K1831" t="s">
        <v>6638</v>
      </c>
      <c r="L1831" s="5">
        <f>VLOOKUP(D:D,[1]Munka2!$A:$B,2,FALSE)</f>
        <v>1</v>
      </c>
      <c r="M1831" s="5">
        <f>_xlfn.IFNA(Táblázat1[[#This Row],[Kész2020]],0)</f>
        <v>1</v>
      </c>
      <c r="N1831" s="5">
        <f>IF(Táblázat1[[#This Row],[Karb./akt.év]]-Táblázat1[[#This Row],[Kész2020_2]]&lt;0,0,Táblázat1[[#This Row],[Karb./akt.év]]-Táblázat1[[#This Row],[Kész2020_2]])</f>
        <v>1</v>
      </c>
    </row>
    <row r="1832" spans="1:14" hidden="1" x14ac:dyDescent="0.25">
      <c r="A1832" s="17" t="s">
        <v>8</v>
      </c>
      <c r="B1832" s="17" t="s">
        <v>1434</v>
      </c>
      <c r="C1832" s="17" t="s">
        <v>1741</v>
      </c>
      <c r="D1832" s="17" t="s">
        <v>3265</v>
      </c>
      <c r="E1832" s="17" t="s">
        <v>3683</v>
      </c>
      <c r="F1832" s="17" t="s">
        <v>3684</v>
      </c>
      <c r="G1832" s="17" t="s">
        <v>6339</v>
      </c>
      <c r="H1832" t="s">
        <v>7476</v>
      </c>
      <c r="I1832" s="1">
        <v>2</v>
      </c>
      <c r="J1832" s="1">
        <v>2</v>
      </c>
      <c r="K1832" t="s">
        <v>6784</v>
      </c>
      <c r="L1832" s="5">
        <f>VLOOKUP(D:D,[1]Munka2!$A:$B,2,FALSE)</f>
        <v>1</v>
      </c>
      <c r="M1832" s="5">
        <f>_xlfn.IFNA(Táblázat1[[#This Row],[Kész2020]],0)</f>
        <v>1</v>
      </c>
      <c r="N1832" s="5">
        <f>IF(Táblázat1[[#This Row],[Karb./akt.év]]-Táblázat1[[#This Row],[Kész2020_2]]&lt;0,0,Táblázat1[[#This Row],[Karb./akt.év]]-Táblázat1[[#This Row],[Kész2020_2]])</f>
        <v>1</v>
      </c>
    </row>
    <row r="1833" spans="1:14" x14ac:dyDescent="0.25">
      <c r="A1833" s="17" t="s">
        <v>8</v>
      </c>
      <c r="B1833" s="17" t="s">
        <v>352</v>
      </c>
      <c r="C1833" s="17" t="s">
        <v>1741</v>
      </c>
      <c r="D1833" s="17" t="s">
        <v>2106</v>
      </c>
      <c r="E1833" s="17" t="s">
        <v>3689</v>
      </c>
      <c r="F1833" s="17" t="s">
        <v>3690</v>
      </c>
      <c r="G1833" s="17" t="s">
        <v>5318</v>
      </c>
      <c r="H1833" t="s">
        <v>7476</v>
      </c>
      <c r="I1833" s="1">
        <v>2</v>
      </c>
      <c r="J1833" s="1">
        <v>2</v>
      </c>
      <c r="K1833" t="s">
        <v>6784</v>
      </c>
      <c r="L1833" s="5" t="e">
        <f>VLOOKUP(D:D,[1]Munka2!$A:$B,2,FALSE)</f>
        <v>#N/A</v>
      </c>
      <c r="M1833" s="5">
        <f>_xlfn.IFNA(Táblázat1[[#This Row],[Kész2020]],0)</f>
        <v>0</v>
      </c>
      <c r="N1833" s="5">
        <f>IF(Táblázat1[[#This Row],[Karb./akt.év]]-Táblázat1[[#This Row],[Kész2020_2]]&lt;0,0,Táblázat1[[#This Row],[Karb./akt.év]]-Táblázat1[[#This Row],[Kész2020_2]])</f>
        <v>2</v>
      </c>
    </row>
    <row r="1834" spans="1:14" hidden="1" x14ac:dyDescent="0.25">
      <c r="A1834" s="17" t="s">
        <v>8</v>
      </c>
      <c r="B1834" s="17" t="s">
        <v>649</v>
      </c>
      <c r="C1834" s="17" t="s">
        <v>1741</v>
      </c>
      <c r="D1834" s="17" t="s">
        <v>2424</v>
      </c>
      <c r="E1834" s="17" t="s">
        <v>3707</v>
      </c>
      <c r="F1834" s="17" t="s">
        <v>3708</v>
      </c>
      <c r="G1834" s="17" t="s">
        <v>5607</v>
      </c>
      <c r="H1834" t="s">
        <v>7476</v>
      </c>
      <c r="I1834" s="1">
        <v>2</v>
      </c>
      <c r="J1834" s="1">
        <v>2</v>
      </c>
      <c r="K1834" t="s">
        <v>6641</v>
      </c>
      <c r="L1834" s="5">
        <f>VLOOKUP(D:D,[1]Munka2!$A:$B,2,FALSE)</f>
        <v>1</v>
      </c>
      <c r="M1834" s="5">
        <f>_xlfn.IFNA(Táblázat1[[#This Row],[Kész2020]],0)</f>
        <v>1</v>
      </c>
      <c r="N1834" s="5">
        <f>IF(Táblázat1[[#This Row],[Karb./akt.év]]-Táblázat1[[#This Row],[Kész2020_2]]&lt;0,0,Táblázat1[[#This Row],[Karb./akt.év]]-Táblázat1[[#This Row],[Kész2020_2]])</f>
        <v>1</v>
      </c>
    </row>
    <row r="1835" spans="1:14" hidden="1" x14ac:dyDescent="0.25">
      <c r="A1835" s="17" t="s">
        <v>8</v>
      </c>
      <c r="B1835" s="17" t="s">
        <v>310</v>
      </c>
      <c r="C1835" s="17" t="s">
        <v>1741</v>
      </c>
      <c r="D1835" s="17" t="s">
        <v>2059</v>
      </c>
      <c r="E1835" s="17" t="s">
        <v>3818</v>
      </c>
      <c r="F1835" s="17" t="s">
        <v>3819</v>
      </c>
      <c r="G1835" s="17" t="s">
        <v>5277</v>
      </c>
      <c r="H1835" t="s">
        <v>7476</v>
      </c>
      <c r="I1835" s="1">
        <v>2</v>
      </c>
      <c r="J1835" s="1">
        <v>2</v>
      </c>
      <c r="K1835" t="s">
        <v>6634</v>
      </c>
      <c r="L1835" s="5">
        <f>VLOOKUP(D:D,[1]Munka2!$A:$B,2,FALSE)</f>
        <v>1</v>
      </c>
      <c r="M1835" s="5">
        <f>_xlfn.IFNA(Táblázat1[[#This Row],[Kész2020]],0)</f>
        <v>1</v>
      </c>
      <c r="N1835" s="5">
        <f>IF(Táblázat1[[#This Row],[Karb./akt.év]]-Táblázat1[[#This Row],[Kész2020_2]]&lt;0,0,Táblázat1[[#This Row],[Karb./akt.év]]-Táblázat1[[#This Row],[Kész2020_2]])</f>
        <v>1</v>
      </c>
    </row>
    <row r="1836" spans="1:14" hidden="1" x14ac:dyDescent="0.25">
      <c r="A1836" s="17" t="s">
        <v>8</v>
      </c>
      <c r="B1836" s="17" t="s">
        <v>692</v>
      </c>
      <c r="C1836" s="17" t="s">
        <v>1741</v>
      </c>
      <c r="D1836" s="17" t="s">
        <v>2467</v>
      </c>
      <c r="E1836" s="17" t="s">
        <v>4299</v>
      </c>
      <c r="F1836" s="17" t="s">
        <v>3598</v>
      </c>
      <c r="G1836" s="17" t="s">
        <v>5646</v>
      </c>
      <c r="H1836" t="s">
        <v>7476</v>
      </c>
      <c r="I1836" s="1">
        <v>2</v>
      </c>
      <c r="J1836" s="1">
        <v>2</v>
      </c>
      <c r="K1836" t="s">
        <v>8101</v>
      </c>
      <c r="L1836" s="5">
        <f>VLOOKUP(D:D,[1]Munka2!$A:$B,2,FALSE)</f>
        <v>1</v>
      </c>
      <c r="M1836" s="5">
        <f>_xlfn.IFNA(Táblázat1[[#This Row],[Kész2020]],0)</f>
        <v>1</v>
      </c>
      <c r="N1836" s="5">
        <f>IF(Táblázat1[[#This Row],[Karb./akt.év]]-Táblázat1[[#This Row],[Kész2020_2]]&lt;0,0,Táblázat1[[#This Row],[Karb./akt.év]]-Táblázat1[[#This Row],[Kész2020_2]])</f>
        <v>1</v>
      </c>
    </row>
    <row r="1837" spans="1:14" hidden="1" x14ac:dyDescent="0.25">
      <c r="A1837" s="17" t="s">
        <v>8</v>
      </c>
      <c r="B1837" s="17" t="s">
        <v>1145</v>
      </c>
      <c r="C1837" s="17" t="s">
        <v>1741</v>
      </c>
      <c r="D1837" s="17" t="s">
        <v>2943</v>
      </c>
      <c r="E1837" s="17" t="s">
        <v>4051</v>
      </c>
      <c r="F1837" s="17" t="s">
        <v>3598</v>
      </c>
      <c r="G1837" s="17" t="s">
        <v>6075</v>
      </c>
      <c r="H1837" t="s">
        <v>7476</v>
      </c>
      <c r="I1837" s="1">
        <v>2</v>
      </c>
      <c r="J1837" s="1">
        <v>2</v>
      </c>
      <c r="K1837" t="s">
        <v>6636</v>
      </c>
      <c r="L1837" s="5">
        <f>VLOOKUP(D:D,[1]Munka2!$A:$B,2,FALSE)</f>
        <v>1</v>
      </c>
      <c r="M1837" s="5">
        <f>_xlfn.IFNA(Táblázat1[[#This Row],[Kész2020]],0)</f>
        <v>1</v>
      </c>
      <c r="N1837" s="5">
        <f>IF(Táblázat1[[#This Row],[Karb./akt.év]]-Táblázat1[[#This Row],[Kész2020_2]]&lt;0,0,Táblázat1[[#This Row],[Karb./akt.év]]-Táblázat1[[#This Row],[Kész2020_2]])</f>
        <v>1</v>
      </c>
    </row>
    <row r="1838" spans="1:14" hidden="1" x14ac:dyDescent="0.25">
      <c r="A1838" s="17" t="s">
        <v>8</v>
      </c>
      <c r="B1838" s="17" t="s">
        <v>159</v>
      </c>
      <c r="C1838" s="17" t="s">
        <v>1741</v>
      </c>
      <c r="D1838" s="17" t="s">
        <v>1899</v>
      </c>
      <c r="E1838" s="17" t="s">
        <v>3761</v>
      </c>
      <c r="F1838" s="17" t="s">
        <v>3762</v>
      </c>
      <c r="G1838" s="17" t="s">
        <v>5129</v>
      </c>
      <c r="H1838" t="s">
        <v>7476</v>
      </c>
      <c r="I1838" s="1">
        <v>2</v>
      </c>
      <c r="J1838" s="1">
        <v>2</v>
      </c>
      <c r="K1838" t="s">
        <v>6633</v>
      </c>
      <c r="L1838" s="5">
        <f>VLOOKUP(D:D,[1]Munka2!$A:$B,2,FALSE)</f>
        <v>1</v>
      </c>
      <c r="M1838" s="5">
        <f>_xlfn.IFNA(Táblázat1[[#This Row],[Kész2020]],0)</f>
        <v>1</v>
      </c>
      <c r="N1838" s="5">
        <f>IF(Táblázat1[[#This Row],[Karb./akt.év]]-Táblázat1[[#This Row],[Kész2020_2]]&lt;0,0,Táblázat1[[#This Row],[Karb./akt.év]]-Táblázat1[[#This Row],[Kész2020_2]])</f>
        <v>1</v>
      </c>
    </row>
    <row r="1839" spans="1:14" hidden="1" x14ac:dyDescent="0.25">
      <c r="A1839" s="17" t="s">
        <v>8</v>
      </c>
      <c r="B1839" s="17" t="s">
        <v>1714</v>
      </c>
      <c r="C1839" s="17" t="s">
        <v>1741</v>
      </c>
      <c r="D1839" s="17" t="s">
        <v>3572</v>
      </c>
      <c r="E1839" s="17" t="s">
        <v>4035</v>
      </c>
      <c r="F1839" s="17" t="s">
        <v>3598</v>
      </c>
      <c r="G1839" s="17" t="s">
        <v>6607</v>
      </c>
      <c r="H1839" t="s">
        <v>7476</v>
      </c>
      <c r="I1839" s="1">
        <v>2</v>
      </c>
      <c r="J1839" s="1">
        <v>2</v>
      </c>
      <c r="K1839" t="s">
        <v>6785</v>
      </c>
      <c r="L1839" s="5">
        <f>VLOOKUP(D:D,[1]Munka2!$A:$B,2,FALSE)</f>
        <v>1</v>
      </c>
      <c r="M1839" s="5">
        <f>_xlfn.IFNA(Táblázat1[[#This Row],[Kész2020]],0)</f>
        <v>1</v>
      </c>
      <c r="N1839" s="5">
        <f>IF(Táblázat1[[#This Row],[Karb./akt.év]]-Táblázat1[[#This Row],[Kész2020_2]]&lt;0,0,Táblázat1[[#This Row],[Karb./akt.év]]-Táblázat1[[#This Row],[Kész2020_2]])</f>
        <v>1</v>
      </c>
    </row>
    <row r="1840" spans="1:14" hidden="1" x14ac:dyDescent="0.25">
      <c r="A1840" s="17" t="s">
        <v>8</v>
      </c>
      <c r="B1840" s="17" t="s">
        <v>219</v>
      </c>
      <c r="C1840" s="17" t="s">
        <v>1741</v>
      </c>
      <c r="D1840" s="17" t="s">
        <v>1962</v>
      </c>
      <c r="E1840" s="17" t="s">
        <v>3619</v>
      </c>
      <c r="F1840" s="17" t="s">
        <v>3620</v>
      </c>
      <c r="G1840" s="17" t="s">
        <v>5187</v>
      </c>
      <c r="H1840" t="s">
        <v>7476</v>
      </c>
      <c r="I1840" s="1">
        <v>2</v>
      </c>
      <c r="J1840" s="1">
        <v>2</v>
      </c>
      <c r="K1840" t="s">
        <v>6642</v>
      </c>
      <c r="L1840" s="5">
        <f>VLOOKUP(D:D,[1]Munka2!$A:$B,2,FALSE)</f>
        <v>1</v>
      </c>
      <c r="M1840" s="5">
        <f>_xlfn.IFNA(Táblázat1[[#This Row],[Kész2020]],0)</f>
        <v>1</v>
      </c>
      <c r="N1840" s="5">
        <f>IF(Táblázat1[[#This Row],[Karb./akt.év]]-Táblázat1[[#This Row],[Kész2020_2]]&lt;0,0,Táblázat1[[#This Row],[Karb./akt.év]]-Táblázat1[[#This Row],[Kész2020_2]])</f>
        <v>1</v>
      </c>
    </row>
    <row r="1841" spans="1:14" x14ac:dyDescent="0.25">
      <c r="A1841" s="17" t="s">
        <v>8</v>
      </c>
      <c r="B1841" s="17" t="s">
        <v>305</v>
      </c>
      <c r="C1841" s="17" t="s">
        <v>1741</v>
      </c>
      <c r="D1841" s="17" t="s">
        <v>2054</v>
      </c>
      <c r="E1841" s="17" t="s">
        <v>3928</v>
      </c>
      <c r="F1841" s="17" t="s">
        <v>3929</v>
      </c>
      <c r="G1841" s="17" t="s">
        <v>5272</v>
      </c>
      <c r="H1841" t="s">
        <v>7476</v>
      </c>
      <c r="I1841" s="1">
        <v>2</v>
      </c>
      <c r="J1841" s="1">
        <v>2</v>
      </c>
      <c r="K1841" t="s">
        <v>8102</v>
      </c>
      <c r="L1841" s="5" t="e">
        <f>VLOOKUP(D:D,[1]Munka2!$A:$B,2,FALSE)</f>
        <v>#N/A</v>
      </c>
      <c r="M1841" s="5">
        <f>_xlfn.IFNA(Táblázat1[[#This Row],[Kész2020]],0)</f>
        <v>0</v>
      </c>
      <c r="N1841" s="5">
        <f>IF(Táblázat1[[#This Row],[Karb./akt.év]]-Táblázat1[[#This Row],[Kész2020_2]]&lt;0,0,Táblázat1[[#This Row],[Karb./akt.év]]-Táblázat1[[#This Row],[Kész2020_2]])</f>
        <v>2</v>
      </c>
    </row>
    <row r="1842" spans="1:14" hidden="1" x14ac:dyDescent="0.25">
      <c r="A1842" s="17" t="s">
        <v>8</v>
      </c>
      <c r="B1842" s="17" t="s">
        <v>1330</v>
      </c>
      <c r="C1842" s="17" t="s">
        <v>1741</v>
      </c>
      <c r="D1842" s="17" t="s">
        <v>3145</v>
      </c>
      <c r="E1842" s="17" t="s">
        <v>4187</v>
      </c>
      <c r="F1842" s="17" t="s">
        <v>4188</v>
      </c>
      <c r="G1842" s="17" t="s">
        <v>6250</v>
      </c>
      <c r="H1842" t="s">
        <v>7476</v>
      </c>
      <c r="I1842" s="1">
        <v>2</v>
      </c>
      <c r="J1842" s="1">
        <v>2</v>
      </c>
      <c r="K1842" t="s">
        <v>6785</v>
      </c>
      <c r="L1842" s="5">
        <f>VLOOKUP(D:D,[1]Munka2!$A:$B,2,FALSE)</f>
        <v>1</v>
      </c>
      <c r="M1842" s="5">
        <f>_xlfn.IFNA(Táblázat1[[#This Row],[Kész2020]],0)</f>
        <v>1</v>
      </c>
      <c r="N1842" s="5">
        <f>IF(Táblázat1[[#This Row],[Karb./akt.év]]-Táblázat1[[#This Row],[Kész2020_2]]&lt;0,0,Táblázat1[[#This Row],[Karb./akt.év]]-Táblázat1[[#This Row],[Kész2020_2]])</f>
        <v>1</v>
      </c>
    </row>
    <row r="1843" spans="1:14" hidden="1" x14ac:dyDescent="0.25">
      <c r="A1843" s="17" t="s">
        <v>8</v>
      </c>
      <c r="B1843" s="17" t="s">
        <v>997</v>
      </c>
      <c r="C1843" s="17" t="s">
        <v>1741</v>
      </c>
      <c r="D1843" s="17" t="s">
        <v>2786</v>
      </c>
      <c r="E1843" s="17" t="s">
        <v>4061</v>
      </c>
      <c r="F1843" s="17" t="s">
        <v>4062</v>
      </c>
      <c r="G1843" s="17" t="s">
        <v>5926</v>
      </c>
      <c r="H1843" t="s">
        <v>7476</v>
      </c>
      <c r="I1843" s="1">
        <v>2</v>
      </c>
      <c r="J1843" s="1">
        <v>2</v>
      </c>
      <c r="K1843" t="s">
        <v>6636</v>
      </c>
      <c r="L1843" s="5">
        <f>VLOOKUP(D:D,[1]Munka2!$A:$B,2,FALSE)</f>
        <v>1</v>
      </c>
      <c r="M1843" s="5">
        <f>_xlfn.IFNA(Táblázat1[[#This Row],[Kész2020]],0)</f>
        <v>1</v>
      </c>
      <c r="N1843" s="5">
        <f>IF(Táblázat1[[#This Row],[Karb./akt.év]]-Táblázat1[[#This Row],[Kész2020_2]]&lt;0,0,Táblázat1[[#This Row],[Karb./akt.év]]-Táblázat1[[#This Row],[Kész2020_2]])</f>
        <v>1</v>
      </c>
    </row>
    <row r="1844" spans="1:14" hidden="1" x14ac:dyDescent="0.25">
      <c r="A1844" s="17" t="s">
        <v>8</v>
      </c>
      <c r="B1844" s="17" t="s">
        <v>685</v>
      </c>
      <c r="C1844" s="17" t="s">
        <v>1741</v>
      </c>
      <c r="D1844" s="17" t="s">
        <v>2460</v>
      </c>
      <c r="E1844" s="17" t="s">
        <v>4294</v>
      </c>
      <c r="F1844" s="17" t="s">
        <v>3664</v>
      </c>
      <c r="G1844" s="17" t="s">
        <v>5640</v>
      </c>
      <c r="H1844" t="s">
        <v>7476</v>
      </c>
      <c r="I1844" s="1">
        <v>2</v>
      </c>
      <c r="J1844" s="1">
        <v>2</v>
      </c>
      <c r="K1844" t="s">
        <v>6638</v>
      </c>
      <c r="L1844" s="5">
        <f>VLOOKUP(D:D,[1]Munka2!$A:$B,2,FALSE)</f>
        <v>1</v>
      </c>
      <c r="M1844" s="5">
        <f>_xlfn.IFNA(Táblázat1[[#This Row],[Kész2020]],0)</f>
        <v>1</v>
      </c>
      <c r="N1844" s="5">
        <f>IF(Táblázat1[[#This Row],[Karb./akt.év]]-Táblázat1[[#This Row],[Kész2020_2]]&lt;0,0,Táblázat1[[#This Row],[Karb./akt.év]]-Táblázat1[[#This Row],[Kész2020_2]])</f>
        <v>1</v>
      </c>
    </row>
    <row r="1845" spans="1:14" hidden="1" x14ac:dyDescent="0.25">
      <c r="A1845" s="17" t="s">
        <v>8</v>
      </c>
      <c r="B1845" s="17" t="s">
        <v>1398</v>
      </c>
      <c r="C1845" s="17" t="s">
        <v>1741</v>
      </c>
      <c r="D1845" s="17" t="s">
        <v>3225</v>
      </c>
      <c r="E1845" s="17" t="s">
        <v>3741</v>
      </c>
      <c r="F1845" s="17" t="s">
        <v>3742</v>
      </c>
      <c r="G1845" s="17" t="s">
        <v>6304</v>
      </c>
      <c r="H1845" t="s">
        <v>7476</v>
      </c>
      <c r="I1845" s="1">
        <v>2</v>
      </c>
      <c r="J1845" s="1">
        <v>2</v>
      </c>
      <c r="K1845" t="s">
        <v>7354</v>
      </c>
      <c r="L1845" s="5">
        <f>VLOOKUP(D:D,[1]Munka2!$A:$B,2,FALSE)</f>
        <v>1</v>
      </c>
      <c r="M1845" s="5">
        <f>_xlfn.IFNA(Táblázat1[[#This Row],[Kész2020]],0)</f>
        <v>1</v>
      </c>
      <c r="N1845" s="5">
        <f>IF(Táblázat1[[#This Row],[Karb./akt.év]]-Táblázat1[[#This Row],[Kész2020_2]]&lt;0,0,Táblázat1[[#This Row],[Karb./akt.év]]-Táblázat1[[#This Row],[Kész2020_2]])</f>
        <v>1</v>
      </c>
    </row>
    <row r="1846" spans="1:14" hidden="1" x14ac:dyDescent="0.25">
      <c r="A1846" s="17" t="s">
        <v>8</v>
      </c>
      <c r="B1846" s="17" t="s">
        <v>1207</v>
      </c>
      <c r="C1846" s="17" t="s">
        <v>1741</v>
      </c>
      <c r="D1846" s="17" t="s">
        <v>3013</v>
      </c>
      <c r="E1846" s="17" t="s">
        <v>4211</v>
      </c>
      <c r="F1846" s="17" t="s">
        <v>3755</v>
      </c>
      <c r="G1846" s="17" t="s">
        <v>6136</v>
      </c>
      <c r="H1846" t="s">
        <v>7476</v>
      </c>
      <c r="I1846" s="1">
        <v>2</v>
      </c>
      <c r="J1846" s="1">
        <v>2</v>
      </c>
      <c r="K1846" t="s">
        <v>6640</v>
      </c>
      <c r="L1846" s="5">
        <f>VLOOKUP(D:D,[1]Munka2!$A:$B,2,FALSE)</f>
        <v>1</v>
      </c>
      <c r="M1846" s="5">
        <f>_xlfn.IFNA(Táblázat1[[#This Row],[Kész2020]],0)</f>
        <v>1</v>
      </c>
      <c r="N1846" s="5">
        <f>IF(Táblázat1[[#This Row],[Karb./akt.év]]-Táblázat1[[#This Row],[Kész2020_2]]&lt;0,0,Táblázat1[[#This Row],[Karb./akt.év]]-Táblázat1[[#This Row],[Kész2020_2]])</f>
        <v>1</v>
      </c>
    </row>
    <row r="1847" spans="1:14" hidden="1" x14ac:dyDescent="0.25">
      <c r="A1847" s="17" t="s">
        <v>8</v>
      </c>
      <c r="B1847" s="17" t="s">
        <v>84</v>
      </c>
      <c r="C1847" s="17" t="s">
        <v>1741</v>
      </c>
      <c r="D1847" s="17" t="s">
        <v>1823</v>
      </c>
      <c r="E1847" s="17" t="s">
        <v>3667</v>
      </c>
      <c r="F1847" s="17" t="s">
        <v>3668</v>
      </c>
      <c r="G1847" s="17" t="s">
        <v>5055</v>
      </c>
      <c r="H1847" t="s">
        <v>7476</v>
      </c>
      <c r="I1847" s="1">
        <v>2</v>
      </c>
      <c r="J1847" s="1">
        <v>2</v>
      </c>
      <c r="K1847" t="s">
        <v>6637</v>
      </c>
      <c r="L1847" s="5">
        <f>VLOOKUP(D:D,[1]Munka2!$A:$B,2,FALSE)</f>
        <v>1</v>
      </c>
      <c r="M1847" s="5">
        <f>_xlfn.IFNA(Táblázat1[[#This Row],[Kész2020]],0)</f>
        <v>1</v>
      </c>
      <c r="N1847" s="5">
        <f>IF(Táblázat1[[#This Row],[Karb./akt.év]]-Táblázat1[[#This Row],[Kész2020_2]]&lt;0,0,Táblázat1[[#This Row],[Karb./akt.év]]-Táblázat1[[#This Row],[Kész2020_2]])</f>
        <v>1</v>
      </c>
    </row>
    <row r="1848" spans="1:14" hidden="1" x14ac:dyDescent="0.25">
      <c r="A1848" s="17" t="s">
        <v>8</v>
      </c>
      <c r="B1848" s="17" t="s">
        <v>1592</v>
      </c>
      <c r="C1848" s="17" t="s">
        <v>1741</v>
      </c>
      <c r="D1848" s="17" t="s">
        <v>3439</v>
      </c>
      <c r="E1848" s="17" t="s">
        <v>4421</v>
      </c>
      <c r="F1848" s="17" t="s">
        <v>3598</v>
      </c>
      <c r="G1848" s="17" t="s">
        <v>6492</v>
      </c>
      <c r="H1848" t="s">
        <v>7476</v>
      </c>
      <c r="I1848" s="1">
        <v>2</v>
      </c>
      <c r="J1848" s="1">
        <v>2</v>
      </c>
      <c r="K1848" t="s">
        <v>6636</v>
      </c>
      <c r="L1848" s="5">
        <f>VLOOKUP(D:D,[1]Munka2!$A:$B,2,FALSE)</f>
        <v>1</v>
      </c>
      <c r="M1848" s="5">
        <f>_xlfn.IFNA(Táblázat1[[#This Row],[Kész2020]],0)</f>
        <v>1</v>
      </c>
      <c r="N1848" s="5">
        <f>IF(Táblázat1[[#This Row],[Karb./akt.év]]-Táblázat1[[#This Row],[Kész2020_2]]&lt;0,0,Táblázat1[[#This Row],[Karb./akt.év]]-Táblázat1[[#This Row],[Kész2020_2]])</f>
        <v>1</v>
      </c>
    </row>
    <row r="1849" spans="1:14" hidden="1" x14ac:dyDescent="0.25">
      <c r="A1849" s="17" t="s">
        <v>8</v>
      </c>
      <c r="B1849" s="17" t="s">
        <v>828</v>
      </c>
      <c r="C1849" s="17" t="s">
        <v>1741</v>
      </c>
      <c r="D1849" s="17" t="s">
        <v>2606</v>
      </c>
      <c r="E1849" s="17" t="s">
        <v>3775</v>
      </c>
      <c r="F1849" s="17" t="s">
        <v>3776</v>
      </c>
      <c r="G1849" s="17" t="s">
        <v>5768</v>
      </c>
      <c r="H1849" t="s">
        <v>7476</v>
      </c>
      <c r="I1849" s="1">
        <v>2</v>
      </c>
      <c r="J1849" s="1">
        <v>2</v>
      </c>
      <c r="K1849" t="s">
        <v>6634</v>
      </c>
      <c r="L1849" s="5">
        <f>VLOOKUP(D:D,[1]Munka2!$A:$B,2,FALSE)</f>
        <v>1</v>
      </c>
      <c r="M1849" s="5">
        <f>_xlfn.IFNA(Táblázat1[[#This Row],[Kész2020]],0)</f>
        <v>1</v>
      </c>
      <c r="N1849" s="5">
        <f>IF(Táblázat1[[#This Row],[Karb./akt.év]]-Táblázat1[[#This Row],[Kész2020_2]]&lt;0,0,Táblázat1[[#This Row],[Karb./akt.év]]-Táblázat1[[#This Row],[Kész2020_2]])</f>
        <v>1</v>
      </c>
    </row>
    <row r="1850" spans="1:14" hidden="1" x14ac:dyDescent="0.25">
      <c r="A1850" s="17" t="s">
        <v>8</v>
      </c>
      <c r="B1850" s="17" t="s">
        <v>1537</v>
      </c>
      <c r="C1850" s="17" t="s">
        <v>1741</v>
      </c>
      <c r="D1850" s="17" t="s">
        <v>3381</v>
      </c>
      <c r="E1850" s="17" t="s">
        <v>3678</v>
      </c>
      <c r="F1850" s="17" t="s">
        <v>3679</v>
      </c>
      <c r="G1850" s="17" t="s">
        <v>6445</v>
      </c>
      <c r="H1850" t="s">
        <v>7476</v>
      </c>
      <c r="I1850" s="1">
        <v>2</v>
      </c>
      <c r="J1850" s="1">
        <v>2</v>
      </c>
      <c r="K1850" t="s">
        <v>6635</v>
      </c>
      <c r="L1850" s="5">
        <f>VLOOKUP(D:D,[1]Munka2!$A:$B,2,FALSE)</f>
        <v>1</v>
      </c>
      <c r="M1850" s="5">
        <f>_xlfn.IFNA(Táblázat1[[#This Row],[Kész2020]],0)</f>
        <v>1</v>
      </c>
      <c r="N1850" s="5">
        <f>IF(Táblázat1[[#This Row],[Karb./akt.év]]-Táblázat1[[#This Row],[Kész2020_2]]&lt;0,0,Táblázat1[[#This Row],[Karb./akt.év]]-Táblázat1[[#This Row],[Kész2020_2]])</f>
        <v>1</v>
      </c>
    </row>
    <row r="1851" spans="1:14" hidden="1" x14ac:dyDescent="0.25">
      <c r="A1851" s="17" t="s">
        <v>8</v>
      </c>
      <c r="B1851" s="17" t="s">
        <v>533</v>
      </c>
      <c r="C1851" s="17" t="s">
        <v>1741</v>
      </c>
      <c r="D1851" s="17" t="s">
        <v>2299</v>
      </c>
      <c r="E1851" s="17" t="s">
        <v>3840</v>
      </c>
      <c r="F1851" s="17" t="s">
        <v>3841</v>
      </c>
      <c r="G1851" s="17" t="s">
        <v>5492</v>
      </c>
      <c r="H1851" t="s">
        <v>7476</v>
      </c>
      <c r="I1851" s="1">
        <v>2</v>
      </c>
      <c r="J1851" s="1">
        <v>2</v>
      </c>
      <c r="K1851" t="s">
        <v>6635</v>
      </c>
      <c r="L1851" s="5">
        <f>VLOOKUP(D:D,[1]Munka2!$A:$B,2,FALSE)</f>
        <v>1</v>
      </c>
      <c r="M1851" s="5">
        <f>_xlfn.IFNA(Táblázat1[[#This Row],[Kész2020]],0)</f>
        <v>1</v>
      </c>
      <c r="N1851" s="5">
        <f>IF(Táblázat1[[#This Row],[Karb./akt.év]]-Táblázat1[[#This Row],[Kész2020_2]]&lt;0,0,Táblázat1[[#This Row],[Karb./akt.év]]-Táblázat1[[#This Row],[Kész2020_2]])</f>
        <v>1</v>
      </c>
    </row>
    <row r="1852" spans="1:14" hidden="1" x14ac:dyDescent="0.25">
      <c r="A1852" s="17" t="s">
        <v>8</v>
      </c>
      <c r="B1852" s="17" t="s">
        <v>1123</v>
      </c>
      <c r="C1852" s="17" t="s">
        <v>1741</v>
      </c>
      <c r="D1852" s="17" t="s">
        <v>2918</v>
      </c>
      <c r="E1852" s="17" t="s">
        <v>3824</v>
      </c>
      <c r="F1852" s="17" t="s">
        <v>3598</v>
      </c>
      <c r="G1852" s="17" t="s">
        <v>6052</v>
      </c>
      <c r="H1852" t="s">
        <v>7476</v>
      </c>
      <c r="I1852" s="1">
        <v>2</v>
      </c>
      <c r="J1852" s="1">
        <v>2</v>
      </c>
      <c r="K1852" t="s">
        <v>6785</v>
      </c>
      <c r="L1852" s="5">
        <f>VLOOKUP(D:D,[1]Munka2!$A:$B,2,FALSE)</f>
        <v>1</v>
      </c>
      <c r="M1852" s="5">
        <f>_xlfn.IFNA(Táblázat1[[#This Row],[Kész2020]],0)</f>
        <v>1</v>
      </c>
      <c r="N1852" s="5">
        <f>IF(Táblázat1[[#This Row],[Karb./akt.év]]-Táblázat1[[#This Row],[Kész2020_2]]&lt;0,0,Táblázat1[[#This Row],[Karb./akt.év]]-Táblázat1[[#This Row],[Kész2020_2]])</f>
        <v>1</v>
      </c>
    </row>
    <row r="1853" spans="1:14" hidden="1" x14ac:dyDescent="0.25">
      <c r="A1853" s="17" t="s">
        <v>8</v>
      </c>
      <c r="B1853" s="17" t="s">
        <v>938</v>
      </c>
      <c r="C1853" s="17" t="s">
        <v>1741</v>
      </c>
      <c r="D1853" s="17" t="s">
        <v>2724</v>
      </c>
      <c r="E1853" s="17" t="s">
        <v>4299</v>
      </c>
      <c r="F1853" s="17" t="s">
        <v>3598</v>
      </c>
      <c r="G1853" s="17" t="s">
        <v>5866</v>
      </c>
      <c r="H1853" t="s">
        <v>7476</v>
      </c>
      <c r="I1853" s="1">
        <v>2</v>
      </c>
      <c r="J1853" s="1">
        <v>2</v>
      </c>
      <c r="K1853" t="s">
        <v>8101</v>
      </c>
      <c r="L1853" s="5">
        <f>VLOOKUP(D:D,[1]Munka2!$A:$B,2,FALSE)</f>
        <v>1</v>
      </c>
      <c r="M1853" s="5">
        <f>_xlfn.IFNA(Táblázat1[[#This Row],[Kész2020]],0)</f>
        <v>1</v>
      </c>
      <c r="N1853" s="5">
        <f>IF(Táblázat1[[#This Row],[Karb./akt.év]]-Táblázat1[[#This Row],[Kész2020_2]]&lt;0,0,Táblázat1[[#This Row],[Karb./akt.év]]-Táblázat1[[#This Row],[Kész2020_2]])</f>
        <v>1</v>
      </c>
    </row>
    <row r="1854" spans="1:14" hidden="1" x14ac:dyDescent="0.25">
      <c r="A1854" s="17" t="s">
        <v>8</v>
      </c>
      <c r="B1854" s="17" t="s">
        <v>1357</v>
      </c>
      <c r="C1854" s="17" t="s">
        <v>1741</v>
      </c>
      <c r="D1854" s="17" t="s">
        <v>3175</v>
      </c>
      <c r="E1854" s="17" t="s">
        <v>4378</v>
      </c>
      <c r="F1854" s="17" t="s">
        <v>4379</v>
      </c>
      <c r="G1854" s="17" t="s">
        <v>6269</v>
      </c>
      <c r="H1854" t="s">
        <v>7476</v>
      </c>
      <c r="I1854" s="1">
        <v>2</v>
      </c>
      <c r="J1854" s="1">
        <v>2</v>
      </c>
      <c r="K1854" t="s">
        <v>6639</v>
      </c>
      <c r="L1854" s="5">
        <f>VLOOKUP(D:D,[1]Munka2!$A:$B,2,FALSE)</f>
        <v>1</v>
      </c>
      <c r="M1854" s="5">
        <f>_xlfn.IFNA(Táblázat1[[#This Row],[Kész2020]],0)</f>
        <v>1</v>
      </c>
      <c r="N1854" s="5">
        <f>IF(Táblázat1[[#This Row],[Karb./akt.év]]-Táblázat1[[#This Row],[Kész2020_2]]&lt;0,0,Táblázat1[[#This Row],[Karb./akt.év]]-Táblázat1[[#This Row],[Kész2020_2]])</f>
        <v>1</v>
      </c>
    </row>
    <row r="1855" spans="1:14" hidden="1" x14ac:dyDescent="0.25">
      <c r="A1855" s="17" t="s">
        <v>8</v>
      </c>
      <c r="B1855" s="17" t="s">
        <v>1169</v>
      </c>
      <c r="C1855" s="17" t="s">
        <v>1741</v>
      </c>
      <c r="D1855" s="17" t="s">
        <v>2967</v>
      </c>
      <c r="E1855" s="17" t="s">
        <v>4190</v>
      </c>
      <c r="F1855" s="17" t="s">
        <v>4191</v>
      </c>
      <c r="G1855" s="17" t="s">
        <v>6094</v>
      </c>
      <c r="H1855" t="s">
        <v>7476</v>
      </c>
      <c r="I1855" s="1">
        <v>2</v>
      </c>
      <c r="J1855" s="1">
        <v>2</v>
      </c>
      <c r="K1855" t="s">
        <v>7354</v>
      </c>
      <c r="L1855" s="5">
        <f>VLOOKUP(D:D,[1]Munka2!$A:$B,2,FALSE)</f>
        <v>1</v>
      </c>
      <c r="M1855" s="5">
        <f>_xlfn.IFNA(Táblázat1[[#This Row],[Kész2020]],0)</f>
        <v>1</v>
      </c>
      <c r="N1855" s="5">
        <f>IF(Táblázat1[[#This Row],[Karb./akt.év]]-Táblázat1[[#This Row],[Kész2020_2]]&lt;0,0,Táblázat1[[#This Row],[Karb./akt.év]]-Táblázat1[[#This Row],[Kész2020_2]])</f>
        <v>1</v>
      </c>
    </row>
    <row r="1856" spans="1:14" hidden="1" x14ac:dyDescent="0.25">
      <c r="A1856" s="17" t="s">
        <v>8</v>
      </c>
      <c r="B1856" s="17" t="s">
        <v>606</v>
      </c>
      <c r="C1856" s="17" t="s">
        <v>1741</v>
      </c>
      <c r="D1856" s="17" t="s">
        <v>2379</v>
      </c>
      <c r="E1856" s="17" t="s">
        <v>3625</v>
      </c>
      <c r="F1856" s="17" t="s">
        <v>3626</v>
      </c>
      <c r="G1856" s="17" t="s">
        <v>5567</v>
      </c>
      <c r="H1856" t="s">
        <v>7476</v>
      </c>
      <c r="I1856" s="1">
        <v>2</v>
      </c>
      <c r="J1856" s="1">
        <v>2</v>
      </c>
      <c r="K1856" t="s">
        <v>6642</v>
      </c>
      <c r="L1856" s="5">
        <f>VLOOKUP(D:D,[1]Munka2!$A:$B,2,FALSE)</f>
        <v>1</v>
      </c>
      <c r="M1856" s="5">
        <f>_xlfn.IFNA(Táblázat1[[#This Row],[Kész2020]],0)</f>
        <v>1</v>
      </c>
      <c r="N1856" s="5">
        <f>IF(Táblázat1[[#This Row],[Karb./akt.év]]-Táblázat1[[#This Row],[Kész2020_2]]&lt;0,0,Táblázat1[[#This Row],[Karb./akt.év]]-Táblázat1[[#This Row],[Kész2020_2]])</f>
        <v>1</v>
      </c>
    </row>
    <row r="1857" spans="1:14" hidden="1" x14ac:dyDescent="0.25">
      <c r="A1857" s="17" t="s">
        <v>8</v>
      </c>
      <c r="B1857" s="17" t="s">
        <v>7225</v>
      </c>
      <c r="C1857" s="17" t="s">
        <v>1741</v>
      </c>
      <c r="D1857" s="17" t="s">
        <v>7242</v>
      </c>
      <c r="E1857" s="17" t="s">
        <v>4017</v>
      </c>
      <c r="F1857" s="17" t="s">
        <v>4018</v>
      </c>
      <c r="G1857" s="17" t="s">
        <v>7265</v>
      </c>
      <c r="H1857" t="s">
        <v>7476</v>
      </c>
      <c r="I1857" s="1">
        <v>2</v>
      </c>
      <c r="J1857" s="1">
        <v>2</v>
      </c>
      <c r="K1857" t="s">
        <v>6634</v>
      </c>
      <c r="L1857" s="5">
        <f>VLOOKUP(D:D,[1]Munka2!$A:$B,2,FALSE)</f>
        <v>1</v>
      </c>
      <c r="M1857" s="5">
        <f>_xlfn.IFNA(Táblázat1[[#This Row],[Kész2020]],0)</f>
        <v>1</v>
      </c>
      <c r="N1857" s="5">
        <f>IF(Táblázat1[[#This Row],[Karb./akt.év]]-Táblázat1[[#This Row],[Kész2020_2]]&lt;0,0,Táblázat1[[#This Row],[Karb./akt.év]]-Táblázat1[[#This Row],[Kész2020_2]])</f>
        <v>1</v>
      </c>
    </row>
    <row r="1858" spans="1:14" hidden="1" x14ac:dyDescent="0.25">
      <c r="A1858" s="17" t="s">
        <v>8</v>
      </c>
      <c r="B1858" s="17" t="s">
        <v>1728</v>
      </c>
      <c r="C1858" s="17" t="s">
        <v>1741</v>
      </c>
      <c r="D1858" s="17" t="s">
        <v>3588</v>
      </c>
      <c r="E1858" s="17" t="s">
        <v>3915</v>
      </c>
      <c r="F1858" s="17" t="s">
        <v>3598</v>
      </c>
      <c r="G1858" s="17" t="s">
        <v>6623</v>
      </c>
      <c r="H1858" t="s">
        <v>7476</v>
      </c>
      <c r="I1858" s="1">
        <v>2</v>
      </c>
      <c r="J1858" s="1">
        <v>2</v>
      </c>
      <c r="K1858" t="s">
        <v>6641</v>
      </c>
      <c r="L1858" s="5">
        <f>VLOOKUP(D:D,[1]Munka2!$A:$B,2,FALSE)</f>
        <v>1</v>
      </c>
      <c r="M1858" s="5">
        <f>_xlfn.IFNA(Táblázat1[[#This Row],[Kész2020]],0)</f>
        <v>1</v>
      </c>
      <c r="N1858" s="5">
        <f>IF(Táblázat1[[#This Row],[Karb./akt.év]]-Táblázat1[[#This Row],[Kész2020_2]]&lt;0,0,Táblázat1[[#This Row],[Karb./akt.év]]-Táblázat1[[#This Row],[Kész2020_2]])</f>
        <v>1</v>
      </c>
    </row>
    <row r="1859" spans="1:14" hidden="1" x14ac:dyDescent="0.25">
      <c r="A1859" s="17" t="s">
        <v>8</v>
      </c>
      <c r="B1859" s="17" t="s">
        <v>153</v>
      </c>
      <c r="C1859" s="17" t="s">
        <v>1741</v>
      </c>
      <c r="D1859" s="17" t="s">
        <v>1893</v>
      </c>
      <c r="E1859" s="17" t="s">
        <v>3756</v>
      </c>
      <c r="F1859" s="17" t="s">
        <v>3679</v>
      </c>
      <c r="G1859" s="17" t="s">
        <v>5125</v>
      </c>
      <c r="H1859" t="s">
        <v>7476</v>
      </c>
      <c r="I1859" s="1">
        <v>2</v>
      </c>
      <c r="J1859" s="1">
        <v>2</v>
      </c>
      <c r="K1859" t="s">
        <v>6635</v>
      </c>
      <c r="L1859" s="5">
        <f>VLOOKUP(D:D,[1]Munka2!$A:$B,2,FALSE)</f>
        <v>1</v>
      </c>
      <c r="M1859" s="5">
        <f>_xlfn.IFNA(Táblázat1[[#This Row],[Kész2020]],0)</f>
        <v>1</v>
      </c>
      <c r="N1859" s="5">
        <f>IF(Táblázat1[[#This Row],[Karb./akt.év]]-Táblázat1[[#This Row],[Kész2020_2]]&lt;0,0,Táblázat1[[#This Row],[Karb./akt.év]]-Táblázat1[[#This Row],[Kész2020_2]])</f>
        <v>1</v>
      </c>
    </row>
    <row r="1860" spans="1:14" hidden="1" x14ac:dyDescent="0.25">
      <c r="A1860" s="17" t="s">
        <v>8</v>
      </c>
      <c r="B1860" s="17" t="s">
        <v>1323</v>
      </c>
      <c r="C1860" s="17" t="s">
        <v>1741</v>
      </c>
      <c r="D1860" s="17" t="s">
        <v>3139</v>
      </c>
      <c r="E1860" s="17" t="s">
        <v>3749</v>
      </c>
      <c r="F1860" s="17" t="s">
        <v>3750</v>
      </c>
      <c r="G1860" s="17" t="s">
        <v>6242</v>
      </c>
      <c r="H1860" t="s">
        <v>7476</v>
      </c>
      <c r="I1860" s="1">
        <v>2</v>
      </c>
      <c r="J1860" s="1">
        <v>2</v>
      </c>
      <c r="K1860" t="s">
        <v>8103</v>
      </c>
      <c r="L1860" s="5">
        <f>VLOOKUP(D:D,[1]Munka2!$A:$B,2,FALSE)</f>
        <v>1</v>
      </c>
      <c r="M1860" s="5">
        <f>_xlfn.IFNA(Táblázat1[[#This Row],[Kész2020]],0)</f>
        <v>1</v>
      </c>
      <c r="N1860" s="5">
        <f>IF(Táblázat1[[#This Row],[Karb./akt.év]]-Táblázat1[[#This Row],[Kész2020_2]]&lt;0,0,Táblázat1[[#This Row],[Karb./akt.év]]-Táblázat1[[#This Row],[Kész2020_2]])</f>
        <v>1</v>
      </c>
    </row>
    <row r="1861" spans="1:14" hidden="1" x14ac:dyDescent="0.25">
      <c r="A1861" s="17" t="s">
        <v>8</v>
      </c>
      <c r="B1861" s="17" t="s">
        <v>470</v>
      </c>
      <c r="C1861" s="17" t="s">
        <v>1741</v>
      </c>
      <c r="D1861" s="17" t="s">
        <v>2228</v>
      </c>
      <c r="E1861" s="17" t="s">
        <v>3802</v>
      </c>
      <c r="F1861" s="17" t="s">
        <v>3803</v>
      </c>
      <c r="G1861" s="17" t="s">
        <v>5434</v>
      </c>
      <c r="H1861" t="s">
        <v>7476</v>
      </c>
      <c r="I1861" s="1">
        <v>2</v>
      </c>
      <c r="J1861" s="1">
        <v>2</v>
      </c>
      <c r="K1861" t="s">
        <v>6635</v>
      </c>
      <c r="L1861" s="5">
        <f>VLOOKUP(D:D,[1]Munka2!$A:$B,2,FALSE)</f>
        <v>1</v>
      </c>
      <c r="M1861" s="5">
        <f>_xlfn.IFNA(Táblázat1[[#This Row],[Kész2020]],0)</f>
        <v>1</v>
      </c>
      <c r="N1861" s="5">
        <f>IF(Táblázat1[[#This Row],[Karb./akt.év]]-Táblázat1[[#This Row],[Kész2020_2]]&lt;0,0,Táblázat1[[#This Row],[Karb./akt.év]]-Táblázat1[[#This Row],[Kész2020_2]])</f>
        <v>1</v>
      </c>
    </row>
    <row r="1862" spans="1:14" hidden="1" x14ac:dyDescent="0.25">
      <c r="A1862" s="17" t="s">
        <v>8</v>
      </c>
      <c r="B1862" s="17" t="s">
        <v>286</v>
      </c>
      <c r="C1862" s="17" t="s">
        <v>1741</v>
      </c>
      <c r="D1862" s="17" t="s">
        <v>2035</v>
      </c>
      <c r="E1862" s="17" t="s">
        <v>3641</v>
      </c>
      <c r="F1862" s="17" t="s">
        <v>3642</v>
      </c>
      <c r="G1862" s="17" t="s">
        <v>5254</v>
      </c>
      <c r="H1862" t="s">
        <v>7476</v>
      </c>
      <c r="I1862" s="1">
        <v>2</v>
      </c>
      <c r="J1862" s="1">
        <v>2</v>
      </c>
      <c r="K1862" t="s">
        <v>7354</v>
      </c>
      <c r="L1862" s="5">
        <f>VLOOKUP(D:D,[1]Munka2!$A:$B,2,FALSE)</f>
        <v>1</v>
      </c>
      <c r="M1862" s="5">
        <f>_xlfn.IFNA(Táblázat1[[#This Row],[Kész2020]],0)</f>
        <v>1</v>
      </c>
      <c r="N1862" s="5">
        <f>IF(Táblázat1[[#This Row],[Karb./akt.év]]-Táblázat1[[#This Row],[Kész2020_2]]&lt;0,0,Táblázat1[[#This Row],[Karb./akt.év]]-Táblázat1[[#This Row],[Kész2020_2]])</f>
        <v>1</v>
      </c>
    </row>
    <row r="1863" spans="1:14" hidden="1" x14ac:dyDescent="0.25">
      <c r="A1863" s="17" t="s">
        <v>8</v>
      </c>
      <c r="B1863" s="17" t="s">
        <v>1096</v>
      </c>
      <c r="C1863" s="17" t="s">
        <v>1741</v>
      </c>
      <c r="D1863" s="17" t="s">
        <v>2888</v>
      </c>
      <c r="E1863" s="17" t="s">
        <v>4392</v>
      </c>
      <c r="F1863" s="17" t="s">
        <v>3598</v>
      </c>
      <c r="G1863" s="17" t="s">
        <v>6024</v>
      </c>
      <c r="H1863" t="s">
        <v>7476</v>
      </c>
      <c r="I1863" s="1">
        <v>2</v>
      </c>
      <c r="J1863" s="1">
        <v>2</v>
      </c>
      <c r="K1863" t="s">
        <v>6785</v>
      </c>
      <c r="L1863" s="5">
        <f>VLOOKUP(D:D,[1]Munka2!$A:$B,2,FALSE)</f>
        <v>1</v>
      </c>
      <c r="M1863" s="5">
        <f>_xlfn.IFNA(Táblázat1[[#This Row],[Kész2020]],0)</f>
        <v>1</v>
      </c>
      <c r="N1863" s="5">
        <f>IF(Táblázat1[[#This Row],[Karb./akt.év]]-Táblázat1[[#This Row],[Kész2020_2]]&lt;0,0,Táblázat1[[#This Row],[Karb./akt.év]]-Táblázat1[[#This Row],[Kész2020_2]])</f>
        <v>1</v>
      </c>
    </row>
    <row r="1864" spans="1:14" hidden="1" x14ac:dyDescent="0.25">
      <c r="A1864" s="17" t="s">
        <v>8</v>
      </c>
      <c r="B1864" s="17" t="s">
        <v>74</v>
      </c>
      <c r="C1864" s="17" t="s">
        <v>1741</v>
      </c>
      <c r="D1864" s="17" t="s">
        <v>1812</v>
      </c>
      <c r="E1864" s="17" t="s">
        <v>3661</v>
      </c>
      <c r="F1864" s="17" t="s">
        <v>3662</v>
      </c>
      <c r="G1864" s="17" t="s">
        <v>5048</v>
      </c>
      <c r="H1864" t="s">
        <v>7476</v>
      </c>
      <c r="I1864" s="1">
        <v>2</v>
      </c>
      <c r="J1864" s="1">
        <v>2</v>
      </c>
      <c r="K1864" t="s">
        <v>6637</v>
      </c>
      <c r="L1864" s="5">
        <f>VLOOKUP(D:D,[1]Munka2!$A:$B,2,FALSE)</f>
        <v>1</v>
      </c>
      <c r="M1864" s="5">
        <f>_xlfn.IFNA(Táblázat1[[#This Row],[Kész2020]],0)</f>
        <v>1</v>
      </c>
      <c r="N1864" s="5">
        <f>IF(Táblázat1[[#This Row],[Karb./akt.év]]-Táblázat1[[#This Row],[Kész2020_2]]&lt;0,0,Táblázat1[[#This Row],[Karb./akt.év]]-Táblázat1[[#This Row],[Kész2020_2]])</f>
        <v>1</v>
      </c>
    </row>
    <row r="1865" spans="1:14" hidden="1" x14ac:dyDescent="0.25">
      <c r="A1865" s="17" t="s">
        <v>8</v>
      </c>
      <c r="B1865" s="17" t="s">
        <v>1734</v>
      </c>
      <c r="C1865" s="17" t="s">
        <v>1741</v>
      </c>
      <c r="D1865" s="17" t="s">
        <v>3594</v>
      </c>
      <c r="E1865" s="17" t="s">
        <v>3625</v>
      </c>
      <c r="F1865" s="17" t="s">
        <v>3626</v>
      </c>
      <c r="G1865" s="17" t="s">
        <v>6628</v>
      </c>
      <c r="H1865" t="s">
        <v>7476</v>
      </c>
      <c r="I1865" s="1">
        <v>2</v>
      </c>
      <c r="J1865" s="1">
        <v>2</v>
      </c>
      <c r="K1865" t="s">
        <v>6642</v>
      </c>
      <c r="L1865" s="5">
        <f>VLOOKUP(D:D,[1]Munka2!$A:$B,2,FALSE)</f>
        <v>1</v>
      </c>
      <c r="M1865" s="5">
        <f>_xlfn.IFNA(Táblázat1[[#This Row],[Kész2020]],0)</f>
        <v>1</v>
      </c>
      <c r="N1865" s="5">
        <f>IF(Táblázat1[[#This Row],[Karb./akt.év]]-Táblázat1[[#This Row],[Kész2020_2]]&lt;0,0,Táblázat1[[#This Row],[Karb./akt.év]]-Táblázat1[[#This Row],[Kész2020_2]])</f>
        <v>1</v>
      </c>
    </row>
    <row r="1866" spans="1:14" hidden="1" x14ac:dyDescent="0.25">
      <c r="A1866" s="17" t="s">
        <v>8</v>
      </c>
      <c r="B1866" s="17" t="s">
        <v>1587</v>
      </c>
      <c r="C1866" s="17" t="s">
        <v>1741</v>
      </c>
      <c r="D1866" s="17" t="s">
        <v>3434</v>
      </c>
      <c r="E1866" s="17" t="s">
        <v>3893</v>
      </c>
      <c r="F1866" s="17" t="s">
        <v>3664</v>
      </c>
      <c r="G1866" s="17" t="s">
        <v>6487</v>
      </c>
      <c r="H1866" t="s">
        <v>7476</v>
      </c>
      <c r="I1866" s="1">
        <v>2</v>
      </c>
      <c r="J1866" s="1">
        <v>2</v>
      </c>
      <c r="K1866" t="s">
        <v>6638</v>
      </c>
      <c r="L1866" s="5">
        <f>VLOOKUP(D:D,[1]Munka2!$A:$B,2,FALSE)</f>
        <v>1</v>
      </c>
      <c r="M1866" s="5">
        <f>_xlfn.IFNA(Táblázat1[[#This Row],[Kész2020]],0)</f>
        <v>1</v>
      </c>
      <c r="N1866" s="5">
        <f>IF(Táblázat1[[#This Row],[Karb./akt.év]]-Táblázat1[[#This Row],[Kész2020_2]]&lt;0,0,Táblázat1[[#This Row],[Karb./akt.év]]-Táblázat1[[#This Row],[Kész2020_2]])</f>
        <v>1</v>
      </c>
    </row>
    <row r="1867" spans="1:14" hidden="1" x14ac:dyDescent="0.25">
      <c r="A1867" s="17" t="s">
        <v>8</v>
      </c>
      <c r="B1867" s="17" t="s">
        <v>1311</v>
      </c>
      <c r="C1867" s="17" t="s">
        <v>1741</v>
      </c>
      <c r="D1867" s="17" t="s">
        <v>3126</v>
      </c>
      <c r="E1867" s="17" t="s">
        <v>4574</v>
      </c>
      <c r="F1867" s="17" t="s">
        <v>3681</v>
      </c>
      <c r="G1867" s="17" t="s">
        <v>6230</v>
      </c>
      <c r="H1867" t="s">
        <v>7476</v>
      </c>
      <c r="I1867" s="1">
        <v>2</v>
      </c>
      <c r="J1867" s="1">
        <v>2</v>
      </c>
      <c r="K1867" t="s">
        <v>6637</v>
      </c>
      <c r="L1867" s="5">
        <f>VLOOKUP(D:D,[1]Munka2!$A:$B,2,FALSE)</f>
        <v>1</v>
      </c>
      <c r="M1867" s="5">
        <f>_xlfn.IFNA(Táblázat1[[#This Row],[Kész2020]],0)</f>
        <v>1</v>
      </c>
      <c r="N1867" s="5">
        <f>IF(Táblázat1[[#This Row],[Karb./akt.év]]-Táblázat1[[#This Row],[Kész2020_2]]&lt;0,0,Táblázat1[[#This Row],[Karb./akt.év]]-Táblázat1[[#This Row],[Kész2020_2]])</f>
        <v>1</v>
      </c>
    </row>
    <row r="1868" spans="1:14" hidden="1" x14ac:dyDescent="0.25">
      <c r="A1868" s="17" t="s">
        <v>8</v>
      </c>
      <c r="B1868" s="17" t="s">
        <v>1648</v>
      </c>
      <c r="C1868" s="17" t="s">
        <v>1741</v>
      </c>
      <c r="D1868" s="17" t="s">
        <v>3503</v>
      </c>
      <c r="E1868" s="17" t="s">
        <v>3820</v>
      </c>
      <c r="F1868" s="17" t="s">
        <v>3821</v>
      </c>
      <c r="G1868" s="17" t="s">
        <v>6542</v>
      </c>
      <c r="H1868" t="s">
        <v>7476</v>
      </c>
      <c r="I1868" s="1">
        <v>2</v>
      </c>
      <c r="J1868" s="1">
        <v>2</v>
      </c>
      <c r="K1868" t="s">
        <v>6638</v>
      </c>
      <c r="L1868" s="5">
        <f>VLOOKUP(D:D,[1]Munka2!$A:$B,2,FALSE)</f>
        <v>1</v>
      </c>
      <c r="M1868" s="5">
        <f>_xlfn.IFNA(Táblázat1[[#This Row],[Kész2020]],0)</f>
        <v>1</v>
      </c>
      <c r="N1868" s="5">
        <f>IF(Táblázat1[[#This Row],[Karb./akt.év]]-Táblázat1[[#This Row],[Kész2020_2]]&lt;0,0,Táblázat1[[#This Row],[Karb./akt.év]]-Táblázat1[[#This Row],[Kész2020_2]])</f>
        <v>1</v>
      </c>
    </row>
    <row r="1869" spans="1:14" hidden="1" x14ac:dyDescent="0.25">
      <c r="A1869" s="17" t="s">
        <v>8</v>
      </c>
      <c r="B1869" s="17" t="s">
        <v>1700</v>
      </c>
      <c r="C1869" s="17" t="s">
        <v>1741</v>
      </c>
      <c r="D1869" s="17" t="s">
        <v>3557</v>
      </c>
      <c r="E1869" s="17" t="s">
        <v>4279</v>
      </c>
      <c r="F1869" s="17" t="s">
        <v>3598</v>
      </c>
      <c r="G1869" s="17" t="s">
        <v>6596</v>
      </c>
      <c r="H1869" t="s">
        <v>7476</v>
      </c>
      <c r="I1869" s="1">
        <v>2</v>
      </c>
      <c r="J1869" s="1">
        <v>2</v>
      </c>
      <c r="K1869" t="s">
        <v>7017</v>
      </c>
      <c r="L1869" s="5">
        <f>VLOOKUP(D:D,[1]Munka2!$A:$B,2,FALSE)</f>
        <v>1</v>
      </c>
      <c r="M1869" s="5">
        <f>_xlfn.IFNA(Táblázat1[[#This Row],[Kész2020]],0)</f>
        <v>1</v>
      </c>
      <c r="N1869" s="5">
        <f>IF(Táblázat1[[#This Row],[Karb./akt.év]]-Táblázat1[[#This Row],[Kész2020_2]]&lt;0,0,Táblázat1[[#This Row],[Karb./akt.év]]-Táblázat1[[#This Row],[Kész2020_2]])</f>
        <v>1</v>
      </c>
    </row>
    <row r="1870" spans="1:14" hidden="1" x14ac:dyDescent="0.25">
      <c r="A1870" s="17" t="s">
        <v>8</v>
      </c>
      <c r="B1870" s="17" t="s">
        <v>465</v>
      </c>
      <c r="C1870" s="17" t="s">
        <v>1741</v>
      </c>
      <c r="D1870" s="17" t="s">
        <v>2222</v>
      </c>
      <c r="E1870" s="17" t="s">
        <v>3932</v>
      </c>
      <c r="F1870" s="17" t="s">
        <v>3933</v>
      </c>
      <c r="G1870" s="17" t="s">
        <v>5429</v>
      </c>
      <c r="H1870" t="s">
        <v>7476</v>
      </c>
      <c r="I1870" s="1">
        <v>2</v>
      </c>
      <c r="J1870" s="1">
        <v>2</v>
      </c>
      <c r="K1870" t="s">
        <v>6634</v>
      </c>
      <c r="L1870" s="5">
        <f>VLOOKUP(D:D,[1]Munka2!$A:$B,2,FALSE)</f>
        <v>2</v>
      </c>
      <c r="M1870" s="5">
        <f>_xlfn.IFNA(Táblázat1[[#This Row],[Kész2020]],0)</f>
        <v>2</v>
      </c>
      <c r="N1870" s="5">
        <f>IF(Táblázat1[[#This Row],[Karb./akt.év]]-Táblázat1[[#This Row],[Kész2020_2]]&lt;0,0,Táblázat1[[#This Row],[Karb./akt.év]]-Táblázat1[[#This Row],[Kész2020_2]])</f>
        <v>0</v>
      </c>
    </row>
    <row r="1871" spans="1:14" hidden="1" x14ac:dyDescent="0.25">
      <c r="A1871" s="17" t="s">
        <v>8</v>
      </c>
      <c r="B1871" s="17" t="s">
        <v>1194</v>
      </c>
      <c r="C1871" s="17" t="s">
        <v>1741</v>
      </c>
      <c r="D1871" s="17" t="s">
        <v>2998</v>
      </c>
      <c r="E1871" s="17" t="s">
        <v>4211</v>
      </c>
      <c r="F1871" s="17" t="s">
        <v>3755</v>
      </c>
      <c r="G1871" s="17" t="s">
        <v>6122</v>
      </c>
      <c r="H1871" t="s">
        <v>7476</v>
      </c>
      <c r="I1871" s="1">
        <v>2</v>
      </c>
      <c r="J1871" s="1">
        <v>2</v>
      </c>
      <c r="K1871" t="s">
        <v>6640</v>
      </c>
      <c r="L1871" s="5">
        <f>VLOOKUP(D:D,[1]Munka2!$A:$B,2,FALSE)</f>
        <v>1</v>
      </c>
      <c r="M1871" s="5">
        <f>_xlfn.IFNA(Táblázat1[[#This Row],[Kész2020]],0)</f>
        <v>1</v>
      </c>
      <c r="N1871" s="5">
        <f>IF(Táblázat1[[#This Row],[Karb./akt.év]]-Táblázat1[[#This Row],[Kész2020_2]]&lt;0,0,Táblázat1[[#This Row],[Karb./akt.év]]-Táblázat1[[#This Row],[Kész2020_2]])</f>
        <v>1</v>
      </c>
    </row>
    <row r="1872" spans="1:14" hidden="1" x14ac:dyDescent="0.25">
      <c r="A1872" s="17" t="s">
        <v>8</v>
      </c>
      <c r="B1872" s="17" t="s">
        <v>884</v>
      </c>
      <c r="C1872" s="17" t="s">
        <v>1741</v>
      </c>
      <c r="D1872" s="17" t="s">
        <v>2668</v>
      </c>
      <c r="E1872" s="17" t="s">
        <v>4355</v>
      </c>
      <c r="F1872" s="17" t="s">
        <v>4356</v>
      </c>
      <c r="G1872" s="17" t="s">
        <v>5818</v>
      </c>
      <c r="H1872" t="s">
        <v>7476</v>
      </c>
      <c r="I1872" s="1">
        <v>2</v>
      </c>
      <c r="J1872" s="1">
        <v>2</v>
      </c>
      <c r="K1872" t="s">
        <v>6637</v>
      </c>
      <c r="L1872" s="5">
        <f>VLOOKUP(D:D,[1]Munka2!$A:$B,2,FALSE)</f>
        <v>1</v>
      </c>
      <c r="M1872" s="5">
        <f>_xlfn.IFNA(Táblázat1[[#This Row],[Kész2020]],0)</f>
        <v>1</v>
      </c>
      <c r="N1872" s="5">
        <f>IF(Táblázat1[[#This Row],[Karb./akt.év]]-Táblázat1[[#This Row],[Kész2020_2]]&lt;0,0,Táblázat1[[#This Row],[Karb./akt.év]]-Táblázat1[[#This Row],[Kész2020_2]])</f>
        <v>1</v>
      </c>
    </row>
    <row r="1873" spans="1:14" hidden="1" x14ac:dyDescent="0.25">
      <c r="A1873" s="17" t="s">
        <v>8</v>
      </c>
      <c r="B1873" s="17" t="s">
        <v>1246</v>
      </c>
      <c r="C1873" s="17" t="s">
        <v>1741</v>
      </c>
      <c r="D1873" s="17" t="s">
        <v>3057</v>
      </c>
      <c r="E1873" s="17" t="s">
        <v>3773</v>
      </c>
      <c r="F1873" s="17" t="s">
        <v>3774</v>
      </c>
      <c r="G1873" s="17" t="s">
        <v>6173</v>
      </c>
      <c r="H1873" t="s">
        <v>7476</v>
      </c>
      <c r="I1873" s="1">
        <v>2</v>
      </c>
      <c r="J1873" s="1">
        <v>2</v>
      </c>
      <c r="K1873" t="s">
        <v>7014</v>
      </c>
      <c r="L1873" s="5">
        <f>VLOOKUP(D:D,[1]Munka2!$A:$B,2,FALSE)</f>
        <v>1</v>
      </c>
      <c r="M1873" s="5">
        <f>_xlfn.IFNA(Táblázat1[[#This Row],[Kész2020]],0)</f>
        <v>1</v>
      </c>
      <c r="N1873" s="5">
        <f>IF(Táblázat1[[#This Row],[Karb./akt.év]]-Táblázat1[[#This Row],[Kész2020_2]]&lt;0,0,Táblázat1[[#This Row],[Karb./akt.év]]-Táblázat1[[#This Row],[Kész2020_2]])</f>
        <v>1</v>
      </c>
    </row>
    <row r="1874" spans="1:14" hidden="1" x14ac:dyDescent="0.25">
      <c r="A1874" s="17" t="s">
        <v>8</v>
      </c>
      <c r="B1874" s="17" t="s">
        <v>835</v>
      </c>
      <c r="C1874" s="17" t="s">
        <v>1741</v>
      </c>
      <c r="D1874" s="17" t="s">
        <v>2612</v>
      </c>
      <c r="E1874" s="17" t="s">
        <v>4265</v>
      </c>
      <c r="F1874" s="17" t="s">
        <v>3598</v>
      </c>
      <c r="G1874" s="17" t="s">
        <v>5775</v>
      </c>
      <c r="H1874" t="s">
        <v>7476</v>
      </c>
      <c r="I1874" s="1">
        <v>2</v>
      </c>
      <c r="J1874" s="1">
        <v>2</v>
      </c>
      <c r="K1874" t="s">
        <v>6641</v>
      </c>
      <c r="L1874" s="5">
        <f>VLOOKUP(D:D,[1]Munka2!$A:$B,2,FALSE)</f>
        <v>1</v>
      </c>
      <c r="M1874" s="5">
        <f>_xlfn.IFNA(Táblázat1[[#This Row],[Kész2020]],0)</f>
        <v>1</v>
      </c>
      <c r="N1874" s="5">
        <f>IF(Táblázat1[[#This Row],[Karb./akt.év]]-Táblázat1[[#This Row],[Kész2020_2]]&lt;0,0,Táblázat1[[#This Row],[Karb./akt.év]]-Táblázat1[[#This Row],[Kész2020_2]])</f>
        <v>1</v>
      </c>
    </row>
    <row r="1875" spans="1:14" hidden="1" x14ac:dyDescent="0.25">
      <c r="A1875" s="17" t="s">
        <v>8</v>
      </c>
      <c r="B1875" s="17" t="s">
        <v>1248</v>
      </c>
      <c r="C1875" s="17" t="s">
        <v>1741</v>
      </c>
      <c r="D1875" s="17" t="s">
        <v>3059</v>
      </c>
      <c r="E1875" s="17" t="s">
        <v>4745</v>
      </c>
      <c r="F1875" s="17" t="s">
        <v>4746</v>
      </c>
      <c r="G1875" s="17" t="s">
        <v>6174</v>
      </c>
      <c r="H1875" t="s">
        <v>7476</v>
      </c>
      <c r="I1875" s="1">
        <v>2</v>
      </c>
      <c r="J1875" s="1">
        <v>2</v>
      </c>
      <c r="K1875" t="s">
        <v>7014</v>
      </c>
      <c r="L1875" s="5">
        <f>VLOOKUP(D:D,[1]Munka2!$A:$B,2,FALSE)</f>
        <v>1</v>
      </c>
      <c r="M1875" s="5">
        <f>_xlfn.IFNA(Táblázat1[[#This Row],[Kész2020]],0)</f>
        <v>1</v>
      </c>
      <c r="N1875" s="5">
        <f>IF(Táblázat1[[#This Row],[Karb./akt.év]]-Táblázat1[[#This Row],[Kész2020_2]]&lt;0,0,Táblázat1[[#This Row],[Karb./akt.év]]-Táblázat1[[#This Row],[Kész2020_2]])</f>
        <v>1</v>
      </c>
    </row>
    <row r="1876" spans="1:14" hidden="1" x14ac:dyDescent="0.25">
      <c r="A1876" s="17" t="s">
        <v>8</v>
      </c>
      <c r="B1876" s="17" t="s">
        <v>1155</v>
      </c>
      <c r="C1876" s="17" t="s">
        <v>1741</v>
      </c>
      <c r="D1876" s="17" t="s">
        <v>2953</v>
      </c>
      <c r="E1876" s="17" t="s">
        <v>3691</v>
      </c>
      <c r="F1876" s="17" t="s">
        <v>3692</v>
      </c>
      <c r="G1876" s="17" t="s">
        <v>6082</v>
      </c>
      <c r="H1876" t="s">
        <v>7476</v>
      </c>
      <c r="I1876" s="1">
        <v>2</v>
      </c>
      <c r="J1876" s="1">
        <v>2</v>
      </c>
      <c r="K1876" t="s">
        <v>6642</v>
      </c>
      <c r="L1876" s="5">
        <f>VLOOKUP(D:D,[1]Munka2!$A:$B,2,FALSE)</f>
        <v>1</v>
      </c>
      <c r="M1876" s="5">
        <f>_xlfn.IFNA(Táblázat1[[#This Row],[Kész2020]],0)</f>
        <v>1</v>
      </c>
      <c r="N1876" s="5">
        <f>IF(Táblázat1[[#This Row],[Karb./akt.év]]-Táblázat1[[#This Row],[Kész2020_2]]&lt;0,0,Táblázat1[[#This Row],[Karb./akt.év]]-Táblázat1[[#This Row],[Kész2020_2]])</f>
        <v>1</v>
      </c>
    </row>
    <row r="1877" spans="1:14" hidden="1" x14ac:dyDescent="0.25">
      <c r="A1877" s="17" t="s">
        <v>8</v>
      </c>
      <c r="B1877" s="17" t="s">
        <v>427</v>
      </c>
      <c r="C1877" s="17" t="s">
        <v>1741</v>
      </c>
      <c r="D1877" s="17" t="s">
        <v>2184</v>
      </c>
      <c r="E1877" s="17" t="s">
        <v>4040</v>
      </c>
      <c r="F1877" s="17" t="s">
        <v>4041</v>
      </c>
      <c r="G1877" s="17" t="s">
        <v>5393</v>
      </c>
      <c r="H1877" t="s">
        <v>7476</v>
      </c>
      <c r="I1877" s="1">
        <v>2</v>
      </c>
      <c r="J1877" s="1">
        <v>2</v>
      </c>
      <c r="K1877" t="s">
        <v>8102</v>
      </c>
      <c r="L1877" s="5">
        <f>VLOOKUP(D:D,[1]Munka2!$A:$B,2,FALSE)</f>
        <v>1</v>
      </c>
      <c r="M1877" s="5">
        <f>_xlfn.IFNA(Táblázat1[[#This Row],[Kész2020]],0)</f>
        <v>1</v>
      </c>
      <c r="N1877" s="5">
        <f>IF(Táblázat1[[#This Row],[Karb./akt.év]]-Táblázat1[[#This Row],[Kész2020_2]]&lt;0,0,Táblázat1[[#This Row],[Karb./akt.év]]-Táblázat1[[#This Row],[Kész2020_2]])</f>
        <v>1</v>
      </c>
    </row>
    <row r="1878" spans="1:14" hidden="1" x14ac:dyDescent="0.25">
      <c r="A1878" s="17" t="s">
        <v>8</v>
      </c>
      <c r="B1878" s="17" t="s">
        <v>158</v>
      </c>
      <c r="C1878" s="17" t="s">
        <v>1741</v>
      </c>
      <c r="D1878" s="17" t="s">
        <v>1898</v>
      </c>
      <c r="E1878" s="17" t="s">
        <v>3752</v>
      </c>
      <c r="F1878" s="17" t="s">
        <v>3753</v>
      </c>
      <c r="G1878" s="17" t="s">
        <v>5128</v>
      </c>
      <c r="H1878" t="s">
        <v>7476</v>
      </c>
      <c r="I1878" s="1">
        <v>2</v>
      </c>
      <c r="J1878" s="1">
        <v>2</v>
      </c>
      <c r="K1878" t="s">
        <v>6641</v>
      </c>
      <c r="L1878" s="5">
        <f>VLOOKUP(D:D,[1]Munka2!$A:$B,2,FALSE)</f>
        <v>1</v>
      </c>
      <c r="M1878" s="5">
        <f>_xlfn.IFNA(Táblázat1[[#This Row],[Kész2020]],0)</f>
        <v>1</v>
      </c>
      <c r="N1878" s="5">
        <f>IF(Táblázat1[[#This Row],[Karb./akt.év]]-Táblázat1[[#This Row],[Kész2020_2]]&lt;0,0,Táblázat1[[#This Row],[Karb./akt.év]]-Táblázat1[[#This Row],[Kész2020_2]])</f>
        <v>1</v>
      </c>
    </row>
    <row r="1879" spans="1:14" hidden="1" x14ac:dyDescent="0.25">
      <c r="A1879" s="17" t="s">
        <v>8</v>
      </c>
      <c r="B1879" s="17" t="s">
        <v>324</v>
      </c>
      <c r="C1879" s="17" t="s">
        <v>1741</v>
      </c>
      <c r="D1879" s="17" t="s">
        <v>2073</v>
      </c>
      <c r="E1879" s="17" t="s">
        <v>3641</v>
      </c>
      <c r="F1879" s="17" t="s">
        <v>3642</v>
      </c>
      <c r="G1879" s="17" t="s">
        <v>5292</v>
      </c>
      <c r="H1879" t="s">
        <v>7476</v>
      </c>
      <c r="I1879" s="1">
        <v>2</v>
      </c>
      <c r="J1879" s="1">
        <v>2</v>
      </c>
      <c r="K1879" t="s">
        <v>7354</v>
      </c>
      <c r="L1879" s="5">
        <f>VLOOKUP(D:D,[1]Munka2!$A:$B,2,FALSE)</f>
        <v>1</v>
      </c>
      <c r="M1879" s="5">
        <f>_xlfn.IFNA(Táblázat1[[#This Row],[Kész2020]],0)</f>
        <v>1</v>
      </c>
      <c r="N1879" s="5">
        <f>IF(Táblázat1[[#This Row],[Karb./akt.év]]-Táblázat1[[#This Row],[Kész2020_2]]&lt;0,0,Táblázat1[[#This Row],[Karb./akt.év]]-Táblázat1[[#This Row],[Kész2020_2]])</f>
        <v>1</v>
      </c>
    </row>
    <row r="1880" spans="1:14" hidden="1" x14ac:dyDescent="0.25">
      <c r="A1880" s="17" t="s">
        <v>8</v>
      </c>
      <c r="B1880" s="17" t="s">
        <v>762</v>
      </c>
      <c r="C1880" s="17" t="s">
        <v>1741</v>
      </c>
      <c r="D1880" s="17" t="s">
        <v>2537</v>
      </c>
      <c r="E1880" s="17" t="s">
        <v>3751</v>
      </c>
      <c r="F1880" s="17" t="s">
        <v>3679</v>
      </c>
      <c r="G1880" s="17" t="s">
        <v>5707</v>
      </c>
      <c r="H1880" t="s">
        <v>7476</v>
      </c>
      <c r="I1880" s="1">
        <v>2</v>
      </c>
      <c r="J1880" s="1">
        <v>2</v>
      </c>
      <c r="K1880" t="s">
        <v>6635</v>
      </c>
      <c r="L1880" s="5">
        <f>VLOOKUP(D:D,[1]Munka2!$A:$B,2,FALSE)</f>
        <v>1</v>
      </c>
      <c r="M1880" s="5">
        <f>_xlfn.IFNA(Táblázat1[[#This Row],[Kész2020]],0)</f>
        <v>1</v>
      </c>
      <c r="N1880" s="5">
        <f>IF(Táblázat1[[#This Row],[Karb./akt.év]]-Táblázat1[[#This Row],[Kész2020_2]]&lt;0,0,Táblázat1[[#This Row],[Karb./akt.év]]-Táblázat1[[#This Row],[Kész2020_2]])</f>
        <v>1</v>
      </c>
    </row>
    <row r="1881" spans="1:14" hidden="1" x14ac:dyDescent="0.25">
      <c r="A1881" s="17" t="s">
        <v>8</v>
      </c>
      <c r="B1881" s="17" t="s">
        <v>1341</v>
      </c>
      <c r="C1881" s="17" t="s">
        <v>1741</v>
      </c>
      <c r="D1881" s="17" t="s">
        <v>3159</v>
      </c>
      <c r="E1881" s="17" t="s">
        <v>4641</v>
      </c>
      <c r="F1881" s="17" t="s">
        <v>4642</v>
      </c>
      <c r="G1881" s="17" t="s">
        <v>6257</v>
      </c>
      <c r="H1881" t="s">
        <v>7476</v>
      </c>
      <c r="I1881" s="1">
        <v>2</v>
      </c>
      <c r="J1881" s="1">
        <v>2</v>
      </c>
      <c r="K1881" t="s">
        <v>8102</v>
      </c>
      <c r="L1881" s="5">
        <f>VLOOKUP(D:D,[1]Munka2!$A:$B,2,FALSE)</f>
        <v>1</v>
      </c>
      <c r="M1881" s="5">
        <f>_xlfn.IFNA(Táblázat1[[#This Row],[Kész2020]],0)</f>
        <v>1</v>
      </c>
      <c r="N1881" s="5">
        <f>IF(Táblázat1[[#This Row],[Karb./akt.év]]-Táblázat1[[#This Row],[Kész2020_2]]&lt;0,0,Táblázat1[[#This Row],[Karb./akt.év]]-Táblázat1[[#This Row],[Kész2020_2]])</f>
        <v>1</v>
      </c>
    </row>
    <row r="1882" spans="1:14" hidden="1" x14ac:dyDescent="0.25">
      <c r="A1882" s="17" t="s">
        <v>8</v>
      </c>
      <c r="B1882" s="17" t="s">
        <v>313</v>
      </c>
      <c r="C1882" s="17" t="s">
        <v>1741</v>
      </c>
      <c r="D1882" s="17" t="s">
        <v>2062</v>
      </c>
      <c r="E1882" s="17" t="s">
        <v>3907</v>
      </c>
      <c r="F1882" s="17" t="s">
        <v>3938</v>
      </c>
      <c r="G1882" s="17" t="s">
        <v>5280</v>
      </c>
      <c r="H1882" t="s">
        <v>7476</v>
      </c>
      <c r="I1882" s="1">
        <v>2</v>
      </c>
      <c r="J1882" s="1">
        <v>2</v>
      </c>
      <c r="K1882" t="s">
        <v>8102</v>
      </c>
      <c r="L1882" s="5">
        <f>VLOOKUP(D:D,[1]Munka2!$A:$B,2,FALSE)</f>
        <v>1</v>
      </c>
      <c r="M1882" s="5">
        <f>_xlfn.IFNA(Táblázat1[[#This Row],[Kész2020]],0)</f>
        <v>1</v>
      </c>
      <c r="N1882" s="5">
        <f>IF(Táblázat1[[#This Row],[Karb./akt.év]]-Táblázat1[[#This Row],[Kész2020_2]]&lt;0,0,Táblázat1[[#This Row],[Karb./akt.év]]-Táblázat1[[#This Row],[Kész2020_2]])</f>
        <v>1</v>
      </c>
    </row>
    <row r="1883" spans="1:14" hidden="1" x14ac:dyDescent="0.25">
      <c r="A1883" s="17" t="s">
        <v>8</v>
      </c>
      <c r="B1883" s="17" t="s">
        <v>189</v>
      </c>
      <c r="C1883" s="17" t="s">
        <v>1741</v>
      </c>
      <c r="D1883" s="17" t="s">
        <v>1930</v>
      </c>
      <c r="E1883" s="17" t="s">
        <v>3804</v>
      </c>
      <c r="F1883" s="17" t="s">
        <v>3805</v>
      </c>
      <c r="G1883" s="17" t="s">
        <v>5159</v>
      </c>
      <c r="H1883" t="s">
        <v>7476</v>
      </c>
      <c r="I1883" s="1">
        <v>2</v>
      </c>
      <c r="J1883" s="1">
        <v>0</v>
      </c>
      <c r="K1883" t="s">
        <v>6635</v>
      </c>
      <c r="L1883" s="5" t="e">
        <f>VLOOKUP(D:D,[1]Munka2!$A:$B,2,FALSE)</f>
        <v>#N/A</v>
      </c>
      <c r="M1883" s="5">
        <f>_xlfn.IFNA(Táblázat1[[#This Row],[Kész2020]],0)</f>
        <v>0</v>
      </c>
      <c r="N1883" s="5">
        <f>IF(Táblázat1[[#This Row],[Karb./akt.év]]-Táblázat1[[#This Row],[Kész2020_2]]&lt;0,0,Táblázat1[[#This Row],[Karb./akt.év]]-Táblázat1[[#This Row],[Kész2020_2]])</f>
        <v>0</v>
      </c>
    </row>
    <row r="1884" spans="1:14" hidden="1" x14ac:dyDescent="0.25">
      <c r="A1884" s="17" t="s">
        <v>8</v>
      </c>
      <c r="B1884" s="17" t="s">
        <v>1344</v>
      </c>
      <c r="C1884" s="17" t="s">
        <v>1741</v>
      </c>
      <c r="D1884" s="17" t="s">
        <v>3163</v>
      </c>
      <c r="E1884" s="17" t="s">
        <v>3988</v>
      </c>
      <c r="F1884" s="17" t="s">
        <v>3989</v>
      </c>
      <c r="G1884" s="17" t="s">
        <v>6259</v>
      </c>
      <c r="H1884" t="s">
        <v>7476</v>
      </c>
      <c r="I1884" s="1">
        <v>2</v>
      </c>
      <c r="J1884" s="1">
        <v>2</v>
      </c>
      <c r="K1884" t="s">
        <v>6636</v>
      </c>
      <c r="L1884" s="5">
        <f>VLOOKUP(D:D,[1]Munka2!$A:$B,2,FALSE)</f>
        <v>1</v>
      </c>
      <c r="M1884" s="5">
        <f>_xlfn.IFNA(Táblázat1[[#This Row],[Kész2020]],0)</f>
        <v>1</v>
      </c>
      <c r="N1884" s="5">
        <f>IF(Táblázat1[[#This Row],[Karb./akt.év]]-Táblázat1[[#This Row],[Kész2020_2]]&lt;0,0,Táblázat1[[#This Row],[Karb./akt.év]]-Táblázat1[[#This Row],[Kész2020_2]])</f>
        <v>1</v>
      </c>
    </row>
    <row r="1885" spans="1:14" x14ac:dyDescent="0.25">
      <c r="A1885" s="17" t="s">
        <v>8</v>
      </c>
      <c r="B1885" s="17" t="s">
        <v>1230</v>
      </c>
      <c r="C1885" s="17" t="s">
        <v>1741</v>
      </c>
      <c r="D1885" s="17" t="s">
        <v>3039</v>
      </c>
      <c r="E1885" s="17" t="s">
        <v>3711</v>
      </c>
      <c r="F1885" s="17" t="s">
        <v>3712</v>
      </c>
      <c r="G1885" s="17" t="s">
        <v>6160</v>
      </c>
      <c r="H1885" t="s">
        <v>7476</v>
      </c>
      <c r="I1885" s="1">
        <v>2</v>
      </c>
      <c r="J1885" s="1">
        <v>2</v>
      </c>
      <c r="K1885" t="s">
        <v>6633</v>
      </c>
      <c r="L1885" s="5" t="e">
        <f>VLOOKUP(D:D,[1]Munka2!$A:$B,2,FALSE)</f>
        <v>#N/A</v>
      </c>
      <c r="M1885" s="5">
        <f>_xlfn.IFNA(Táblázat1[[#This Row],[Kész2020]],0)</f>
        <v>0</v>
      </c>
      <c r="N1885" s="5">
        <f>IF(Táblázat1[[#This Row],[Karb./akt.év]]-Táblázat1[[#This Row],[Kész2020_2]]&lt;0,0,Táblázat1[[#This Row],[Karb./akt.év]]-Táblázat1[[#This Row],[Kész2020_2]])</f>
        <v>2</v>
      </c>
    </row>
    <row r="1886" spans="1:14" hidden="1" x14ac:dyDescent="0.25">
      <c r="A1886" s="17" t="s">
        <v>8</v>
      </c>
      <c r="B1886" s="17" t="s">
        <v>1445</v>
      </c>
      <c r="C1886" s="17" t="s">
        <v>1741</v>
      </c>
      <c r="D1886" s="17" t="s">
        <v>3277</v>
      </c>
      <c r="E1886" s="17" t="s">
        <v>3794</v>
      </c>
      <c r="F1886" s="17" t="s">
        <v>3795</v>
      </c>
      <c r="G1886" s="17" t="s">
        <v>6351</v>
      </c>
      <c r="H1886" t="s">
        <v>7476</v>
      </c>
      <c r="I1886" s="1">
        <v>2</v>
      </c>
      <c r="J1886" s="1">
        <v>2</v>
      </c>
      <c r="K1886" t="s">
        <v>6638</v>
      </c>
      <c r="L1886" s="5">
        <f>VLOOKUP(D:D,[1]Munka2!$A:$B,2,FALSE)</f>
        <v>1</v>
      </c>
      <c r="M1886" s="5">
        <f>_xlfn.IFNA(Táblázat1[[#This Row],[Kész2020]],0)</f>
        <v>1</v>
      </c>
      <c r="N1886" s="5">
        <f>IF(Táblázat1[[#This Row],[Karb./akt.év]]-Táblázat1[[#This Row],[Kész2020_2]]&lt;0,0,Táblázat1[[#This Row],[Karb./akt.év]]-Táblázat1[[#This Row],[Kész2020_2]])</f>
        <v>1</v>
      </c>
    </row>
    <row r="1887" spans="1:14" x14ac:dyDescent="0.25">
      <c r="A1887" s="17" t="s">
        <v>8</v>
      </c>
      <c r="B1887" s="17" t="s">
        <v>35</v>
      </c>
      <c r="C1887" s="17" t="s">
        <v>1741</v>
      </c>
      <c r="D1887" s="17" t="s">
        <v>1773</v>
      </c>
      <c r="E1887" s="17" t="s">
        <v>3605</v>
      </c>
      <c r="F1887" s="17" t="s">
        <v>3606</v>
      </c>
      <c r="G1887" s="17" t="s">
        <v>5012</v>
      </c>
      <c r="H1887" t="s">
        <v>7476</v>
      </c>
      <c r="I1887" s="1">
        <v>2</v>
      </c>
      <c r="J1887" s="1">
        <v>2</v>
      </c>
      <c r="K1887" t="s">
        <v>6635</v>
      </c>
      <c r="L1887" s="5" t="e">
        <f>VLOOKUP(D:D,[1]Munka2!$A:$B,2,FALSE)</f>
        <v>#N/A</v>
      </c>
      <c r="M1887" s="5">
        <f>_xlfn.IFNA(Táblázat1[[#This Row],[Kész2020]],0)</f>
        <v>0</v>
      </c>
      <c r="N1887" s="5">
        <f>IF(Táblázat1[[#This Row],[Karb./akt.év]]-Táblázat1[[#This Row],[Kész2020_2]]&lt;0,0,Táblázat1[[#This Row],[Karb./akt.év]]-Táblázat1[[#This Row],[Kész2020_2]])</f>
        <v>2</v>
      </c>
    </row>
    <row r="1888" spans="1:14" hidden="1" x14ac:dyDescent="0.25">
      <c r="A1888" s="17" t="s">
        <v>8</v>
      </c>
      <c r="B1888" s="17" t="s">
        <v>1479</v>
      </c>
      <c r="C1888" s="17" t="s">
        <v>1741</v>
      </c>
      <c r="D1888" s="17" t="s">
        <v>3315</v>
      </c>
      <c r="E1888" s="17" t="s">
        <v>3897</v>
      </c>
      <c r="F1888" s="17" t="s">
        <v>3898</v>
      </c>
      <c r="G1888" s="17" t="s">
        <v>6389</v>
      </c>
      <c r="H1888" t="s">
        <v>7476</v>
      </c>
      <c r="I1888" s="1">
        <v>2</v>
      </c>
      <c r="J1888" s="1">
        <v>2</v>
      </c>
      <c r="K1888" t="s">
        <v>6637</v>
      </c>
      <c r="L1888" s="5">
        <f>VLOOKUP(D:D,[1]Munka2!$A:$B,2,FALSE)</f>
        <v>1</v>
      </c>
      <c r="M1888" s="5">
        <f>_xlfn.IFNA(Táblázat1[[#This Row],[Kész2020]],0)</f>
        <v>1</v>
      </c>
      <c r="N1888" s="5">
        <f>IF(Táblázat1[[#This Row],[Karb./akt.év]]-Táblázat1[[#This Row],[Kész2020_2]]&lt;0,0,Táblázat1[[#This Row],[Karb./akt.év]]-Táblázat1[[#This Row],[Kész2020_2]])</f>
        <v>1</v>
      </c>
    </row>
    <row r="1889" spans="1:14" hidden="1" x14ac:dyDescent="0.25">
      <c r="A1889" s="17" t="s">
        <v>8</v>
      </c>
      <c r="B1889" s="17" t="s">
        <v>1726</v>
      </c>
      <c r="C1889" s="17" t="s">
        <v>1741</v>
      </c>
      <c r="D1889" s="17" t="s">
        <v>3586</v>
      </c>
      <c r="E1889" s="17" t="s">
        <v>5004</v>
      </c>
      <c r="F1889" s="17" t="s">
        <v>3598</v>
      </c>
      <c r="G1889" s="17" t="s">
        <v>6621</v>
      </c>
      <c r="H1889" t="s">
        <v>7476</v>
      </c>
      <c r="I1889" s="1">
        <v>2</v>
      </c>
      <c r="J1889" s="1">
        <v>2</v>
      </c>
      <c r="K1889" t="s">
        <v>6636</v>
      </c>
      <c r="L1889" s="5">
        <f>VLOOKUP(D:D,[1]Munka2!$A:$B,2,FALSE)</f>
        <v>1</v>
      </c>
      <c r="M1889" s="5">
        <f>_xlfn.IFNA(Táblázat1[[#This Row],[Kész2020]],0)</f>
        <v>1</v>
      </c>
      <c r="N1889" s="5">
        <f>IF(Táblázat1[[#This Row],[Karb./akt.év]]-Táblázat1[[#This Row],[Kész2020_2]]&lt;0,0,Táblázat1[[#This Row],[Karb./akt.év]]-Táblázat1[[#This Row],[Kész2020_2]])</f>
        <v>1</v>
      </c>
    </row>
    <row r="1890" spans="1:14" hidden="1" x14ac:dyDescent="0.25">
      <c r="A1890" s="17" t="s">
        <v>8</v>
      </c>
      <c r="B1890" s="17" t="s">
        <v>1376</v>
      </c>
      <c r="C1890" s="17" t="s">
        <v>1741</v>
      </c>
      <c r="D1890" s="17" t="s">
        <v>3196</v>
      </c>
      <c r="E1890" s="17" t="s">
        <v>4849</v>
      </c>
      <c r="F1890" s="17" t="s">
        <v>4850</v>
      </c>
      <c r="G1890" s="17" t="s">
        <v>6279</v>
      </c>
      <c r="H1890" t="s">
        <v>7476</v>
      </c>
      <c r="I1890" s="1">
        <v>2</v>
      </c>
      <c r="J1890" s="1">
        <v>2</v>
      </c>
      <c r="K1890" t="s">
        <v>6784</v>
      </c>
      <c r="L1890" s="5">
        <f>VLOOKUP(D:D,[1]Munka2!$A:$B,2,FALSE)</f>
        <v>1</v>
      </c>
      <c r="M1890" s="5">
        <f>_xlfn.IFNA(Táblázat1[[#This Row],[Kész2020]],0)</f>
        <v>1</v>
      </c>
      <c r="N1890" s="5">
        <f>IF(Táblázat1[[#This Row],[Karb./akt.év]]-Táblázat1[[#This Row],[Kész2020_2]]&lt;0,0,Táblázat1[[#This Row],[Karb./akt.év]]-Táblázat1[[#This Row],[Kész2020_2]])</f>
        <v>1</v>
      </c>
    </row>
    <row r="1891" spans="1:14" hidden="1" x14ac:dyDescent="0.25">
      <c r="A1891" s="17" t="s">
        <v>8</v>
      </c>
      <c r="B1891" s="17" t="s">
        <v>1644</v>
      </c>
      <c r="C1891" s="17" t="s">
        <v>1741</v>
      </c>
      <c r="D1891" s="17" t="s">
        <v>3499</v>
      </c>
      <c r="E1891" s="17" t="s">
        <v>3836</v>
      </c>
      <c r="F1891" s="17" t="s">
        <v>3837</v>
      </c>
      <c r="G1891" s="17" t="s">
        <v>6538</v>
      </c>
      <c r="H1891" t="s">
        <v>7476</v>
      </c>
      <c r="I1891" s="1">
        <v>2</v>
      </c>
      <c r="J1891" s="1">
        <v>2</v>
      </c>
      <c r="K1891" t="s">
        <v>8103</v>
      </c>
      <c r="L1891" s="5">
        <f>VLOOKUP(D:D,[1]Munka2!$A:$B,2,FALSE)</f>
        <v>1</v>
      </c>
      <c r="M1891" s="5">
        <f>_xlfn.IFNA(Táblázat1[[#This Row],[Kész2020]],0)</f>
        <v>1</v>
      </c>
      <c r="N1891" s="5">
        <f>IF(Táblázat1[[#This Row],[Karb./akt.év]]-Táblázat1[[#This Row],[Kész2020_2]]&lt;0,0,Táblázat1[[#This Row],[Karb./akt.év]]-Táblázat1[[#This Row],[Kész2020_2]])</f>
        <v>1</v>
      </c>
    </row>
    <row r="1892" spans="1:14" hidden="1" x14ac:dyDescent="0.25">
      <c r="A1892" s="17" t="s">
        <v>8</v>
      </c>
      <c r="B1892" s="17" t="s">
        <v>344</v>
      </c>
      <c r="C1892" s="17" t="s">
        <v>1741</v>
      </c>
      <c r="D1892" s="17" t="s">
        <v>2097</v>
      </c>
      <c r="E1892" s="17" t="s">
        <v>3599</v>
      </c>
      <c r="F1892" s="17" t="s">
        <v>3600</v>
      </c>
      <c r="G1892" s="17" t="s">
        <v>5309</v>
      </c>
      <c r="H1892" t="s">
        <v>7476</v>
      </c>
      <c r="I1892" s="1">
        <v>2</v>
      </c>
      <c r="J1892" s="1">
        <v>2</v>
      </c>
      <c r="K1892" t="s">
        <v>6784</v>
      </c>
      <c r="L1892" s="5">
        <f>VLOOKUP(D:D,[1]Munka2!$A:$B,2,FALSE)</f>
        <v>1</v>
      </c>
      <c r="M1892" s="5">
        <f>_xlfn.IFNA(Táblázat1[[#This Row],[Kész2020]],0)</f>
        <v>1</v>
      </c>
      <c r="N1892" s="5">
        <f>IF(Táblázat1[[#This Row],[Karb./akt.év]]-Táblázat1[[#This Row],[Kész2020_2]]&lt;0,0,Táblázat1[[#This Row],[Karb./akt.év]]-Táblázat1[[#This Row],[Kész2020_2]])</f>
        <v>1</v>
      </c>
    </row>
    <row r="1893" spans="1:14" hidden="1" x14ac:dyDescent="0.25">
      <c r="A1893" s="17" t="s">
        <v>8</v>
      </c>
      <c r="B1893" s="17" t="s">
        <v>507</v>
      </c>
      <c r="C1893" s="17" t="s">
        <v>1741</v>
      </c>
      <c r="D1893" s="17" t="s">
        <v>2270</v>
      </c>
      <c r="E1893" s="17" t="s">
        <v>4117</v>
      </c>
      <c r="F1893" s="17" t="s">
        <v>4118</v>
      </c>
      <c r="G1893" s="17" t="s">
        <v>5469</v>
      </c>
      <c r="H1893" t="s">
        <v>7476</v>
      </c>
      <c r="I1893" s="1">
        <v>2</v>
      </c>
      <c r="J1893" s="1">
        <v>2</v>
      </c>
      <c r="K1893" t="s">
        <v>6636</v>
      </c>
      <c r="L1893" s="5">
        <f>VLOOKUP(D:D,[1]Munka2!$A:$B,2,FALSE)</f>
        <v>1</v>
      </c>
      <c r="M1893" s="5">
        <f>_xlfn.IFNA(Táblázat1[[#This Row],[Kész2020]],0)</f>
        <v>1</v>
      </c>
      <c r="N1893" s="5">
        <f>IF(Táblázat1[[#This Row],[Karb./akt.év]]-Táblázat1[[#This Row],[Kész2020_2]]&lt;0,0,Táblázat1[[#This Row],[Karb./akt.év]]-Táblázat1[[#This Row],[Kész2020_2]])</f>
        <v>1</v>
      </c>
    </row>
    <row r="1894" spans="1:14" hidden="1" x14ac:dyDescent="0.25">
      <c r="A1894" s="17" t="s">
        <v>8</v>
      </c>
      <c r="B1894" s="17" t="s">
        <v>902</v>
      </c>
      <c r="C1894" s="17" t="s">
        <v>1741</v>
      </c>
      <c r="D1894" s="17" t="s">
        <v>2685</v>
      </c>
      <c r="E1894" s="17" t="s">
        <v>3858</v>
      </c>
      <c r="F1894" s="17" t="s">
        <v>3859</v>
      </c>
      <c r="G1894" s="17" t="s">
        <v>5830</v>
      </c>
      <c r="H1894" t="s">
        <v>7476</v>
      </c>
      <c r="I1894" s="1">
        <v>2</v>
      </c>
      <c r="J1894" s="1">
        <v>2</v>
      </c>
      <c r="K1894" t="s">
        <v>6784</v>
      </c>
      <c r="L1894" s="5">
        <f>VLOOKUP(D:D,[1]Munka2!$A:$B,2,FALSE)</f>
        <v>1</v>
      </c>
      <c r="M1894" s="5">
        <f>_xlfn.IFNA(Táblázat1[[#This Row],[Kész2020]],0)</f>
        <v>1</v>
      </c>
      <c r="N1894" s="5">
        <f>IF(Táblázat1[[#This Row],[Karb./akt.év]]-Táblázat1[[#This Row],[Kész2020_2]]&lt;0,0,Táblázat1[[#This Row],[Karb./akt.év]]-Táblázat1[[#This Row],[Kész2020_2]])</f>
        <v>1</v>
      </c>
    </row>
    <row r="1895" spans="1:14" hidden="1" x14ac:dyDescent="0.25">
      <c r="A1895" s="17" t="s">
        <v>8</v>
      </c>
      <c r="B1895" s="17" t="s">
        <v>119</v>
      </c>
      <c r="C1895" s="17" t="s">
        <v>1741</v>
      </c>
      <c r="D1895" s="17" t="s">
        <v>1859</v>
      </c>
      <c r="E1895" s="17" t="s">
        <v>3713</v>
      </c>
      <c r="F1895" s="17" t="s">
        <v>3714</v>
      </c>
      <c r="G1895" s="17" t="s">
        <v>5090</v>
      </c>
      <c r="H1895" t="s">
        <v>7476</v>
      </c>
      <c r="I1895" s="1">
        <v>2</v>
      </c>
      <c r="J1895" s="1">
        <v>2</v>
      </c>
      <c r="K1895" t="s">
        <v>6636</v>
      </c>
      <c r="L1895" s="5">
        <f>VLOOKUP(D:D,[1]Munka2!$A:$B,2,FALSE)</f>
        <v>1</v>
      </c>
      <c r="M1895" s="5">
        <f>_xlfn.IFNA(Táblázat1[[#This Row],[Kész2020]],0)</f>
        <v>1</v>
      </c>
      <c r="N1895" s="5">
        <f>IF(Táblázat1[[#This Row],[Karb./akt.év]]-Táblázat1[[#This Row],[Kész2020_2]]&lt;0,0,Táblázat1[[#This Row],[Karb./akt.év]]-Táblázat1[[#This Row],[Kész2020_2]])</f>
        <v>1</v>
      </c>
    </row>
    <row r="1896" spans="1:14" hidden="1" x14ac:dyDescent="0.25">
      <c r="A1896" s="17" t="s">
        <v>8</v>
      </c>
      <c r="B1896" s="17" t="s">
        <v>1349</v>
      </c>
      <c r="C1896" s="17" t="s">
        <v>1741</v>
      </c>
      <c r="D1896" s="17" t="s">
        <v>3167</v>
      </c>
      <c r="E1896" s="17" t="s">
        <v>4159</v>
      </c>
      <c r="F1896" s="17" t="s">
        <v>4160</v>
      </c>
      <c r="G1896" s="17" t="s">
        <v>6263</v>
      </c>
      <c r="H1896" t="s">
        <v>7476</v>
      </c>
      <c r="I1896" s="1">
        <v>2</v>
      </c>
      <c r="J1896" s="1">
        <v>2</v>
      </c>
      <c r="K1896" t="s">
        <v>6642</v>
      </c>
      <c r="L1896" s="5">
        <f>VLOOKUP(D:D,[1]Munka2!$A:$B,2,FALSE)</f>
        <v>1</v>
      </c>
      <c r="M1896" s="5">
        <f>_xlfn.IFNA(Táblázat1[[#This Row],[Kész2020]],0)</f>
        <v>1</v>
      </c>
      <c r="N1896" s="5">
        <f>IF(Táblázat1[[#This Row],[Karb./akt.év]]-Táblázat1[[#This Row],[Kész2020_2]]&lt;0,0,Táblázat1[[#This Row],[Karb./akt.év]]-Táblázat1[[#This Row],[Kész2020_2]])</f>
        <v>1</v>
      </c>
    </row>
    <row r="1897" spans="1:14" hidden="1" x14ac:dyDescent="0.25">
      <c r="A1897" s="17" t="s">
        <v>8</v>
      </c>
      <c r="B1897" s="17" t="s">
        <v>1362</v>
      </c>
      <c r="C1897" s="17" t="s">
        <v>1741</v>
      </c>
      <c r="D1897" s="17" t="s">
        <v>3180</v>
      </c>
      <c r="E1897" s="17" t="s">
        <v>3641</v>
      </c>
      <c r="F1897" s="17" t="s">
        <v>3642</v>
      </c>
      <c r="G1897" s="17" t="s">
        <v>6272</v>
      </c>
      <c r="H1897" t="s">
        <v>7476</v>
      </c>
      <c r="I1897" s="1">
        <v>2</v>
      </c>
      <c r="J1897" s="1">
        <v>2</v>
      </c>
      <c r="K1897" t="s">
        <v>7354</v>
      </c>
      <c r="L1897" s="5">
        <f>VLOOKUP(D:D,[1]Munka2!$A:$B,2,FALSE)</f>
        <v>1</v>
      </c>
      <c r="M1897" s="5">
        <f>_xlfn.IFNA(Táblázat1[[#This Row],[Kész2020]],0)</f>
        <v>1</v>
      </c>
      <c r="N1897" s="5">
        <f>IF(Táblázat1[[#This Row],[Karb./akt.év]]-Táblázat1[[#This Row],[Kész2020_2]]&lt;0,0,Táblázat1[[#This Row],[Karb./akt.év]]-Táblázat1[[#This Row],[Kész2020_2]])</f>
        <v>1</v>
      </c>
    </row>
    <row r="1898" spans="1:14" hidden="1" x14ac:dyDescent="0.25">
      <c r="A1898" s="17" t="s">
        <v>8</v>
      </c>
      <c r="B1898" s="17" t="s">
        <v>796</v>
      </c>
      <c r="C1898" s="17" t="s">
        <v>1741</v>
      </c>
      <c r="D1898" s="17" t="s">
        <v>2572</v>
      </c>
      <c r="E1898" s="17" t="s">
        <v>3633</v>
      </c>
      <c r="F1898" s="17" t="s">
        <v>3634</v>
      </c>
      <c r="G1898" s="17" t="s">
        <v>5738</v>
      </c>
      <c r="H1898" t="s">
        <v>7476</v>
      </c>
      <c r="I1898" s="1">
        <v>2</v>
      </c>
      <c r="J1898" s="1">
        <v>2</v>
      </c>
      <c r="K1898" t="s">
        <v>6641</v>
      </c>
      <c r="L1898" s="5">
        <f>VLOOKUP(D:D,[1]Munka2!$A:$B,2,FALSE)</f>
        <v>1</v>
      </c>
      <c r="M1898" s="5">
        <f>_xlfn.IFNA(Táblázat1[[#This Row],[Kész2020]],0)</f>
        <v>1</v>
      </c>
      <c r="N1898" s="5">
        <f>IF(Táblázat1[[#This Row],[Karb./akt.év]]-Táblázat1[[#This Row],[Kész2020_2]]&lt;0,0,Táblázat1[[#This Row],[Karb./akt.év]]-Táblázat1[[#This Row],[Kész2020_2]])</f>
        <v>1</v>
      </c>
    </row>
    <row r="1899" spans="1:14" hidden="1" x14ac:dyDescent="0.25">
      <c r="A1899" s="17" t="s">
        <v>8</v>
      </c>
      <c r="B1899" s="17" t="s">
        <v>773</v>
      </c>
      <c r="C1899" s="17" t="s">
        <v>1741</v>
      </c>
      <c r="D1899" s="17" t="s">
        <v>2549</v>
      </c>
      <c r="E1899" s="17" t="s">
        <v>3894</v>
      </c>
      <c r="F1899" s="17" t="s">
        <v>3895</v>
      </c>
      <c r="G1899" s="17" t="s">
        <v>5717</v>
      </c>
      <c r="H1899" t="s">
        <v>7476</v>
      </c>
      <c r="I1899" s="1">
        <v>2</v>
      </c>
      <c r="J1899" s="1">
        <v>2</v>
      </c>
      <c r="K1899" t="s">
        <v>7354</v>
      </c>
      <c r="L1899" s="5">
        <f>VLOOKUP(D:D,[1]Munka2!$A:$B,2,FALSE)</f>
        <v>1</v>
      </c>
      <c r="M1899" s="5">
        <f>_xlfn.IFNA(Táblázat1[[#This Row],[Kész2020]],0)</f>
        <v>1</v>
      </c>
      <c r="N1899" s="5">
        <f>IF(Táblázat1[[#This Row],[Karb./akt.év]]-Táblázat1[[#This Row],[Kész2020_2]]&lt;0,0,Táblázat1[[#This Row],[Karb./akt.év]]-Táblázat1[[#This Row],[Kész2020_2]])</f>
        <v>1</v>
      </c>
    </row>
    <row r="1900" spans="1:14" x14ac:dyDescent="0.25">
      <c r="A1900" s="17" t="s">
        <v>8</v>
      </c>
      <c r="B1900" s="17" t="s">
        <v>891</v>
      </c>
      <c r="C1900" s="17" t="s">
        <v>1741</v>
      </c>
      <c r="D1900" s="17" t="s">
        <v>2676</v>
      </c>
      <c r="E1900" s="17" t="s">
        <v>3659</v>
      </c>
      <c r="F1900" s="17" t="s">
        <v>3660</v>
      </c>
      <c r="G1900" s="17" t="s">
        <v>5824</v>
      </c>
      <c r="H1900" t="s">
        <v>7476</v>
      </c>
      <c r="I1900" s="1">
        <v>2</v>
      </c>
      <c r="J1900" s="1">
        <v>2</v>
      </c>
      <c r="K1900" t="s">
        <v>7354</v>
      </c>
      <c r="L1900" s="5" t="e">
        <f>VLOOKUP(D:D,[1]Munka2!$A:$B,2,FALSE)</f>
        <v>#N/A</v>
      </c>
      <c r="M1900" s="5">
        <f>_xlfn.IFNA(Táblázat1[[#This Row],[Kész2020]],0)</f>
        <v>0</v>
      </c>
      <c r="N1900" s="5">
        <f>IF(Táblázat1[[#This Row],[Karb./akt.év]]-Táblázat1[[#This Row],[Kész2020_2]]&lt;0,0,Táblázat1[[#This Row],[Karb./akt.év]]-Táblázat1[[#This Row],[Kész2020_2]])</f>
        <v>2</v>
      </c>
    </row>
    <row r="1901" spans="1:14" hidden="1" x14ac:dyDescent="0.25">
      <c r="A1901" s="17" t="s">
        <v>8</v>
      </c>
      <c r="B1901" s="17" t="s">
        <v>163</v>
      </c>
      <c r="C1901" s="17" t="s">
        <v>1741</v>
      </c>
      <c r="D1901" s="17" t="s">
        <v>1903</v>
      </c>
      <c r="E1901" s="17" t="s">
        <v>3763</v>
      </c>
      <c r="F1901" s="17" t="s">
        <v>3764</v>
      </c>
      <c r="G1901" s="17" t="s">
        <v>5133</v>
      </c>
      <c r="H1901" t="s">
        <v>7476</v>
      </c>
      <c r="I1901" s="1">
        <v>2</v>
      </c>
      <c r="J1901" s="1">
        <v>2</v>
      </c>
      <c r="K1901" t="s">
        <v>8103</v>
      </c>
      <c r="L1901" s="5">
        <f>VLOOKUP(D:D,[1]Munka2!$A:$B,2,FALSE)</f>
        <v>1</v>
      </c>
      <c r="M1901" s="5">
        <f>_xlfn.IFNA(Táblázat1[[#This Row],[Kész2020]],0)</f>
        <v>1</v>
      </c>
      <c r="N1901" s="5">
        <f>IF(Táblázat1[[#This Row],[Karb./akt.év]]-Táblázat1[[#This Row],[Kész2020_2]]&lt;0,0,Táblázat1[[#This Row],[Karb./akt.év]]-Táblázat1[[#This Row],[Kész2020_2]])</f>
        <v>1</v>
      </c>
    </row>
    <row r="1902" spans="1:14" hidden="1" x14ac:dyDescent="0.25">
      <c r="A1902" s="17" t="s">
        <v>8</v>
      </c>
      <c r="B1902" s="17" t="s">
        <v>1006</v>
      </c>
      <c r="C1902" s="17" t="s">
        <v>1741</v>
      </c>
      <c r="D1902" s="17" t="s">
        <v>2796</v>
      </c>
      <c r="E1902" s="17" t="s">
        <v>4574</v>
      </c>
      <c r="F1902" s="17" t="s">
        <v>3681</v>
      </c>
      <c r="G1902" s="17" t="s">
        <v>5936</v>
      </c>
      <c r="H1902" t="s">
        <v>7476</v>
      </c>
      <c r="I1902" s="1">
        <v>2</v>
      </c>
      <c r="J1902" s="1">
        <v>2</v>
      </c>
      <c r="K1902" t="s">
        <v>6637</v>
      </c>
      <c r="L1902" s="5">
        <f>VLOOKUP(D:D,[1]Munka2!$A:$B,2,FALSE)</f>
        <v>1</v>
      </c>
      <c r="M1902" s="5">
        <f>_xlfn.IFNA(Táblázat1[[#This Row],[Kész2020]],0)</f>
        <v>1</v>
      </c>
      <c r="N1902" s="5">
        <f>IF(Táblázat1[[#This Row],[Karb./akt.év]]-Táblázat1[[#This Row],[Kész2020_2]]&lt;0,0,Táblázat1[[#This Row],[Karb./akt.év]]-Táblázat1[[#This Row],[Kész2020_2]])</f>
        <v>1</v>
      </c>
    </row>
    <row r="1903" spans="1:14" hidden="1" x14ac:dyDescent="0.25">
      <c r="A1903" s="17" t="s">
        <v>8</v>
      </c>
      <c r="B1903" s="17" t="s">
        <v>1062</v>
      </c>
      <c r="C1903" s="17" t="s">
        <v>1741</v>
      </c>
      <c r="D1903" s="17" t="s">
        <v>2850</v>
      </c>
      <c r="E1903" s="17" t="s">
        <v>4009</v>
      </c>
      <c r="F1903" s="17" t="s">
        <v>4010</v>
      </c>
      <c r="G1903" s="17" t="s">
        <v>5990</v>
      </c>
      <c r="H1903" t="s">
        <v>7476</v>
      </c>
      <c r="I1903" s="1">
        <v>2</v>
      </c>
      <c r="J1903" s="1">
        <v>2</v>
      </c>
      <c r="K1903" t="s">
        <v>6638</v>
      </c>
      <c r="L1903" s="5">
        <f>VLOOKUP(D:D,[1]Munka2!$A:$B,2,FALSE)</f>
        <v>1</v>
      </c>
      <c r="M1903" s="5">
        <f>_xlfn.IFNA(Táblázat1[[#This Row],[Kész2020]],0)</f>
        <v>1</v>
      </c>
      <c r="N1903" s="5">
        <f>IF(Táblázat1[[#This Row],[Karb./akt.év]]-Táblázat1[[#This Row],[Kész2020_2]]&lt;0,0,Táblázat1[[#This Row],[Karb./akt.év]]-Táblázat1[[#This Row],[Kész2020_2]])</f>
        <v>1</v>
      </c>
    </row>
    <row r="1904" spans="1:14" hidden="1" x14ac:dyDescent="0.25">
      <c r="A1904" s="17" t="s">
        <v>8</v>
      </c>
      <c r="B1904" s="17" t="s">
        <v>452</v>
      </c>
      <c r="C1904" s="17" t="s">
        <v>1741</v>
      </c>
      <c r="D1904" s="17" t="s">
        <v>2210</v>
      </c>
      <c r="E1904" s="17" t="s">
        <v>4063</v>
      </c>
      <c r="F1904" s="17" t="s">
        <v>3598</v>
      </c>
      <c r="G1904" s="17" t="s">
        <v>5417</v>
      </c>
      <c r="H1904" t="s">
        <v>7476</v>
      </c>
      <c r="I1904" s="1">
        <v>2</v>
      </c>
      <c r="J1904" s="1">
        <v>2</v>
      </c>
      <c r="K1904" t="s">
        <v>7017</v>
      </c>
      <c r="L1904" s="5">
        <f>VLOOKUP(D:D,[1]Munka2!$A:$B,2,FALSE)</f>
        <v>1</v>
      </c>
      <c r="M1904" s="5">
        <f>_xlfn.IFNA(Táblázat1[[#This Row],[Kész2020]],0)</f>
        <v>1</v>
      </c>
      <c r="N1904" s="5">
        <f>IF(Táblázat1[[#This Row],[Karb./akt.év]]-Táblázat1[[#This Row],[Kész2020_2]]&lt;0,0,Táblázat1[[#This Row],[Karb./akt.év]]-Táblázat1[[#This Row],[Kész2020_2]])</f>
        <v>1</v>
      </c>
    </row>
    <row r="1905" spans="1:14" hidden="1" x14ac:dyDescent="0.25">
      <c r="A1905" s="17" t="s">
        <v>8</v>
      </c>
      <c r="B1905" s="17" t="s">
        <v>1419</v>
      </c>
      <c r="C1905" s="17" t="s">
        <v>1741</v>
      </c>
      <c r="D1905" s="17" t="s">
        <v>3248</v>
      </c>
      <c r="E1905" s="17" t="s">
        <v>3838</v>
      </c>
      <c r="F1905" s="17" t="s">
        <v>3839</v>
      </c>
      <c r="G1905" s="17" t="s">
        <v>6322</v>
      </c>
      <c r="H1905" t="s">
        <v>7476</v>
      </c>
      <c r="I1905" s="1">
        <v>2</v>
      </c>
      <c r="J1905" s="1">
        <v>2</v>
      </c>
      <c r="K1905" t="s">
        <v>6784</v>
      </c>
      <c r="L1905" s="5">
        <f>VLOOKUP(D:D,[1]Munka2!$A:$B,2,FALSE)</f>
        <v>1</v>
      </c>
      <c r="M1905" s="5">
        <f>_xlfn.IFNA(Táblázat1[[#This Row],[Kész2020]],0)</f>
        <v>1</v>
      </c>
      <c r="N1905" s="5">
        <f>IF(Táblázat1[[#This Row],[Karb./akt.év]]-Táblázat1[[#This Row],[Kész2020_2]]&lt;0,0,Táblázat1[[#This Row],[Karb./akt.év]]-Táblázat1[[#This Row],[Kész2020_2]])</f>
        <v>1</v>
      </c>
    </row>
    <row r="1906" spans="1:14" hidden="1" x14ac:dyDescent="0.25">
      <c r="A1906" s="17" t="s">
        <v>8</v>
      </c>
      <c r="B1906" s="17" t="s">
        <v>676</v>
      </c>
      <c r="C1906" s="17" t="s">
        <v>1741</v>
      </c>
      <c r="D1906" s="17" t="s">
        <v>2450</v>
      </c>
      <c r="E1906" s="17" t="s">
        <v>4287</v>
      </c>
      <c r="F1906" s="17" t="s">
        <v>3598</v>
      </c>
      <c r="G1906" s="17" t="s">
        <v>5632</v>
      </c>
      <c r="H1906" t="s">
        <v>7476</v>
      </c>
      <c r="I1906" s="1">
        <v>2</v>
      </c>
      <c r="J1906" s="1">
        <v>2</v>
      </c>
      <c r="K1906" t="s">
        <v>7014</v>
      </c>
      <c r="L1906" s="5">
        <f>VLOOKUP(D:D,[1]Munka2!$A:$B,2,FALSE)</f>
        <v>1</v>
      </c>
      <c r="M1906" s="5">
        <f>_xlfn.IFNA(Táblázat1[[#This Row],[Kész2020]],0)</f>
        <v>1</v>
      </c>
      <c r="N1906" s="5">
        <f>IF(Táblázat1[[#This Row],[Karb./akt.év]]-Táblázat1[[#This Row],[Kész2020_2]]&lt;0,0,Táblázat1[[#This Row],[Karb./akt.év]]-Táblázat1[[#This Row],[Kész2020_2]])</f>
        <v>1</v>
      </c>
    </row>
    <row r="1907" spans="1:14" hidden="1" x14ac:dyDescent="0.25">
      <c r="A1907" s="17" t="s">
        <v>8</v>
      </c>
      <c r="B1907" s="17" t="s">
        <v>397</v>
      </c>
      <c r="C1907" s="17" t="s">
        <v>1741</v>
      </c>
      <c r="D1907" s="17" t="s">
        <v>2152</v>
      </c>
      <c r="E1907" s="17" t="s">
        <v>4020</v>
      </c>
      <c r="F1907" s="17" t="s">
        <v>3598</v>
      </c>
      <c r="G1907" s="17" t="s">
        <v>5365</v>
      </c>
      <c r="H1907" t="s">
        <v>7476</v>
      </c>
      <c r="I1907" s="1">
        <v>2</v>
      </c>
      <c r="J1907" s="1">
        <v>2</v>
      </c>
      <c r="K1907" t="s">
        <v>6633</v>
      </c>
      <c r="L1907" s="5">
        <f>VLOOKUP(D:D,[1]Munka2!$A:$B,2,FALSE)</f>
        <v>1</v>
      </c>
      <c r="M1907" s="5">
        <f>_xlfn.IFNA(Táblázat1[[#This Row],[Kész2020]],0)</f>
        <v>1</v>
      </c>
      <c r="N1907" s="5">
        <f>IF(Táblázat1[[#This Row],[Karb./akt.év]]-Táblázat1[[#This Row],[Kész2020_2]]&lt;0,0,Táblázat1[[#This Row],[Karb./akt.év]]-Táblázat1[[#This Row],[Kész2020_2]])</f>
        <v>1</v>
      </c>
    </row>
    <row r="1908" spans="1:14" hidden="1" x14ac:dyDescent="0.25">
      <c r="A1908" s="17" t="s">
        <v>8</v>
      </c>
      <c r="B1908" s="17" t="s">
        <v>1069</v>
      </c>
      <c r="C1908" s="17" t="s">
        <v>1741</v>
      </c>
      <c r="D1908" s="17" t="s">
        <v>2857</v>
      </c>
      <c r="E1908" s="17" t="s">
        <v>3824</v>
      </c>
      <c r="F1908" s="17" t="s">
        <v>3598</v>
      </c>
      <c r="G1908" s="17" t="s">
        <v>5998</v>
      </c>
      <c r="H1908" t="s">
        <v>7476</v>
      </c>
      <c r="I1908" s="1">
        <v>2</v>
      </c>
      <c r="J1908" s="1">
        <v>2</v>
      </c>
      <c r="K1908" t="s">
        <v>6785</v>
      </c>
      <c r="L1908" s="5">
        <f>VLOOKUP(D:D,[1]Munka2!$A:$B,2,FALSE)</f>
        <v>1</v>
      </c>
      <c r="M1908" s="5">
        <f>_xlfn.IFNA(Táblázat1[[#This Row],[Kész2020]],0)</f>
        <v>1</v>
      </c>
      <c r="N1908" s="5">
        <f>IF(Táblázat1[[#This Row],[Karb./akt.év]]-Táblázat1[[#This Row],[Kész2020_2]]&lt;0,0,Táblázat1[[#This Row],[Karb./akt.év]]-Táblázat1[[#This Row],[Kész2020_2]])</f>
        <v>1</v>
      </c>
    </row>
    <row r="1909" spans="1:14" hidden="1" x14ac:dyDescent="0.25">
      <c r="A1909" s="17" t="s">
        <v>8</v>
      </c>
      <c r="B1909" s="17" t="s">
        <v>506</v>
      </c>
      <c r="C1909" s="17" t="s">
        <v>1741</v>
      </c>
      <c r="D1909" s="17" t="s">
        <v>2269</v>
      </c>
      <c r="E1909" s="17" t="s">
        <v>3625</v>
      </c>
      <c r="F1909" s="17" t="s">
        <v>3626</v>
      </c>
      <c r="G1909" s="17" t="s">
        <v>5468</v>
      </c>
      <c r="H1909" t="s">
        <v>7476</v>
      </c>
      <c r="I1909" s="1">
        <v>2</v>
      </c>
      <c r="J1909" s="1">
        <v>2</v>
      </c>
      <c r="K1909" t="s">
        <v>6642</v>
      </c>
      <c r="L1909" s="5">
        <f>VLOOKUP(D:D,[1]Munka2!$A:$B,2,FALSE)</f>
        <v>1</v>
      </c>
      <c r="M1909" s="5">
        <f>_xlfn.IFNA(Táblázat1[[#This Row],[Kész2020]],0)</f>
        <v>1</v>
      </c>
      <c r="N1909" s="5">
        <f>IF(Táblázat1[[#This Row],[Karb./akt.év]]-Táblázat1[[#This Row],[Kész2020_2]]&lt;0,0,Táblázat1[[#This Row],[Karb./akt.év]]-Táblázat1[[#This Row],[Kész2020_2]])</f>
        <v>1</v>
      </c>
    </row>
    <row r="1910" spans="1:14" x14ac:dyDescent="0.25">
      <c r="A1910" s="17" t="s">
        <v>8</v>
      </c>
      <c r="B1910" s="17" t="s">
        <v>1639</v>
      </c>
      <c r="C1910" s="17" t="s">
        <v>1741</v>
      </c>
      <c r="D1910" s="17" t="s">
        <v>3492</v>
      </c>
      <c r="E1910" s="17" t="s">
        <v>3657</v>
      </c>
      <c r="F1910" s="17" t="s">
        <v>3658</v>
      </c>
      <c r="G1910" s="17" t="s">
        <v>6533</v>
      </c>
      <c r="H1910" t="s">
        <v>7476</v>
      </c>
      <c r="I1910" s="1">
        <v>2</v>
      </c>
      <c r="J1910" s="1">
        <v>2</v>
      </c>
      <c r="K1910" t="s">
        <v>8102</v>
      </c>
      <c r="L1910" s="5" t="e">
        <f>VLOOKUP(D:D,[1]Munka2!$A:$B,2,FALSE)</f>
        <v>#N/A</v>
      </c>
      <c r="M1910" s="5">
        <f>_xlfn.IFNA(Táblázat1[[#This Row],[Kész2020]],0)</f>
        <v>0</v>
      </c>
      <c r="N1910" s="5">
        <f>IF(Táblázat1[[#This Row],[Karb./akt.év]]-Táblázat1[[#This Row],[Kész2020_2]]&lt;0,0,Táblázat1[[#This Row],[Karb./akt.év]]-Táblázat1[[#This Row],[Kész2020_2]])</f>
        <v>2</v>
      </c>
    </row>
    <row r="1911" spans="1:14" hidden="1" x14ac:dyDescent="0.25">
      <c r="A1911" s="17" t="s">
        <v>8</v>
      </c>
      <c r="B1911" s="17" t="s">
        <v>999</v>
      </c>
      <c r="C1911" s="17" t="s">
        <v>1741</v>
      </c>
      <c r="D1911" s="17" t="s">
        <v>7427</v>
      </c>
      <c r="E1911" s="17" t="s">
        <v>4280</v>
      </c>
      <c r="F1911" s="17" t="s">
        <v>3598</v>
      </c>
      <c r="G1911" s="17" t="s">
        <v>7533</v>
      </c>
      <c r="H1911" t="s">
        <v>7476</v>
      </c>
      <c r="I1911" s="1">
        <v>2</v>
      </c>
      <c r="J1911" s="1">
        <v>2</v>
      </c>
      <c r="K1911" t="s">
        <v>6633</v>
      </c>
      <c r="L1911" s="5">
        <f>VLOOKUP(D:D,[1]Munka2!$A:$B,2,FALSE)</f>
        <v>1</v>
      </c>
      <c r="M1911" s="5">
        <f>_xlfn.IFNA(Táblázat1[[#This Row],[Kész2020]],0)</f>
        <v>1</v>
      </c>
      <c r="N1911" s="5">
        <f>IF(Táblázat1[[#This Row],[Karb./akt.év]]-Táblázat1[[#This Row],[Kész2020_2]]&lt;0,0,Táblázat1[[#This Row],[Karb./akt.év]]-Táblázat1[[#This Row],[Kész2020_2]])</f>
        <v>1</v>
      </c>
    </row>
    <row r="1912" spans="1:14" hidden="1" x14ac:dyDescent="0.25">
      <c r="A1912" s="17" t="s">
        <v>8</v>
      </c>
      <c r="B1912" s="17" t="s">
        <v>373</v>
      </c>
      <c r="C1912" s="17" t="s">
        <v>1741</v>
      </c>
      <c r="D1912" s="17" t="s">
        <v>2127</v>
      </c>
      <c r="E1912" s="17" t="s">
        <v>3695</v>
      </c>
      <c r="F1912" s="17" t="s">
        <v>3696</v>
      </c>
      <c r="G1912" s="17" t="s">
        <v>5341</v>
      </c>
      <c r="H1912" t="s">
        <v>7476</v>
      </c>
      <c r="I1912" s="1">
        <v>2</v>
      </c>
      <c r="J1912" s="1">
        <v>2</v>
      </c>
      <c r="K1912" t="s">
        <v>6638</v>
      </c>
      <c r="L1912" s="5">
        <f>VLOOKUP(D:D,[1]Munka2!$A:$B,2,FALSE)</f>
        <v>1</v>
      </c>
      <c r="M1912" s="5">
        <f>_xlfn.IFNA(Táblázat1[[#This Row],[Kész2020]],0)</f>
        <v>1</v>
      </c>
      <c r="N1912" s="5">
        <f>IF(Táblázat1[[#This Row],[Karb./akt.év]]-Táblázat1[[#This Row],[Kész2020_2]]&lt;0,0,Táblázat1[[#This Row],[Karb./akt.év]]-Táblázat1[[#This Row],[Kész2020_2]])</f>
        <v>1</v>
      </c>
    </row>
    <row r="1913" spans="1:14" hidden="1" x14ac:dyDescent="0.25">
      <c r="A1913" s="17" t="s">
        <v>8</v>
      </c>
      <c r="B1913" s="17" t="s">
        <v>588</v>
      </c>
      <c r="C1913" s="17" t="s">
        <v>1741</v>
      </c>
      <c r="D1913" s="17" t="s">
        <v>2361</v>
      </c>
      <c r="E1913" s="17" t="s">
        <v>4211</v>
      </c>
      <c r="F1913" s="17" t="s">
        <v>3755</v>
      </c>
      <c r="G1913" s="17" t="s">
        <v>5552</v>
      </c>
      <c r="H1913" t="s">
        <v>7476</v>
      </c>
      <c r="I1913" s="1">
        <v>2</v>
      </c>
      <c r="J1913" s="1">
        <v>2</v>
      </c>
      <c r="K1913" t="s">
        <v>6640</v>
      </c>
      <c r="L1913" s="5">
        <f>VLOOKUP(D:D,[1]Munka2!$A:$B,2,FALSE)</f>
        <v>1</v>
      </c>
      <c r="M1913" s="5">
        <f>_xlfn.IFNA(Táblázat1[[#This Row],[Kész2020]],0)</f>
        <v>1</v>
      </c>
      <c r="N1913" s="5">
        <f>IF(Táblázat1[[#This Row],[Karb./akt.év]]-Táblázat1[[#This Row],[Kész2020_2]]&lt;0,0,Táblázat1[[#This Row],[Karb./akt.év]]-Táblázat1[[#This Row],[Kész2020_2]])</f>
        <v>1</v>
      </c>
    </row>
    <row r="1914" spans="1:14" hidden="1" x14ac:dyDescent="0.25">
      <c r="A1914" s="17" t="s">
        <v>8</v>
      </c>
      <c r="B1914" s="17" t="s">
        <v>360</v>
      </c>
      <c r="C1914" s="17" t="s">
        <v>1741</v>
      </c>
      <c r="D1914" s="17" t="s">
        <v>2115</v>
      </c>
      <c r="E1914" s="17" t="s">
        <v>3730</v>
      </c>
      <c r="F1914" s="17" t="s">
        <v>3731</v>
      </c>
      <c r="G1914" s="17" t="s">
        <v>5327</v>
      </c>
      <c r="H1914" t="s">
        <v>7476</v>
      </c>
      <c r="I1914" s="1">
        <v>2</v>
      </c>
      <c r="J1914" s="1">
        <v>2</v>
      </c>
      <c r="K1914" t="s">
        <v>6641</v>
      </c>
      <c r="L1914" s="5">
        <f>VLOOKUP(D:D,[1]Munka2!$A:$B,2,FALSE)</f>
        <v>1</v>
      </c>
      <c r="M1914" s="5">
        <f>_xlfn.IFNA(Táblázat1[[#This Row],[Kész2020]],0)</f>
        <v>1</v>
      </c>
      <c r="N1914" s="5">
        <f>IF(Táblázat1[[#This Row],[Karb./akt.év]]-Táblázat1[[#This Row],[Kész2020_2]]&lt;0,0,Táblázat1[[#This Row],[Karb./akt.év]]-Táblázat1[[#This Row],[Kész2020_2]])</f>
        <v>1</v>
      </c>
    </row>
    <row r="1915" spans="1:14" hidden="1" x14ac:dyDescent="0.25">
      <c r="A1915" s="17" t="s">
        <v>8</v>
      </c>
      <c r="B1915" s="17" t="s">
        <v>923</v>
      </c>
      <c r="C1915" s="17" t="s">
        <v>1741</v>
      </c>
      <c r="D1915" s="17" t="s">
        <v>2705</v>
      </c>
      <c r="E1915" s="17" t="s">
        <v>4463</v>
      </c>
      <c r="F1915" s="17" t="s">
        <v>3946</v>
      </c>
      <c r="G1915" s="17" t="s">
        <v>5848</v>
      </c>
      <c r="H1915" t="s">
        <v>7476</v>
      </c>
      <c r="I1915" s="1">
        <v>2</v>
      </c>
      <c r="J1915" s="1">
        <v>2</v>
      </c>
      <c r="K1915" t="s">
        <v>8103</v>
      </c>
      <c r="L1915" s="5">
        <f>VLOOKUP(D:D,[1]Munka2!$A:$B,2,FALSE)</f>
        <v>1</v>
      </c>
      <c r="M1915" s="5">
        <f>_xlfn.IFNA(Táblázat1[[#This Row],[Kész2020]],0)</f>
        <v>1</v>
      </c>
      <c r="N1915" s="5">
        <f>IF(Táblázat1[[#This Row],[Karb./akt.év]]-Táblázat1[[#This Row],[Kész2020_2]]&lt;0,0,Táblázat1[[#This Row],[Karb./akt.év]]-Táblázat1[[#This Row],[Kész2020_2]])</f>
        <v>1</v>
      </c>
    </row>
    <row r="1916" spans="1:14" x14ac:dyDescent="0.25">
      <c r="A1916" s="17" t="s">
        <v>8</v>
      </c>
      <c r="B1916" s="17" t="s">
        <v>246</v>
      </c>
      <c r="C1916" s="17" t="s">
        <v>1741</v>
      </c>
      <c r="D1916" s="17" t="s">
        <v>1991</v>
      </c>
      <c r="E1916" s="17" t="s">
        <v>3860</v>
      </c>
      <c r="F1916" s="17" t="s">
        <v>3861</v>
      </c>
      <c r="G1916" s="17" t="s">
        <v>5213</v>
      </c>
      <c r="H1916" t="s">
        <v>7476</v>
      </c>
      <c r="I1916" s="1">
        <v>2</v>
      </c>
      <c r="J1916" s="1">
        <v>2</v>
      </c>
      <c r="K1916" t="s">
        <v>7354</v>
      </c>
      <c r="L1916" s="5" t="e">
        <f>VLOOKUP(D:D,[1]Munka2!$A:$B,2,FALSE)</f>
        <v>#N/A</v>
      </c>
      <c r="M1916" s="5">
        <f>_xlfn.IFNA(Táblázat1[[#This Row],[Kész2020]],0)</f>
        <v>0</v>
      </c>
      <c r="N1916" s="5">
        <f>IF(Táblázat1[[#This Row],[Karb./akt.év]]-Táblázat1[[#This Row],[Kész2020_2]]&lt;0,0,Táblázat1[[#This Row],[Karb./akt.év]]-Táblázat1[[#This Row],[Kész2020_2]])</f>
        <v>2</v>
      </c>
    </row>
    <row r="1917" spans="1:14" hidden="1" x14ac:dyDescent="0.25">
      <c r="A1917" s="17" t="s">
        <v>8</v>
      </c>
      <c r="B1917" s="17" t="s">
        <v>955</v>
      </c>
      <c r="C1917" s="17" t="s">
        <v>1741</v>
      </c>
      <c r="D1917" s="17" t="s">
        <v>2741</v>
      </c>
      <c r="E1917" s="17" t="s">
        <v>4332</v>
      </c>
      <c r="F1917" s="17" t="s">
        <v>3598</v>
      </c>
      <c r="G1917" s="17" t="s">
        <v>5885</v>
      </c>
      <c r="H1917" t="s">
        <v>7476</v>
      </c>
      <c r="I1917" s="1">
        <v>2</v>
      </c>
      <c r="J1917" s="1">
        <v>2</v>
      </c>
      <c r="K1917" t="s">
        <v>6785</v>
      </c>
      <c r="L1917" s="5">
        <f>VLOOKUP(D:D,[1]Munka2!$A:$B,2,FALSE)</f>
        <v>1</v>
      </c>
      <c r="M1917" s="5">
        <f>_xlfn.IFNA(Táblázat1[[#This Row],[Kész2020]],0)</f>
        <v>1</v>
      </c>
      <c r="N1917" s="5">
        <f>IF(Táblázat1[[#This Row],[Karb./akt.év]]-Táblázat1[[#This Row],[Kész2020_2]]&lt;0,0,Táblázat1[[#This Row],[Karb./akt.év]]-Táblázat1[[#This Row],[Kész2020_2]])</f>
        <v>1</v>
      </c>
    </row>
    <row r="1918" spans="1:14" hidden="1" x14ac:dyDescent="0.25">
      <c r="A1918" s="17" t="s">
        <v>8</v>
      </c>
      <c r="B1918" s="17" t="s">
        <v>400</v>
      </c>
      <c r="C1918" s="17" t="s">
        <v>1741</v>
      </c>
      <c r="D1918" s="17" t="s">
        <v>2155</v>
      </c>
      <c r="E1918" s="17" t="s">
        <v>4022</v>
      </c>
      <c r="F1918" s="17" t="s">
        <v>4023</v>
      </c>
      <c r="G1918" s="17" t="s">
        <v>5367</v>
      </c>
      <c r="H1918" t="s">
        <v>7476</v>
      </c>
      <c r="I1918" s="1">
        <v>2</v>
      </c>
      <c r="J1918" s="1">
        <v>2</v>
      </c>
      <c r="K1918" t="s">
        <v>6636</v>
      </c>
      <c r="L1918" s="5">
        <f>VLOOKUP(D:D,[1]Munka2!$A:$B,2,FALSE)</f>
        <v>1</v>
      </c>
      <c r="M1918" s="5">
        <f>_xlfn.IFNA(Táblázat1[[#This Row],[Kész2020]],0)</f>
        <v>1</v>
      </c>
      <c r="N1918" s="5">
        <f>IF(Táblázat1[[#This Row],[Karb./akt.év]]-Táblázat1[[#This Row],[Kész2020_2]]&lt;0,0,Táblázat1[[#This Row],[Karb./akt.év]]-Táblázat1[[#This Row],[Kész2020_2]])</f>
        <v>1</v>
      </c>
    </row>
    <row r="1919" spans="1:14" hidden="1" x14ac:dyDescent="0.25">
      <c r="A1919" s="17" t="s">
        <v>8</v>
      </c>
      <c r="B1919" s="17" t="s">
        <v>410</v>
      </c>
      <c r="C1919" s="17" t="s">
        <v>1741</v>
      </c>
      <c r="D1919" s="17" t="s">
        <v>2166</v>
      </c>
      <c r="E1919" s="17" t="s">
        <v>4028</v>
      </c>
      <c r="F1919" s="17" t="s">
        <v>4029</v>
      </c>
      <c r="G1919" s="17" t="s">
        <v>5377</v>
      </c>
      <c r="H1919" t="s">
        <v>7476</v>
      </c>
      <c r="I1919" s="1">
        <v>2</v>
      </c>
      <c r="J1919" s="1">
        <v>2</v>
      </c>
      <c r="K1919" t="s">
        <v>6639</v>
      </c>
      <c r="L1919" s="5">
        <f>VLOOKUP(D:D,[1]Munka2!$A:$B,2,FALSE)</f>
        <v>1</v>
      </c>
      <c r="M1919" s="5">
        <f>_xlfn.IFNA(Táblázat1[[#This Row],[Kész2020]],0)</f>
        <v>1</v>
      </c>
      <c r="N1919" s="5">
        <f>IF(Táblázat1[[#This Row],[Karb./akt.év]]-Táblázat1[[#This Row],[Kész2020_2]]&lt;0,0,Táblázat1[[#This Row],[Karb./akt.év]]-Táblázat1[[#This Row],[Kész2020_2]])</f>
        <v>1</v>
      </c>
    </row>
    <row r="1920" spans="1:14" hidden="1" x14ac:dyDescent="0.25">
      <c r="A1920" s="17" t="s">
        <v>8</v>
      </c>
      <c r="B1920" s="17" t="s">
        <v>627</v>
      </c>
      <c r="C1920" s="17" t="s">
        <v>1741</v>
      </c>
      <c r="D1920" s="17" t="s">
        <v>2402</v>
      </c>
      <c r="E1920" s="17" t="s">
        <v>3707</v>
      </c>
      <c r="F1920" s="17" t="s">
        <v>3708</v>
      </c>
      <c r="G1920" s="17" t="s">
        <v>5587</v>
      </c>
      <c r="H1920" t="s">
        <v>7476</v>
      </c>
      <c r="I1920" s="1">
        <v>2</v>
      </c>
      <c r="J1920" s="1">
        <v>2</v>
      </c>
      <c r="K1920" t="s">
        <v>6641</v>
      </c>
      <c r="L1920" s="5">
        <f>VLOOKUP(D:D,[1]Munka2!$A:$B,2,FALSE)</f>
        <v>1</v>
      </c>
      <c r="M1920" s="5">
        <f>_xlfn.IFNA(Táblázat1[[#This Row],[Kész2020]],0)</f>
        <v>1</v>
      </c>
      <c r="N1920" s="5">
        <f>IF(Táblázat1[[#This Row],[Karb./akt.év]]-Táblázat1[[#This Row],[Kész2020_2]]&lt;0,0,Táblázat1[[#This Row],[Karb./akt.év]]-Táblázat1[[#This Row],[Kész2020_2]])</f>
        <v>1</v>
      </c>
    </row>
    <row r="1921" spans="1:14" hidden="1" x14ac:dyDescent="0.25">
      <c r="A1921" s="17" t="s">
        <v>8</v>
      </c>
      <c r="B1921" s="17" t="s">
        <v>1318</v>
      </c>
      <c r="C1921" s="17" t="s">
        <v>1741</v>
      </c>
      <c r="D1921" s="17" t="s">
        <v>3133</v>
      </c>
      <c r="E1921" s="17" t="s">
        <v>4200</v>
      </c>
      <c r="F1921" s="17" t="s">
        <v>3598</v>
      </c>
      <c r="G1921" s="17" t="s">
        <v>6237</v>
      </c>
      <c r="H1921" t="s">
        <v>7476</v>
      </c>
      <c r="I1921" s="1">
        <v>2</v>
      </c>
      <c r="J1921" s="1">
        <v>2</v>
      </c>
      <c r="K1921" t="s">
        <v>6785</v>
      </c>
      <c r="L1921" s="5">
        <f>VLOOKUP(D:D,[1]Munka2!$A:$B,2,FALSE)</f>
        <v>1</v>
      </c>
      <c r="M1921" s="5">
        <f>_xlfn.IFNA(Táblázat1[[#This Row],[Kész2020]],0)</f>
        <v>1</v>
      </c>
      <c r="N1921" s="5">
        <f>IF(Táblázat1[[#This Row],[Karb./akt.év]]-Táblázat1[[#This Row],[Kész2020_2]]&lt;0,0,Táblázat1[[#This Row],[Karb./akt.év]]-Táblázat1[[#This Row],[Kész2020_2]])</f>
        <v>1</v>
      </c>
    </row>
    <row r="1922" spans="1:14" hidden="1" x14ac:dyDescent="0.25">
      <c r="A1922" s="17" t="s">
        <v>8</v>
      </c>
      <c r="B1922" s="17" t="s">
        <v>967</v>
      </c>
      <c r="C1922" s="17" t="s">
        <v>1741</v>
      </c>
      <c r="D1922" s="17" t="s">
        <v>2754</v>
      </c>
      <c r="E1922" s="17" t="s">
        <v>3808</v>
      </c>
      <c r="F1922" s="17" t="s">
        <v>3809</v>
      </c>
      <c r="G1922" s="17" t="s">
        <v>5896</v>
      </c>
      <c r="H1922" t="s">
        <v>7476</v>
      </c>
      <c r="I1922" s="1">
        <v>2</v>
      </c>
      <c r="J1922" s="1">
        <v>2</v>
      </c>
      <c r="K1922" t="s">
        <v>6640</v>
      </c>
      <c r="L1922" s="5">
        <f>VLOOKUP(D:D,[1]Munka2!$A:$B,2,FALSE)</f>
        <v>1</v>
      </c>
      <c r="M1922" s="5">
        <f>_xlfn.IFNA(Táblázat1[[#This Row],[Kész2020]],0)</f>
        <v>1</v>
      </c>
      <c r="N1922" s="5">
        <f>IF(Táblázat1[[#This Row],[Karb./akt.év]]-Táblázat1[[#This Row],[Kész2020_2]]&lt;0,0,Táblázat1[[#This Row],[Karb./akt.év]]-Táblázat1[[#This Row],[Kész2020_2]])</f>
        <v>1</v>
      </c>
    </row>
    <row r="1923" spans="1:14" hidden="1" x14ac:dyDescent="0.25">
      <c r="A1923" s="17" t="s">
        <v>8</v>
      </c>
      <c r="B1923" s="17" t="s">
        <v>1263</v>
      </c>
      <c r="C1923" s="17" t="s">
        <v>1741</v>
      </c>
      <c r="D1923" s="17" t="s">
        <v>3075</v>
      </c>
      <c r="E1923" s="17" t="s">
        <v>4543</v>
      </c>
      <c r="F1923" s="17" t="s">
        <v>4544</v>
      </c>
      <c r="G1923" s="17" t="s">
        <v>6189</v>
      </c>
      <c r="H1923" t="s">
        <v>7476</v>
      </c>
      <c r="I1923" s="1">
        <v>2</v>
      </c>
      <c r="J1923" s="1">
        <v>2</v>
      </c>
      <c r="K1923" t="s">
        <v>6635</v>
      </c>
      <c r="L1923" s="5">
        <f>VLOOKUP(D:D,[1]Munka2!$A:$B,2,FALSE)</f>
        <v>1</v>
      </c>
      <c r="M1923" s="5">
        <f>_xlfn.IFNA(Táblázat1[[#This Row],[Kész2020]],0)</f>
        <v>1</v>
      </c>
      <c r="N1923" s="5">
        <f>IF(Táblázat1[[#This Row],[Karb./akt.év]]-Táblázat1[[#This Row],[Kész2020_2]]&lt;0,0,Táblázat1[[#This Row],[Karb./akt.év]]-Táblázat1[[#This Row],[Kész2020_2]])</f>
        <v>1</v>
      </c>
    </row>
    <row r="1924" spans="1:14" hidden="1" x14ac:dyDescent="0.25">
      <c r="A1924" s="17" t="s">
        <v>8</v>
      </c>
      <c r="B1924" s="17" t="s">
        <v>638</v>
      </c>
      <c r="C1924" s="17" t="s">
        <v>1741</v>
      </c>
      <c r="D1924" s="17" t="s">
        <v>2412</v>
      </c>
      <c r="E1924" s="17" t="s">
        <v>4121</v>
      </c>
      <c r="F1924" s="17" t="s">
        <v>4122</v>
      </c>
      <c r="G1924" s="17" t="s">
        <v>5598</v>
      </c>
      <c r="H1924" t="s">
        <v>7476</v>
      </c>
      <c r="I1924" s="1">
        <v>2</v>
      </c>
      <c r="J1924" s="1">
        <v>2</v>
      </c>
      <c r="K1924" t="s">
        <v>7014</v>
      </c>
      <c r="L1924" s="5">
        <f>VLOOKUP(D:D,[1]Munka2!$A:$B,2,FALSE)</f>
        <v>1</v>
      </c>
      <c r="M1924" s="5">
        <f>_xlfn.IFNA(Táblázat1[[#This Row],[Kész2020]],0)</f>
        <v>1</v>
      </c>
      <c r="N1924" s="5">
        <f>IF(Táblázat1[[#This Row],[Karb./akt.év]]-Táblázat1[[#This Row],[Kész2020_2]]&lt;0,0,Táblázat1[[#This Row],[Karb./akt.év]]-Táblázat1[[#This Row],[Kész2020_2]])</f>
        <v>1</v>
      </c>
    </row>
    <row r="1925" spans="1:14" hidden="1" x14ac:dyDescent="0.25">
      <c r="A1925" s="17" t="s">
        <v>8</v>
      </c>
      <c r="B1925" s="17" t="s">
        <v>502</v>
      </c>
      <c r="C1925" s="17" t="s">
        <v>1741</v>
      </c>
      <c r="D1925" s="17" t="s">
        <v>2264</v>
      </c>
      <c r="E1925" s="17" t="s">
        <v>4085</v>
      </c>
      <c r="F1925" s="17" t="s">
        <v>4086</v>
      </c>
      <c r="G1925" s="17" t="s">
        <v>5464</v>
      </c>
      <c r="H1925" t="s">
        <v>7476</v>
      </c>
      <c r="I1925" s="1">
        <v>2</v>
      </c>
      <c r="J1925" s="1">
        <v>2</v>
      </c>
      <c r="K1925" t="s">
        <v>7017</v>
      </c>
      <c r="L1925" s="5">
        <f>VLOOKUP(D:D,[1]Munka2!$A:$B,2,FALSE)</f>
        <v>1</v>
      </c>
      <c r="M1925" s="5">
        <f>_xlfn.IFNA(Táblázat1[[#This Row],[Kész2020]],0)</f>
        <v>1</v>
      </c>
      <c r="N1925" s="5">
        <f>IF(Táblázat1[[#This Row],[Karb./akt.év]]-Táblázat1[[#This Row],[Kész2020_2]]&lt;0,0,Táblázat1[[#This Row],[Karb./akt.év]]-Táblázat1[[#This Row],[Kész2020_2]])</f>
        <v>1</v>
      </c>
    </row>
    <row r="1926" spans="1:14" x14ac:dyDescent="0.25">
      <c r="A1926" s="17" t="s">
        <v>8</v>
      </c>
      <c r="B1926" s="17" t="s">
        <v>1256</v>
      </c>
      <c r="C1926" s="17" t="s">
        <v>1741</v>
      </c>
      <c r="D1926" s="17" t="s">
        <v>3068</v>
      </c>
      <c r="E1926" s="17" t="s">
        <v>4564</v>
      </c>
      <c r="F1926" s="17" t="s">
        <v>4621</v>
      </c>
      <c r="G1926" s="17" t="s">
        <v>6183</v>
      </c>
      <c r="H1926" t="s">
        <v>7476</v>
      </c>
      <c r="I1926" s="1">
        <v>2</v>
      </c>
      <c r="J1926" s="1">
        <v>2</v>
      </c>
      <c r="K1926" t="s">
        <v>6634</v>
      </c>
      <c r="L1926" s="5" t="e">
        <f>VLOOKUP(D:D,[1]Munka2!$A:$B,2,FALSE)</f>
        <v>#N/A</v>
      </c>
      <c r="M1926" s="5">
        <f>_xlfn.IFNA(Táblázat1[[#This Row],[Kész2020]],0)</f>
        <v>0</v>
      </c>
      <c r="N1926" s="5">
        <f>IF(Táblázat1[[#This Row],[Karb./akt.év]]-Táblázat1[[#This Row],[Kész2020_2]]&lt;0,0,Táblázat1[[#This Row],[Karb./akt.év]]-Táblázat1[[#This Row],[Kész2020_2]])</f>
        <v>2</v>
      </c>
    </row>
    <row r="1927" spans="1:14" hidden="1" x14ac:dyDescent="0.25">
      <c r="A1927" s="17" t="s">
        <v>8</v>
      </c>
      <c r="B1927" s="17" t="s">
        <v>1451</v>
      </c>
      <c r="C1927" s="17" t="s">
        <v>1741</v>
      </c>
      <c r="D1927" s="17" t="s">
        <v>3283</v>
      </c>
      <c r="E1927" s="17" t="s">
        <v>3697</v>
      </c>
      <c r="F1927" s="17" t="s">
        <v>3698</v>
      </c>
      <c r="G1927" s="17" t="s">
        <v>6357</v>
      </c>
      <c r="H1927" t="s">
        <v>7476</v>
      </c>
      <c r="I1927" s="1">
        <v>2</v>
      </c>
      <c r="J1927" s="1">
        <v>2</v>
      </c>
      <c r="K1927" t="s">
        <v>6639</v>
      </c>
      <c r="L1927" s="5">
        <f>VLOOKUP(D:D,[1]Munka2!$A:$B,2,FALSE)</f>
        <v>1</v>
      </c>
      <c r="M1927" s="5">
        <f>_xlfn.IFNA(Táblázat1[[#This Row],[Kész2020]],0)</f>
        <v>1</v>
      </c>
      <c r="N1927" s="5">
        <f>IF(Táblázat1[[#This Row],[Karb./akt.év]]-Táblázat1[[#This Row],[Kész2020_2]]&lt;0,0,Táblázat1[[#This Row],[Karb./akt.év]]-Táblázat1[[#This Row],[Kész2020_2]])</f>
        <v>1</v>
      </c>
    </row>
    <row r="1928" spans="1:14" x14ac:dyDescent="0.25">
      <c r="A1928" s="17" t="s">
        <v>8</v>
      </c>
      <c r="B1928" s="17" t="s">
        <v>1300</v>
      </c>
      <c r="C1928" s="17" t="s">
        <v>1741</v>
      </c>
      <c r="D1928" s="17" t="s">
        <v>3114</v>
      </c>
      <c r="E1928" s="17" t="s">
        <v>4797</v>
      </c>
      <c r="F1928" s="17" t="s">
        <v>4798</v>
      </c>
      <c r="G1928" s="17" t="s">
        <v>6219</v>
      </c>
      <c r="H1928" t="s">
        <v>7476</v>
      </c>
      <c r="I1928" s="1">
        <v>2</v>
      </c>
      <c r="J1928" s="1">
        <v>2</v>
      </c>
      <c r="K1928" t="s">
        <v>7014</v>
      </c>
      <c r="L1928" s="5" t="e">
        <f>VLOOKUP(D:D,[1]Munka2!$A:$B,2,FALSE)</f>
        <v>#N/A</v>
      </c>
      <c r="M1928" s="5">
        <f>_xlfn.IFNA(Táblázat1[[#This Row],[Kész2020]],0)</f>
        <v>0</v>
      </c>
      <c r="N1928" s="5">
        <f>IF(Táblázat1[[#This Row],[Karb./akt.év]]-Táblázat1[[#This Row],[Kész2020_2]]&lt;0,0,Táblázat1[[#This Row],[Karb./akt.év]]-Táblázat1[[#This Row],[Kész2020_2]])</f>
        <v>2</v>
      </c>
    </row>
    <row r="1929" spans="1:14" hidden="1" x14ac:dyDescent="0.25">
      <c r="A1929" s="17" t="s">
        <v>8</v>
      </c>
      <c r="B1929" s="17" t="s">
        <v>1420</v>
      </c>
      <c r="C1929" s="17" t="s">
        <v>1741</v>
      </c>
      <c r="D1929" s="17" t="s">
        <v>3250</v>
      </c>
      <c r="E1929" s="17" t="s">
        <v>4073</v>
      </c>
      <c r="F1929" s="17" t="s">
        <v>4074</v>
      </c>
      <c r="G1929" s="17" t="s">
        <v>6324</v>
      </c>
      <c r="H1929" t="s">
        <v>7476</v>
      </c>
      <c r="I1929" s="1">
        <v>2</v>
      </c>
      <c r="J1929" s="1">
        <v>2</v>
      </c>
      <c r="K1929" t="s">
        <v>8103</v>
      </c>
      <c r="L1929" s="5">
        <f>VLOOKUP(D:D,[1]Munka2!$A:$B,2,FALSE)</f>
        <v>1</v>
      </c>
      <c r="M1929" s="5">
        <f>_xlfn.IFNA(Táblázat1[[#This Row],[Kész2020]],0)</f>
        <v>1</v>
      </c>
      <c r="N1929" s="5">
        <f>IF(Táblázat1[[#This Row],[Karb./akt.év]]-Táblázat1[[#This Row],[Kész2020_2]]&lt;0,0,Táblázat1[[#This Row],[Karb./akt.év]]-Táblázat1[[#This Row],[Kész2020_2]])</f>
        <v>1</v>
      </c>
    </row>
    <row r="1930" spans="1:14" hidden="1" x14ac:dyDescent="0.25">
      <c r="A1930" s="17" t="s">
        <v>8</v>
      </c>
      <c r="B1930" s="17" t="s">
        <v>1395</v>
      </c>
      <c r="C1930" s="17" t="s">
        <v>1741</v>
      </c>
      <c r="D1930" s="17" t="s">
        <v>3221</v>
      </c>
      <c r="E1930" s="17" t="s">
        <v>3650</v>
      </c>
      <c r="F1930" s="17" t="s">
        <v>3651</v>
      </c>
      <c r="G1930" s="17" t="s">
        <v>6302</v>
      </c>
      <c r="H1930" t="s">
        <v>7476</v>
      </c>
      <c r="I1930" s="1">
        <v>2</v>
      </c>
      <c r="J1930" s="1">
        <v>2</v>
      </c>
      <c r="K1930" t="s">
        <v>6639</v>
      </c>
      <c r="L1930" s="5">
        <f>VLOOKUP(D:D,[1]Munka2!$A:$B,2,FALSE)</f>
        <v>1</v>
      </c>
      <c r="M1930" s="5">
        <f>_xlfn.IFNA(Táblázat1[[#This Row],[Kész2020]],0)</f>
        <v>1</v>
      </c>
      <c r="N1930" s="5">
        <f>IF(Táblázat1[[#This Row],[Karb./akt.év]]-Táblázat1[[#This Row],[Kész2020_2]]&lt;0,0,Táblázat1[[#This Row],[Karb./akt.év]]-Táblázat1[[#This Row],[Kész2020_2]])</f>
        <v>1</v>
      </c>
    </row>
    <row r="1931" spans="1:14" hidden="1" x14ac:dyDescent="0.25">
      <c r="A1931" s="17" t="s">
        <v>8</v>
      </c>
      <c r="B1931" s="17" t="s">
        <v>1306</v>
      </c>
      <c r="C1931" s="17" t="s">
        <v>1741</v>
      </c>
      <c r="D1931" s="17" t="s">
        <v>3121</v>
      </c>
      <c r="E1931" s="17" t="s">
        <v>4186</v>
      </c>
      <c r="F1931" s="17" t="s">
        <v>3598</v>
      </c>
      <c r="G1931" s="17" t="s">
        <v>6225</v>
      </c>
      <c r="H1931" t="s">
        <v>7476</v>
      </c>
      <c r="I1931" s="1">
        <v>2</v>
      </c>
      <c r="J1931" s="1">
        <v>2</v>
      </c>
      <c r="K1931" t="s">
        <v>6785</v>
      </c>
      <c r="L1931" s="5">
        <f>VLOOKUP(D:D,[1]Munka2!$A:$B,2,FALSE)</f>
        <v>1</v>
      </c>
      <c r="M1931" s="5">
        <f>_xlfn.IFNA(Táblázat1[[#This Row],[Kész2020]],0)</f>
        <v>1</v>
      </c>
      <c r="N1931" s="5">
        <f>IF(Táblázat1[[#This Row],[Karb./akt.év]]-Táblázat1[[#This Row],[Kész2020_2]]&lt;0,0,Táblázat1[[#This Row],[Karb./akt.év]]-Táblázat1[[#This Row],[Kész2020_2]])</f>
        <v>1</v>
      </c>
    </row>
    <row r="1932" spans="1:14" hidden="1" x14ac:dyDescent="0.25">
      <c r="A1932" s="17" t="s">
        <v>8</v>
      </c>
      <c r="B1932" s="17" t="s">
        <v>1412</v>
      </c>
      <c r="C1932" s="17" t="s">
        <v>1741</v>
      </c>
      <c r="D1932" s="17" t="s">
        <v>3240</v>
      </c>
      <c r="E1932" s="17" t="s">
        <v>4602</v>
      </c>
      <c r="F1932" s="17" t="s">
        <v>4603</v>
      </c>
      <c r="G1932" s="17" t="s">
        <v>6316</v>
      </c>
      <c r="H1932" t="s">
        <v>7476</v>
      </c>
      <c r="I1932" s="1">
        <v>2</v>
      </c>
      <c r="J1932" s="1">
        <v>2</v>
      </c>
      <c r="K1932" t="s">
        <v>7017</v>
      </c>
      <c r="L1932" s="5">
        <f>VLOOKUP(D:D,[1]Munka2!$A:$B,2,FALSE)</f>
        <v>1</v>
      </c>
      <c r="M1932" s="5">
        <f>_xlfn.IFNA(Táblázat1[[#This Row],[Kész2020]],0)</f>
        <v>1</v>
      </c>
      <c r="N1932" s="5">
        <f>IF(Táblázat1[[#This Row],[Karb./akt.év]]-Táblázat1[[#This Row],[Kész2020_2]]&lt;0,0,Táblázat1[[#This Row],[Karb./akt.év]]-Táblázat1[[#This Row],[Kész2020_2]])</f>
        <v>1</v>
      </c>
    </row>
    <row r="1933" spans="1:14" hidden="1" x14ac:dyDescent="0.25">
      <c r="A1933" s="17" t="s">
        <v>8</v>
      </c>
      <c r="B1933" s="17" t="s">
        <v>1437</v>
      </c>
      <c r="C1933" s="17" t="s">
        <v>1741</v>
      </c>
      <c r="D1933" s="17" t="s">
        <v>3268</v>
      </c>
      <c r="E1933" s="17" t="s">
        <v>4585</v>
      </c>
      <c r="F1933" s="17" t="s">
        <v>4586</v>
      </c>
      <c r="G1933" s="17" t="s">
        <v>6342</v>
      </c>
      <c r="H1933" t="s">
        <v>7476</v>
      </c>
      <c r="I1933" s="1">
        <v>2</v>
      </c>
      <c r="J1933" s="1">
        <v>2</v>
      </c>
      <c r="K1933" t="s">
        <v>6636</v>
      </c>
      <c r="L1933" s="5">
        <f>VLOOKUP(D:D,[1]Munka2!$A:$B,2,FALSE)</f>
        <v>1</v>
      </c>
      <c r="M1933" s="5">
        <f>_xlfn.IFNA(Táblázat1[[#This Row],[Kész2020]],0)</f>
        <v>1</v>
      </c>
      <c r="N1933" s="5">
        <f>IF(Táblázat1[[#This Row],[Karb./akt.év]]-Táblázat1[[#This Row],[Kész2020_2]]&lt;0,0,Táblázat1[[#This Row],[Karb./akt.év]]-Táblázat1[[#This Row],[Kész2020_2]])</f>
        <v>1</v>
      </c>
    </row>
    <row r="1934" spans="1:14" hidden="1" x14ac:dyDescent="0.25">
      <c r="A1934" s="17" t="s">
        <v>8</v>
      </c>
      <c r="B1934" s="17" t="s">
        <v>1452</v>
      </c>
      <c r="C1934" s="17" t="s">
        <v>1741</v>
      </c>
      <c r="D1934" s="17" t="s">
        <v>3284</v>
      </c>
      <c r="E1934" s="17" t="s">
        <v>3782</v>
      </c>
      <c r="F1934" s="17" t="s">
        <v>3783</v>
      </c>
      <c r="G1934" s="17" t="s">
        <v>8180</v>
      </c>
      <c r="H1934" t="s">
        <v>7476</v>
      </c>
      <c r="I1934" s="1">
        <v>2</v>
      </c>
      <c r="J1934" s="1">
        <v>2</v>
      </c>
      <c r="K1934" t="s">
        <v>8103</v>
      </c>
      <c r="L1934" s="5">
        <f>VLOOKUP(D:D,[1]Munka2!$A:$B,2,FALSE)</f>
        <v>1</v>
      </c>
      <c r="M1934" s="5">
        <f>_xlfn.IFNA(Táblázat1[[#This Row],[Kész2020]],0)</f>
        <v>1</v>
      </c>
      <c r="N1934" s="5">
        <f>IF(Táblázat1[[#This Row],[Karb./akt.év]]-Táblázat1[[#This Row],[Kész2020_2]]&lt;0,0,Táblázat1[[#This Row],[Karb./akt.év]]-Táblázat1[[#This Row],[Kész2020_2]])</f>
        <v>1</v>
      </c>
    </row>
    <row r="1935" spans="1:14" x14ac:dyDescent="0.25">
      <c r="A1935" s="17" t="s">
        <v>8</v>
      </c>
      <c r="B1935" s="17" t="s">
        <v>1460</v>
      </c>
      <c r="C1935" s="17" t="s">
        <v>1741</v>
      </c>
      <c r="D1935" s="17" t="s">
        <v>3293</v>
      </c>
      <c r="E1935" s="17" t="s">
        <v>4266</v>
      </c>
      <c r="F1935" s="17" t="s">
        <v>4267</v>
      </c>
      <c r="G1935" s="17" t="s">
        <v>6368</v>
      </c>
      <c r="H1935" t="s">
        <v>7476</v>
      </c>
      <c r="I1935" s="1">
        <v>2</v>
      </c>
      <c r="J1935" s="1">
        <v>2</v>
      </c>
      <c r="K1935" t="s">
        <v>6784</v>
      </c>
      <c r="L1935" s="5" t="e">
        <f>VLOOKUP(D:D,[1]Munka2!$A:$B,2,FALSE)</f>
        <v>#N/A</v>
      </c>
      <c r="M1935" s="5">
        <f>_xlfn.IFNA(Táblázat1[[#This Row],[Kész2020]],0)</f>
        <v>0</v>
      </c>
      <c r="N1935" s="5">
        <f>IF(Táblázat1[[#This Row],[Karb./akt.év]]-Táblázat1[[#This Row],[Kész2020_2]]&lt;0,0,Táblázat1[[#This Row],[Karb./akt.év]]-Táblázat1[[#This Row],[Kész2020_2]])</f>
        <v>2</v>
      </c>
    </row>
    <row r="1936" spans="1:14" x14ac:dyDescent="0.25">
      <c r="A1936" s="17" t="s">
        <v>8</v>
      </c>
      <c r="B1936" s="17" t="s">
        <v>535</v>
      </c>
      <c r="C1936" s="17" t="s">
        <v>1741</v>
      </c>
      <c r="D1936" s="17" t="s">
        <v>2301</v>
      </c>
      <c r="E1936" s="17" t="s">
        <v>4097</v>
      </c>
      <c r="F1936" s="17" t="s">
        <v>4098</v>
      </c>
      <c r="G1936" s="17" t="s">
        <v>5494</v>
      </c>
      <c r="H1936" t="s">
        <v>7476</v>
      </c>
      <c r="I1936" s="1">
        <v>2</v>
      </c>
      <c r="J1936" s="1">
        <v>2</v>
      </c>
      <c r="K1936" t="s">
        <v>6641</v>
      </c>
      <c r="L1936" s="5" t="e">
        <f>VLOOKUP(D:D,[1]Munka2!$A:$B,2,FALSE)</f>
        <v>#N/A</v>
      </c>
      <c r="M1936" s="5">
        <f>_xlfn.IFNA(Táblázat1[[#This Row],[Kész2020]],0)</f>
        <v>0</v>
      </c>
      <c r="N1936" s="5">
        <f>IF(Táblázat1[[#This Row],[Karb./akt.év]]-Táblázat1[[#This Row],[Kész2020_2]]&lt;0,0,Táblázat1[[#This Row],[Karb./akt.év]]-Táblázat1[[#This Row],[Kész2020_2]])</f>
        <v>2</v>
      </c>
    </row>
    <row r="1937" spans="1:14" hidden="1" x14ac:dyDescent="0.25">
      <c r="A1937" s="17" t="s">
        <v>8</v>
      </c>
      <c r="B1937" s="17" t="s">
        <v>301</v>
      </c>
      <c r="C1937" s="17" t="s">
        <v>1741</v>
      </c>
      <c r="D1937" s="17" t="s">
        <v>2050</v>
      </c>
      <c r="E1937" s="17" t="s">
        <v>3726</v>
      </c>
      <c r="F1937" s="17" t="s">
        <v>3727</v>
      </c>
      <c r="G1937" s="17" t="s">
        <v>5268</v>
      </c>
      <c r="H1937" t="s">
        <v>7476</v>
      </c>
      <c r="I1937" s="1">
        <v>2</v>
      </c>
      <c r="J1937" s="1">
        <v>2</v>
      </c>
      <c r="K1937" t="s">
        <v>6642</v>
      </c>
      <c r="L1937" s="5">
        <f>VLOOKUP(D:D,[1]Munka2!$A:$B,2,FALSE)</f>
        <v>1</v>
      </c>
      <c r="M1937" s="5">
        <f>_xlfn.IFNA(Táblázat1[[#This Row],[Kész2020]],0)</f>
        <v>1</v>
      </c>
      <c r="N1937" s="5">
        <f>IF(Táblázat1[[#This Row],[Karb./akt.év]]-Táblázat1[[#This Row],[Kész2020_2]]&lt;0,0,Táblázat1[[#This Row],[Karb./akt.év]]-Táblázat1[[#This Row],[Kész2020_2]])</f>
        <v>1</v>
      </c>
    </row>
    <row r="1938" spans="1:14" x14ac:dyDescent="0.25">
      <c r="A1938" s="17" t="s">
        <v>8</v>
      </c>
      <c r="B1938" s="17" t="s">
        <v>1457</v>
      </c>
      <c r="C1938" s="17" t="s">
        <v>1741</v>
      </c>
      <c r="D1938" s="17" t="s">
        <v>3288</v>
      </c>
      <c r="E1938" s="17" t="s">
        <v>4226</v>
      </c>
      <c r="F1938" s="17" t="s">
        <v>4227</v>
      </c>
      <c r="G1938" s="17" t="s">
        <v>6363</v>
      </c>
      <c r="H1938" t="s">
        <v>7476</v>
      </c>
      <c r="I1938" s="1">
        <v>2</v>
      </c>
      <c r="J1938" s="1">
        <v>2</v>
      </c>
      <c r="K1938" t="s">
        <v>7354</v>
      </c>
      <c r="L1938" s="5" t="e">
        <f>VLOOKUP(D:D,[1]Munka2!$A:$B,2,FALSE)</f>
        <v>#N/A</v>
      </c>
      <c r="M1938" s="5">
        <f>_xlfn.IFNA(Táblázat1[[#This Row],[Kész2020]],0)</f>
        <v>0</v>
      </c>
      <c r="N1938" s="5">
        <f>IF(Táblázat1[[#This Row],[Karb./akt.év]]-Táblázat1[[#This Row],[Kész2020_2]]&lt;0,0,Táblázat1[[#This Row],[Karb./akt.év]]-Táblázat1[[#This Row],[Kész2020_2]])</f>
        <v>2</v>
      </c>
    </row>
    <row r="1939" spans="1:14" x14ac:dyDescent="0.25">
      <c r="A1939" s="17" t="s">
        <v>8</v>
      </c>
      <c r="B1939" s="17" t="s">
        <v>788</v>
      </c>
      <c r="C1939" s="17" t="s">
        <v>1741</v>
      </c>
      <c r="D1939" s="17" t="s">
        <v>2564</v>
      </c>
      <c r="E1939" s="17" t="s">
        <v>3924</v>
      </c>
      <c r="F1939" s="17" t="s">
        <v>3925</v>
      </c>
      <c r="G1939" s="17" t="s">
        <v>5731</v>
      </c>
      <c r="H1939" t="s">
        <v>7476</v>
      </c>
      <c r="I1939" s="1">
        <v>2</v>
      </c>
      <c r="J1939" s="1">
        <v>2</v>
      </c>
      <c r="K1939" t="s">
        <v>6784</v>
      </c>
      <c r="L1939" s="5" t="e">
        <f>VLOOKUP(D:D,[1]Munka2!$A:$B,2,FALSE)</f>
        <v>#N/A</v>
      </c>
      <c r="M1939" s="5">
        <f>_xlfn.IFNA(Táblázat1[[#This Row],[Kész2020]],0)</f>
        <v>0</v>
      </c>
      <c r="N1939" s="5">
        <f>IF(Táblázat1[[#This Row],[Karb./akt.év]]-Táblázat1[[#This Row],[Kész2020_2]]&lt;0,0,Táblázat1[[#This Row],[Karb./akt.év]]-Táblázat1[[#This Row],[Kész2020_2]])</f>
        <v>2</v>
      </c>
    </row>
    <row r="1940" spans="1:14" hidden="1" x14ac:dyDescent="0.25">
      <c r="A1940" s="17" t="s">
        <v>8</v>
      </c>
      <c r="B1940" s="17" t="s">
        <v>893</v>
      </c>
      <c r="C1940" s="17" t="s">
        <v>1741</v>
      </c>
      <c r="D1940" s="17" t="s">
        <v>2678</v>
      </c>
      <c r="E1940" s="17" t="s">
        <v>4333</v>
      </c>
      <c r="F1940" s="17" t="s">
        <v>4334</v>
      </c>
      <c r="G1940" s="17" t="s">
        <v>5825</v>
      </c>
      <c r="H1940" t="s">
        <v>7476</v>
      </c>
      <c r="I1940" s="1">
        <v>2</v>
      </c>
      <c r="J1940" s="1">
        <v>2</v>
      </c>
      <c r="K1940" t="s">
        <v>6640</v>
      </c>
      <c r="L1940" s="5">
        <f>VLOOKUP(D:D,[1]Munka2!$A:$B,2,FALSE)</f>
        <v>1</v>
      </c>
      <c r="M1940" s="5">
        <f>_xlfn.IFNA(Táblázat1[[#This Row],[Kész2020]],0)</f>
        <v>1</v>
      </c>
      <c r="N1940" s="5">
        <f>IF(Táblázat1[[#This Row],[Karb./akt.év]]-Táblázat1[[#This Row],[Kész2020_2]]&lt;0,0,Táblázat1[[#This Row],[Karb./akt.év]]-Táblázat1[[#This Row],[Kész2020_2]])</f>
        <v>1</v>
      </c>
    </row>
    <row r="1941" spans="1:14" x14ac:dyDescent="0.25">
      <c r="A1941" s="17" t="s">
        <v>8</v>
      </c>
      <c r="B1941" s="17" t="s">
        <v>1052</v>
      </c>
      <c r="C1941" s="17" t="s">
        <v>1741</v>
      </c>
      <c r="D1941" s="17" t="s">
        <v>2839</v>
      </c>
      <c r="E1941" s="17" t="s">
        <v>4192</v>
      </c>
      <c r="F1941" s="17" t="s">
        <v>4193</v>
      </c>
      <c r="G1941" s="17" t="s">
        <v>5981</v>
      </c>
      <c r="H1941" t="s">
        <v>7476</v>
      </c>
      <c r="I1941" s="1">
        <v>2</v>
      </c>
      <c r="J1941" s="1">
        <v>2</v>
      </c>
      <c r="K1941" t="s">
        <v>6635</v>
      </c>
      <c r="L1941" s="5" t="e">
        <f>VLOOKUP(D:D,[1]Munka2!$A:$B,2,FALSE)</f>
        <v>#N/A</v>
      </c>
      <c r="M1941" s="5">
        <f>_xlfn.IFNA(Táblázat1[[#This Row],[Kész2020]],0)</f>
        <v>0</v>
      </c>
      <c r="N1941" s="5">
        <f>IF(Táblázat1[[#This Row],[Karb./akt.év]]-Táblázat1[[#This Row],[Kész2020_2]]&lt;0,0,Táblázat1[[#This Row],[Karb./akt.év]]-Táblázat1[[#This Row],[Kész2020_2]])</f>
        <v>2</v>
      </c>
    </row>
    <row r="1942" spans="1:14" x14ac:dyDescent="0.25">
      <c r="A1942" s="17" t="s">
        <v>8</v>
      </c>
      <c r="B1942" s="17" t="s">
        <v>37</v>
      </c>
      <c r="C1942" s="17" t="s">
        <v>1741</v>
      </c>
      <c r="D1942" s="17" t="s">
        <v>1775</v>
      </c>
      <c r="E1942" s="17" t="s">
        <v>3609</v>
      </c>
      <c r="F1942" s="17" t="s">
        <v>3610</v>
      </c>
      <c r="G1942" s="17" t="s">
        <v>5014</v>
      </c>
      <c r="H1942" t="s">
        <v>7476</v>
      </c>
      <c r="I1942" s="1">
        <v>2</v>
      </c>
      <c r="J1942" s="1">
        <v>2</v>
      </c>
      <c r="K1942" t="s">
        <v>6784</v>
      </c>
      <c r="L1942" s="5" t="e">
        <f>VLOOKUP(D:D,[1]Munka2!$A:$B,2,FALSE)</f>
        <v>#N/A</v>
      </c>
      <c r="M1942" s="5">
        <f>_xlfn.IFNA(Táblázat1[[#This Row],[Kész2020]],0)</f>
        <v>0</v>
      </c>
      <c r="N1942" s="5">
        <f>IF(Táblázat1[[#This Row],[Karb./akt.év]]-Táblázat1[[#This Row],[Kész2020_2]]&lt;0,0,Táblázat1[[#This Row],[Karb./akt.év]]-Táblázat1[[#This Row],[Kész2020_2]])</f>
        <v>2</v>
      </c>
    </row>
    <row r="1943" spans="1:14" hidden="1" x14ac:dyDescent="0.25">
      <c r="A1943" s="17" t="s">
        <v>8</v>
      </c>
      <c r="B1943" s="17" t="s">
        <v>767</v>
      </c>
      <c r="C1943" s="17" t="s">
        <v>1741</v>
      </c>
      <c r="D1943" s="17" t="s">
        <v>2543</v>
      </c>
      <c r="E1943" s="17" t="s">
        <v>3703</v>
      </c>
      <c r="F1943" s="17" t="s">
        <v>3704</v>
      </c>
      <c r="G1943" s="17" t="s">
        <v>5712</v>
      </c>
      <c r="H1943" t="s">
        <v>7476</v>
      </c>
      <c r="I1943" s="1">
        <v>2</v>
      </c>
      <c r="J1943" s="1">
        <v>2</v>
      </c>
      <c r="K1943" t="s">
        <v>8102</v>
      </c>
      <c r="L1943" s="5">
        <f>VLOOKUP(D:D,[1]Munka2!$A:$B,2,FALSE)</f>
        <v>1</v>
      </c>
      <c r="M1943" s="5">
        <f>_xlfn.IFNA(Táblázat1[[#This Row],[Kész2020]],0)</f>
        <v>1</v>
      </c>
      <c r="N1943" s="5">
        <f>IF(Táblázat1[[#This Row],[Karb./akt.év]]-Táblázat1[[#This Row],[Kész2020_2]]&lt;0,0,Táblázat1[[#This Row],[Karb./akt.év]]-Táblázat1[[#This Row],[Kész2020_2]])</f>
        <v>1</v>
      </c>
    </row>
    <row r="1944" spans="1:14" hidden="1" x14ac:dyDescent="0.25">
      <c r="A1944" s="17" t="s">
        <v>8</v>
      </c>
      <c r="B1944" s="17" t="s">
        <v>1692</v>
      </c>
      <c r="C1944" s="17" t="s">
        <v>1741</v>
      </c>
      <c r="D1944" s="17" t="s">
        <v>3547</v>
      </c>
      <c r="E1944" s="17" t="s">
        <v>4590</v>
      </c>
      <c r="F1944" s="17" t="s">
        <v>3664</v>
      </c>
      <c r="G1944" s="17" t="s">
        <v>6588</v>
      </c>
      <c r="H1944" t="s">
        <v>7476</v>
      </c>
      <c r="I1944" s="1">
        <v>2</v>
      </c>
      <c r="J1944" s="1">
        <v>2</v>
      </c>
      <c r="K1944" t="s">
        <v>6638</v>
      </c>
      <c r="L1944" s="5">
        <f>VLOOKUP(D:D,[1]Munka2!$A:$B,2,FALSE)</f>
        <v>1</v>
      </c>
      <c r="M1944" s="5">
        <f>_xlfn.IFNA(Táblázat1[[#This Row],[Kész2020]],0)</f>
        <v>1</v>
      </c>
      <c r="N1944" s="5">
        <f>IF(Táblázat1[[#This Row],[Karb./akt.év]]-Táblázat1[[#This Row],[Kész2020_2]]&lt;0,0,Táblázat1[[#This Row],[Karb./akt.év]]-Táblázat1[[#This Row],[Kész2020_2]])</f>
        <v>1</v>
      </c>
    </row>
    <row r="1945" spans="1:14" hidden="1" x14ac:dyDescent="0.25">
      <c r="A1945" s="17" t="s">
        <v>8</v>
      </c>
      <c r="B1945" s="17" t="s">
        <v>674</v>
      </c>
      <c r="C1945" s="17" t="s">
        <v>1741</v>
      </c>
      <c r="D1945" s="17" t="s">
        <v>2448</v>
      </c>
      <c r="E1945" s="17" t="s">
        <v>4220</v>
      </c>
      <c r="F1945" s="17" t="s">
        <v>4221</v>
      </c>
      <c r="G1945" s="17" t="s">
        <v>5630</v>
      </c>
      <c r="H1945" t="s">
        <v>7476</v>
      </c>
      <c r="I1945" s="1">
        <v>2</v>
      </c>
      <c r="J1945" s="1">
        <v>2</v>
      </c>
      <c r="K1945" t="s">
        <v>8102</v>
      </c>
      <c r="L1945" s="5">
        <f>VLOOKUP(D:D,[1]Munka2!$A:$B,2,FALSE)</f>
        <v>1</v>
      </c>
      <c r="M1945" s="5">
        <f>_xlfn.IFNA(Táblázat1[[#This Row],[Kész2020]],0)</f>
        <v>1</v>
      </c>
      <c r="N1945" s="5">
        <f>IF(Táblázat1[[#This Row],[Karb./akt.év]]-Táblázat1[[#This Row],[Kész2020_2]]&lt;0,0,Táblázat1[[#This Row],[Karb./akt.év]]-Táblázat1[[#This Row],[Kész2020_2]])</f>
        <v>1</v>
      </c>
    </row>
    <row r="1946" spans="1:14" hidden="1" x14ac:dyDescent="0.25">
      <c r="A1946" s="17" t="s">
        <v>8</v>
      </c>
      <c r="B1946" s="17" t="s">
        <v>913</v>
      </c>
      <c r="C1946" s="17" t="s">
        <v>1741</v>
      </c>
      <c r="D1946" s="17" t="s">
        <v>2695</v>
      </c>
      <c r="E1946" s="17" t="s">
        <v>4077</v>
      </c>
      <c r="F1946" s="17" t="s">
        <v>4078</v>
      </c>
      <c r="G1946" s="17" t="s">
        <v>5839</v>
      </c>
      <c r="H1946" t="s">
        <v>7476</v>
      </c>
      <c r="I1946" s="1">
        <v>2</v>
      </c>
      <c r="J1946" s="1">
        <v>2</v>
      </c>
      <c r="K1946" t="s">
        <v>8103</v>
      </c>
      <c r="L1946" s="5">
        <f>VLOOKUP(D:D,[1]Munka2!$A:$B,2,FALSE)</f>
        <v>1</v>
      </c>
      <c r="M1946" s="5">
        <f>_xlfn.IFNA(Táblázat1[[#This Row],[Kész2020]],0)</f>
        <v>1</v>
      </c>
      <c r="N1946" s="5">
        <f>IF(Táblázat1[[#This Row],[Karb./akt.év]]-Táblázat1[[#This Row],[Kész2020_2]]&lt;0,0,Táblázat1[[#This Row],[Karb./akt.év]]-Táblázat1[[#This Row],[Kész2020_2]])</f>
        <v>1</v>
      </c>
    </row>
    <row r="1947" spans="1:14" x14ac:dyDescent="0.25">
      <c r="A1947" s="17" t="s">
        <v>8</v>
      </c>
      <c r="B1947" s="17" t="s">
        <v>1353</v>
      </c>
      <c r="C1947" s="17" t="s">
        <v>1741</v>
      </c>
      <c r="D1947" s="17" t="s">
        <v>3171</v>
      </c>
      <c r="E1947" s="17" t="s">
        <v>3968</v>
      </c>
      <c r="F1947" s="17" t="s">
        <v>3969</v>
      </c>
      <c r="G1947" s="17" t="s">
        <v>6266</v>
      </c>
      <c r="H1947" t="s">
        <v>7476</v>
      </c>
      <c r="I1947" s="1">
        <v>2</v>
      </c>
      <c r="J1947" s="1">
        <v>2</v>
      </c>
      <c r="K1947" t="s">
        <v>7354</v>
      </c>
      <c r="L1947" s="5" t="e">
        <f>VLOOKUP(D:D,[1]Munka2!$A:$B,2,FALSE)</f>
        <v>#N/A</v>
      </c>
      <c r="M1947" s="5">
        <f>_xlfn.IFNA(Táblázat1[[#This Row],[Kész2020]],0)</f>
        <v>0</v>
      </c>
      <c r="N1947" s="5">
        <f>IF(Táblázat1[[#This Row],[Karb./akt.év]]-Táblázat1[[#This Row],[Kész2020_2]]&lt;0,0,Táblázat1[[#This Row],[Karb./akt.év]]-Táblázat1[[#This Row],[Kész2020_2]])</f>
        <v>2</v>
      </c>
    </row>
    <row r="1948" spans="1:14" hidden="1" x14ac:dyDescent="0.25">
      <c r="A1948" s="17" t="s">
        <v>8</v>
      </c>
      <c r="B1948" s="17" t="s">
        <v>609</v>
      </c>
      <c r="C1948" s="17" t="s">
        <v>1741</v>
      </c>
      <c r="D1948" s="17" t="s">
        <v>2382</v>
      </c>
      <c r="E1948" s="17" t="s">
        <v>3743</v>
      </c>
      <c r="F1948" s="17" t="s">
        <v>3744</v>
      </c>
      <c r="G1948" s="17" t="s">
        <v>5569</v>
      </c>
      <c r="H1948" t="s">
        <v>7476</v>
      </c>
      <c r="I1948" s="1">
        <v>2</v>
      </c>
      <c r="J1948" s="1">
        <v>2</v>
      </c>
      <c r="K1948" t="s">
        <v>8102</v>
      </c>
      <c r="L1948" s="5">
        <f>VLOOKUP(D:D,[1]Munka2!$A:$B,2,FALSE)</f>
        <v>1</v>
      </c>
      <c r="M1948" s="5">
        <f>_xlfn.IFNA(Táblázat1[[#This Row],[Kész2020]],0)</f>
        <v>1</v>
      </c>
      <c r="N1948" s="5">
        <f>IF(Táblázat1[[#This Row],[Karb./akt.év]]-Táblázat1[[#This Row],[Kész2020_2]]&lt;0,0,Táblázat1[[#This Row],[Karb./akt.év]]-Táblázat1[[#This Row],[Kész2020_2]])</f>
        <v>1</v>
      </c>
    </row>
    <row r="1949" spans="1:14" hidden="1" x14ac:dyDescent="0.25">
      <c r="A1949" s="17" t="s">
        <v>8</v>
      </c>
      <c r="B1949" s="17" t="s">
        <v>613</v>
      </c>
      <c r="C1949" s="17" t="s">
        <v>1741</v>
      </c>
      <c r="D1949" s="17" t="s">
        <v>2386</v>
      </c>
      <c r="E1949" s="17" t="s">
        <v>3824</v>
      </c>
      <c r="F1949" s="17" t="s">
        <v>3598</v>
      </c>
      <c r="G1949" s="17" t="s">
        <v>5572</v>
      </c>
      <c r="H1949" t="s">
        <v>7476</v>
      </c>
      <c r="I1949" s="1">
        <v>2</v>
      </c>
      <c r="J1949" s="1">
        <v>2</v>
      </c>
      <c r="K1949" t="s">
        <v>6785</v>
      </c>
      <c r="L1949" s="5">
        <f>VLOOKUP(D:D,[1]Munka2!$A:$B,2,FALSE)</f>
        <v>1</v>
      </c>
      <c r="M1949" s="5">
        <f>_xlfn.IFNA(Táblázat1[[#This Row],[Kész2020]],0)</f>
        <v>1</v>
      </c>
      <c r="N1949" s="5">
        <f>IF(Táblázat1[[#This Row],[Karb./akt.év]]-Táblázat1[[#This Row],[Kész2020_2]]&lt;0,0,Táblázat1[[#This Row],[Karb./akt.év]]-Táblázat1[[#This Row],[Kész2020_2]])</f>
        <v>1</v>
      </c>
    </row>
    <row r="1950" spans="1:14" hidden="1" x14ac:dyDescent="0.25">
      <c r="A1950" s="17" t="s">
        <v>8</v>
      </c>
      <c r="B1950" s="17" t="s">
        <v>1111</v>
      </c>
      <c r="C1950" s="17" t="s">
        <v>1741</v>
      </c>
      <c r="D1950" s="17" t="s">
        <v>2905</v>
      </c>
      <c r="E1950" s="17" t="s">
        <v>3761</v>
      </c>
      <c r="F1950" s="17" t="s">
        <v>3762</v>
      </c>
      <c r="G1950" s="17" t="s">
        <v>6040</v>
      </c>
      <c r="H1950" t="s">
        <v>7476</v>
      </c>
      <c r="I1950" s="1">
        <v>2</v>
      </c>
      <c r="J1950" s="1">
        <v>2</v>
      </c>
      <c r="K1950" t="s">
        <v>6633</v>
      </c>
      <c r="L1950" s="5">
        <f>VLOOKUP(D:D,[1]Munka2!$A:$B,2,FALSE)</f>
        <v>1</v>
      </c>
      <c r="M1950" s="5">
        <f>_xlfn.IFNA(Táblázat1[[#This Row],[Kész2020]],0)</f>
        <v>1</v>
      </c>
      <c r="N1950" s="5">
        <f>IF(Táblázat1[[#This Row],[Karb./akt.év]]-Táblázat1[[#This Row],[Kész2020_2]]&lt;0,0,Táblázat1[[#This Row],[Karb./akt.év]]-Táblázat1[[#This Row],[Kész2020_2]])</f>
        <v>1</v>
      </c>
    </row>
    <row r="1951" spans="1:14" hidden="1" x14ac:dyDescent="0.25">
      <c r="A1951" s="17" t="s">
        <v>8</v>
      </c>
      <c r="B1951" s="17" t="s">
        <v>590</v>
      </c>
      <c r="C1951" s="17" t="s">
        <v>1741</v>
      </c>
      <c r="D1951" s="17" t="s">
        <v>2364</v>
      </c>
      <c r="E1951" s="17" t="s">
        <v>4212</v>
      </c>
      <c r="F1951" s="17" t="s">
        <v>4213</v>
      </c>
      <c r="G1951" s="17" t="s">
        <v>5554</v>
      </c>
      <c r="H1951" t="s">
        <v>7476</v>
      </c>
      <c r="I1951" s="1">
        <v>2</v>
      </c>
      <c r="J1951" s="1">
        <v>2</v>
      </c>
      <c r="K1951" t="s">
        <v>6636</v>
      </c>
      <c r="L1951" s="5">
        <f>VLOOKUP(D:D,[1]Munka2!$A:$B,2,FALSE)</f>
        <v>1</v>
      </c>
      <c r="M1951" s="5">
        <f>_xlfn.IFNA(Táblázat1[[#This Row],[Kész2020]],0)</f>
        <v>1</v>
      </c>
      <c r="N1951" s="5">
        <f>IF(Táblázat1[[#This Row],[Karb./akt.év]]-Táblázat1[[#This Row],[Kész2020_2]]&lt;0,0,Táblázat1[[#This Row],[Karb./akt.év]]-Táblázat1[[#This Row],[Kész2020_2]])</f>
        <v>1</v>
      </c>
    </row>
    <row r="1952" spans="1:14" hidden="1" x14ac:dyDescent="0.25">
      <c r="A1952" s="17" t="s">
        <v>8</v>
      </c>
      <c r="B1952" s="17" t="s">
        <v>781</v>
      </c>
      <c r="C1952" s="17" t="s">
        <v>1741</v>
      </c>
      <c r="D1952" s="17" t="s">
        <v>2557</v>
      </c>
      <c r="E1952" s="17" t="s">
        <v>4351</v>
      </c>
      <c r="F1952" s="17" t="s">
        <v>4352</v>
      </c>
      <c r="G1952" s="17" t="s">
        <v>5725</v>
      </c>
      <c r="H1952" t="s">
        <v>7476</v>
      </c>
      <c r="I1952" s="1">
        <v>2</v>
      </c>
      <c r="J1952" s="1">
        <v>2</v>
      </c>
      <c r="K1952" t="s">
        <v>7354</v>
      </c>
      <c r="L1952" s="5">
        <f>VLOOKUP(D:D,[1]Munka2!$A:$B,2,FALSE)</f>
        <v>1</v>
      </c>
      <c r="M1952" s="5">
        <f>_xlfn.IFNA(Táblázat1[[#This Row],[Kész2020]],0)</f>
        <v>1</v>
      </c>
      <c r="N1952" s="5">
        <f>IF(Táblázat1[[#This Row],[Karb./akt.év]]-Táblázat1[[#This Row],[Kész2020_2]]&lt;0,0,Táblázat1[[#This Row],[Karb./akt.év]]-Táblázat1[[#This Row],[Kész2020_2]])</f>
        <v>1</v>
      </c>
    </row>
    <row r="1953" spans="1:14" hidden="1" x14ac:dyDescent="0.25">
      <c r="A1953" s="17" t="s">
        <v>8</v>
      </c>
      <c r="B1953" s="17" t="s">
        <v>1351</v>
      </c>
      <c r="C1953" s="17" t="s">
        <v>1741</v>
      </c>
      <c r="D1953" s="17" t="s">
        <v>3169</v>
      </c>
      <c r="E1953" s="17" t="s">
        <v>3888</v>
      </c>
      <c r="F1953" s="17" t="s">
        <v>3889</v>
      </c>
      <c r="G1953" s="17" t="s">
        <v>6264</v>
      </c>
      <c r="H1953" t="s">
        <v>7476</v>
      </c>
      <c r="I1953" s="1">
        <v>2</v>
      </c>
      <c r="J1953" s="1">
        <v>2</v>
      </c>
      <c r="K1953" t="s">
        <v>7354</v>
      </c>
      <c r="L1953" s="5">
        <f>VLOOKUP(D:D,[1]Munka2!$A:$B,2,FALSE)</f>
        <v>1</v>
      </c>
      <c r="M1953" s="5">
        <f>_xlfn.IFNA(Táblázat1[[#This Row],[Kész2020]],0)</f>
        <v>1</v>
      </c>
      <c r="N1953" s="5">
        <f>IF(Táblázat1[[#This Row],[Karb./akt.év]]-Táblázat1[[#This Row],[Kész2020_2]]&lt;0,0,Táblázat1[[#This Row],[Karb./akt.év]]-Táblázat1[[#This Row],[Kész2020_2]])</f>
        <v>1</v>
      </c>
    </row>
    <row r="1954" spans="1:14" hidden="1" x14ac:dyDescent="0.25">
      <c r="A1954" s="17" t="s">
        <v>8</v>
      </c>
      <c r="B1954" s="17" t="s">
        <v>1678</v>
      </c>
      <c r="C1954" s="17" t="s">
        <v>1741</v>
      </c>
      <c r="D1954" s="17" t="s">
        <v>3534</v>
      </c>
      <c r="E1954" s="17" t="s">
        <v>3916</v>
      </c>
      <c r="F1954" s="17" t="s">
        <v>3917</v>
      </c>
      <c r="G1954" s="17" t="s">
        <v>6574</v>
      </c>
      <c r="H1954" t="s">
        <v>7476</v>
      </c>
      <c r="I1954" s="1">
        <v>2</v>
      </c>
      <c r="J1954" s="1">
        <v>2</v>
      </c>
      <c r="K1954" t="s">
        <v>6639</v>
      </c>
      <c r="L1954" s="5">
        <f>VLOOKUP(D:D,[1]Munka2!$A:$B,2,FALSE)</f>
        <v>1</v>
      </c>
      <c r="M1954" s="5">
        <f>_xlfn.IFNA(Táblázat1[[#This Row],[Kész2020]],0)</f>
        <v>1</v>
      </c>
      <c r="N1954" s="5">
        <f>IF(Táblázat1[[#This Row],[Karb./akt.év]]-Táblázat1[[#This Row],[Kész2020_2]]&lt;0,0,Táblázat1[[#This Row],[Karb./akt.év]]-Táblázat1[[#This Row],[Kész2020_2]])</f>
        <v>1</v>
      </c>
    </row>
    <row r="1955" spans="1:14" hidden="1" x14ac:dyDescent="0.25">
      <c r="A1955" s="17" t="s">
        <v>8</v>
      </c>
      <c r="B1955" s="17" t="s">
        <v>749</v>
      </c>
      <c r="C1955" s="17" t="s">
        <v>1741</v>
      </c>
      <c r="D1955" s="17" t="s">
        <v>2524</v>
      </c>
      <c r="E1955" s="17" t="s">
        <v>4327</v>
      </c>
      <c r="F1955" s="17" t="s">
        <v>4328</v>
      </c>
      <c r="G1955" s="17" t="s">
        <v>5694</v>
      </c>
      <c r="H1955" t="s">
        <v>7476</v>
      </c>
      <c r="I1955" s="1">
        <v>2</v>
      </c>
      <c r="J1955" s="1">
        <v>2</v>
      </c>
      <c r="K1955" t="s">
        <v>6638</v>
      </c>
      <c r="L1955" s="5">
        <f>VLOOKUP(D:D,[1]Munka2!$A:$B,2,FALSE)</f>
        <v>1</v>
      </c>
      <c r="M1955" s="5">
        <f>_xlfn.IFNA(Táblázat1[[#This Row],[Kész2020]],0)</f>
        <v>1</v>
      </c>
      <c r="N1955" s="5">
        <f>IF(Táblázat1[[#This Row],[Karb./akt.év]]-Táblázat1[[#This Row],[Kész2020_2]]&lt;0,0,Táblázat1[[#This Row],[Karb./akt.év]]-Táblázat1[[#This Row],[Kész2020_2]])</f>
        <v>1</v>
      </c>
    </row>
    <row r="1956" spans="1:14" hidden="1" x14ac:dyDescent="0.25">
      <c r="A1956" s="17" t="s">
        <v>8</v>
      </c>
      <c r="B1956" s="17" t="s">
        <v>277</v>
      </c>
      <c r="C1956" s="17" t="s">
        <v>1741</v>
      </c>
      <c r="D1956" s="17" t="s">
        <v>2026</v>
      </c>
      <c r="E1956" s="17" t="s">
        <v>3899</v>
      </c>
      <c r="F1956" s="17" t="s">
        <v>3900</v>
      </c>
      <c r="G1956" s="17" t="s">
        <v>5245</v>
      </c>
      <c r="H1956" t="s">
        <v>7476</v>
      </c>
      <c r="I1956" s="1">
        <v>2</v>
      </c>
      <c r="J1956" s="1">
        <v>2</v>
      </c>
      <c r="K1956" t="s">
        <v>6784</v>
      </c>
      <c r="L1956" s="5">
        <f>VLOOKUP(D:D,[1]Munka2!$A:$B,2,FALSE)</f>
        <v>1</v>
      </c>
      <c r="M1956" s="5">
        <f>_xlfn.IFNA(Táblázat1[[#This Row],[Kész2020]],0)</f>
        <v>1</v>
      </c>
      <c r="N1956" s="5">
        <f>IF(Táblázat1[[#This Row],[Karb./akt.év]]-Táblázat1[[#This Row],[Kész2020_2]]&lt;0,0,Táblázat1[[#This Row],[Karb./akt.év]]-Táblázat1[[#This Row],[Kész2020_2]])</f>
        <v>1</v>
      </c>
    </row>
    <row r="1957" spans="1:14" hidden="1" x14ac:dyDescent="0.25">
      <c r="A1957" s="17" t="s">
        <v>8</v>
      </c>
      <c r="B1957" s="17" t="s">
        <v>1082</v>
      </c>
      <c r="C1957" s="17" t="s">
        <v>1741</v>
      </c>
      <c r="D1957" s="17" t="s">
        <v>2873</v>
      </c>
      <c r="E1957" s="17" t="s">
        <v>4312</v>
      </c>
      <c r="F1957" s="17" t="s">
        <v>3598</v>
      </c>
      <c r="G1957" s="17" t="s">
        <v>6010</v>
      </c>
      <c r="H1957" t="s">
        <v>7476</v>
      </c>
      <c r="I1957" s="1">
        <v>2</v>
      </c>
      <c r="J1957" s="1">
        <v>2</v>
      </c>
      <c r="K1957" t="s">
        <v>7014</v>
      </c>
      <c r="L1957" s="5">
        <f>VLOOKUP(D:D,[1]Munka2!$A:$B,2,FALSE)</f>
        <v>1</v>
      </c>
      <c r="M1957" s="5">
        <f>_xlfn.IFNA(Táblázat1[[#This Row],[Kész2020]],0)</f>
        <v>1</v>
      </c>
      <c r="N1957" s="5">
        <f>IF(Táblázat1[[#This Row],[Karb./akt.év]]-Táblázat1[[#This Row],[Kész2020_2]]&lt;0,0,Táblázat1[[#This Row],[Karb./akt.év]]-Táblázat1[[#This Row],[Kész2020_2]])</f>
        <v>1</v>
      </c>
    </row>
    <row r="1958" spans="1:14" x14ac:dyDescent="0.25">
      <c r="A1958" s="17" t="s">
        <v>8</v>
      </c>
      <c r="B1958" s="17" t="s">
        <v>1193</v>
      </c>
      <c r="C1958" s="17" t="s">
        <v>1741</v>
      </c>
      <c r="D1958" s="17" t="s">
        <v>2997</v>
      </c>
      <c r="E1958" s="17" t="s">
        <v>4413</v>
      </c>
      <c r="F1958" s="17" t="s">
        <v>4414</v>
      </c>
      <c r="G1958" s="17" t="s">
        <v>6121</v>
      </c>
      <c r="H1958" t="s">
        <v>7476</v>
      </c>
      <c r="I1958" s="1">
        <v>2</v>
      </c>
      <c r="J1958" s="1">
        <v>2</v>
      </c>
      <c r="K1958" t="s">
        <v>6640</v>
      </c>
      <c r="L1958" s="5" t="e">
        <f>VLOOKUP(D:D,[1]Munka2!$A:$B,2,FALSE)</f>
        <v>#N/A</v>
      </c>
      <c r="M1958" s="5">
        <f>_xlfn.IFNA(Táblázat1[[#This Row],[Kész2020]],0)</f>
        <v>0</v>
      </c>
      <c r="N1958" s="5">
        <f>IF(Táblázat1[[#This Row],[Karb./akt.év]]-Táblázat1[[#This Row],[Kész2020_2]]&lt;0,0,Táblázat1[[#This Row],[Karb./akt.év]]-Táblázat1[[#This Row],[Kész2020_2]])</f>
        <v>2</v>
      </c>
    </row>
    <row r="1959" spans="1:14" x14ac:dyDescent="0.25">
      <c r="A1959" s="17" t="s">
        <v>8</v>
      </c>
      <c r="B1959" s="17" t="s">
        <v>798</v>
      </c>
      <c r="C1959" s="17" t="s">
        <v>1741</v>
      </c>
      <c r="D1959" s="17" t="s">
        <v>2574</v>
      </c>
      <c r="E1959" s="17" t="s">
        <v>4368</v>
      </c>
      <c r="F1959" s="17" t="s">
        <v>4369</v>
      </c>
      <c r="G1959" s="17" t="s">
        <v>5740</v>
      </c>
      <c r="H1959" t="s">
        <v>7476</v>
      </c>
      <c r="I1959" s="1">
        <v>2</v>
      </c>
      <c r="J1959" s="1">
        <v>2</v>
      </c>
      <c r="K1959" t="s">
        <v>8102</v>
      </c>
      <c r="L1959" s="5" t="e">
        <f>VLOOKUP(D:D,[1]Munka2!$A:$B,2,FALSE)</f>
        <v>#N/A</v>
      </c>
      <c r="M1959" s="5">
        <f>_xlfn.IFNA(Táblázat1[[#This Row],[Kész2020]],0)</f>
        <v>0</v>
      </c>
      <c r="N1959" s="5">
        <f>IF(Táblázat1[[#This Row],[Karb./akt.év]]-Táblázat1[[#This Row],[Kész2020_2]]&lt;0,0,Táblázat1[[#This Row],[Karb./akt.év]]-Táblázat1[[#This Row],[Kész2020_2]])</f>
        <v>2</v>
      </c>
    </row>
    <row r="1960" spans="1:14" hidden="1" x14ac:dyDescent="0.25">
      <c r="A1960" s="17" t="s">
        <v>8</v>
      </c>
      <c r="B1960" s="17" t="s">
        <v>1607</v>
      </c>
      <c r="C1960" s="17" t="s">
        <v>1741</v>
      </c>
      <c r="D1960" s="17" t="s">
        <v>3457</v>
      </c>
      <c r="E1960" s="17" t="s">
        <v>3976</v>
      </c>
      <c r="F1960" s="17" t="s">
        <v>3977</v>
      </c>
      <c r="G1960" s="17" t="s">
        <v>6509</v>
      </c>
      <c r="H1960" t="s">
        <v>7476</v>
      </c>
      <c r="I1960" s="1">
        <v>2</v>
      </c>
      <c r="J1960" s="1">
        <v>2</v>
      </c>
      <c r="K1960" t="s">
        <v>6640</v>
      </c>
      <c r="L1960" s="5">
        <f>VLOOKUP(D:D,[1]Munka2!$A:$B,2,FALSE)</f>
        <v>1</v>
      </c>
      <c r="M1960" s="5">
        <f>_xlfn.IFNA(Táblázat1[[#This Row],[Kész2020]],0)</f>
        <v>1</v>
      </c>
      <c r="N1960" s="5">
        <f>IF(Táblázat1[[#This Row],[Karb./akt.év]]-Táblázat1[[#This Row],[Kész2020_2]]&lt;0,0,Táblázat1[[#This Row],[Karb./akt.év]]-Táblázat1[[#This Row],[Kész2020_2]])</f>
        <v>1</v>
      </c>
    </row>
    <row r="1961" spans="1:14" hidden="1" x14ac:dyDescent="0.25">
      <c r="A1961" s="17" t="s">
        <v>8</v>
      </c>
      <c r="B1961" s="17" t="s">
        <v>39</v>
      </c>
      <c r="C1961" s="17" t="s">
        <v>1741</v>
      </c>
      <c r="D1961" s="17" t="s">
        <v>1777</v>
      </c>
      <c r="E1961" s="17" t="s">
        <v>3613</v>
      </c>
      <c r="F1961" s="17" t="s">
        <v>3614</v>
      </c>
      <c r="G1961" s="17" t="s">
        <v>5016</v>
      </c>
      <c r="H1961" t="s">
        <v>7476</v>
      </c>
      <c r="I1961" s="1">
        <v>2</v>
      </c>
      <c r="J1961" s="1">
        <v>2</v>
      </c>
      <c r="K1961" t="s">
        <v>6634</v>
      </c>
      <c r="L1961" s="5">
        <f>VLOOKUP(D:D,[1]Munka2!$A:$B,2,FALSE)</f>
        <v>1</v>
      </c>
      <c r="M1961" s="5">
        <f>_xlfn.IFNA(Táblázat1[[#This Row],[Kész2020]],0)</f>
        <v>1</v>
      </c>
      <c r="N1961" s="5">
        <f>IF(Táblázat1[[#This Row],[Karb./akt.év]]-Táblázat1[[#This Row],[Kész2020_2]]&lt;0,0,Táblázat1[[#This Row],[Karb./akt.év]]-Táblázat1[[#This Row],[Kész2020_2]])</f>
        <v>1</v>
      </c>
    </row>
    <row r="1962" spans="1:14" x14ac:dyDescent="0.25">
      <c r="A1962" s="17" t="s">
        <v>8</v>
      </c>
      <c r="B1962" s="17" t="s">
        <v>1125</v>
      </c>
      <c r="C1962" s="17" t="s">
        <v>1741</v>
      </c>
      <c r="D1962" s="17" t="s">
        <v>2920</v>
      </c>
      <c r="E1962" s="17" t="s">
        <v>3959</v>
      </c>
      <c r="F1962" s="17" t="s">
        <v>3960</v>
      </c>
      <c r="G1962" s="17" t="s">
        <v>6053</v>
      </c>
      <c r="H1962" t="s">
        <v>7476</v>
      </c>
      <c r="I1962" s="1">
        <v>2</v>
      </c>
      <c r="J1962" s="1">
        <v>2</v>
      </c>
      <c r="K1962" t="s">
        <v>6640</v>
      </c>
      <c r="L1962" s="5" t="e">
        <f>VLOOKUP(D:D,[1]Munka2!$A:$B,2,FALSE)</f>
        <v>#N/A</v>
      </c>
      <c r="M1962" s="5">
        <f>_xlfn.IFNA(Táblázat1[[#This Row],[Kész2020]],0)</f>
        <v>0</v>
      </c>
      <c r="N1962" s="5">
        <f>IF(Táblázat1[[#This Row],[Karb./akt.év]]-Táblázat1[[#This Row],[Kész2020_2]]&lt;0,0,Táblázat1[[#This Row],[Karb./akt.év]]-Táblázat1[[#This Row],[Kész2020_2]])</f>
        <v>2</v>
      </c>
    </row>
    <row r="1963" spans="1:14" hidden="1" x14ac:dyDescent="0.25">
      <c r="A1963" s="17" t="s">
        <v>8</v>
      </c>
      <c r="B1963" s="17" t="s">
        <v>1690</v>
      </c>
      <c r="C1963" s="17" t="s">
        <v>1741</v>
      </c>
      <c r="D1963" s="17" t="s">
        <v>3545</v>
      </c>
      <c r="E1963" s="17" t="s">
        <v>4982</v>
      </c>
      <c r="F1963" s="17" t="s">
        <v>4983</v>
      </c>
      <c r="G1963" s="17" t="s">
        <v>6587</v>
      </c>
      <c r="H1963" t="s">
        <v>7476</v>
      </c>
      <c r="I1963" s="1">
        <v>2</v>
      </c>
      <c r="J1963" s="1">
        <v>2</v>
      </c>
      <c r="K1963" t="s">
        <v>6639</v>
      </c>
      <c r="L1963" s="5">
        <f>VLOOKUP(D:D,[1]Munka2!$A:$B,2,FALSE)</f>
        <v>1</v>
      </c>
      <c r="M1963" s="5">
        <f>_xlfn.IFNA(Táblázat1[[#This Row],[Kész2020]],0)</f>
        <v>1</v>
      </c>
      <c r="N1963" s="5">
        <f>IF(Táblázat1[[#This Row],[Karb./akt.év]]-Táblázat1[[#This Row],[Kész2020_2]]&lt;0,0,Táblázat1[[#This Row],[Karb./akt.év]]-Táblázat1[[#This Row],[Kész2020_2]])</f>
        <v>1</v>
      </c>
    </row>
    <row r="1964" spans="1:14" hidden="1" x14ac:dyDescent="0.25">
      <c r="A1964" s="17" t="s">
        <v>8</v>
      </c>
      <c r="B1964" s="17" t="s">
        <v>872</v>
      </c>
      <c r="C1964" s="17" t="s">
        <v>1741</v>
      </c>
      <c r="D1964" s="17" t="s">
        <v>2653</v>
      </c>
      <c r="E1964" s="17" t="s">
        <v>4382</v>
      </c>
      <c r="F1964" s="17" t="s">
        <v>4383</v>
      </c>
      <c r="G1964" s="17" t="s">
        <v>5809</v>
      </c>
      <c r="H1964" t="s">
        <v>7476</v>
      </c>
      <c r="I1964" s="1">
        <v>2</v>
      </c>
      <c r="J1964" s="1">
        <v>2</v>
      </c>
      <c r="K1964" t="s">
        <v>7354</v>
      </c>
      <c r="L1964" s="5">
        <f>VLOOKUP(D:D,[1]Munka2!$A:$B,2,FALSE)</f>
        <v>1</v>
      </c>
      <c r="M1964" s="5">
        <f>_xlfn.IFNA(Táblázat1[[#This Row],[Kész2020]],0)</f>
        <v>1</v>
      </c>
      <c r="N1964" s="5">
        <f>IF(Táblázat1[[#This Row],[Karb./akt.év]]-Táblázat1[[#This Row],[Kész2020_2]]&lt;0,0,Táblázat1[[#This Row],[Karb./akt.év]]-Táblázat1[[#This Row],[Kész2020_2]])</f>
        <v>1</v>
      </c>
    </row>
    <row r="1965" spans="1:14" hidden="1" x14ac:dyDescent="0.25">
      <c r="A1965" s="17" t="s">
        <v>8</v>
      </c>
      <c r="B1965" s="17" t="s">
        <v>1070</v>
      </c>
      <c r="C1965" s="17" t="s">
        <v>1741</v>
      </c>
      <c r="D1965" s="17" t="s">
        <v>2859</v>
      </c>
      <c r="E1965" s="17" t="s">
        <v>4386</v>
      </c>
      <c r="F1965" s="17" t="s">
        <v>4387</v>
      </c>
      <c r="G1965" s="17" t="s">
        <v>6000</v>
      </c>
      <c r="H1965" t="s">
        <v>7476</v>
      </c>
      <c r="I1965" s="1">
        <v>2</v>
      </c>
      <c r="J1965" s="1">
        <v>2</v>
      </c>
      <c r="K1965" t="s">
        <v>6639</v>
      </c>
      <c r="L1965" s="5">
        <f>VLOOKUP(D:D,[1]Munka2!$A:$B,2,FALSE)</f>
        <v>1</v>
      </c>
      <c r="M1965" s="5">
        <f>_xlfn.IFNA(Táblázat1[[#This Row],[Kész2020]],0)</f>
        <v>1</v>
      </c>
      <c r="N1965" s="5">
        <f>IF(Táblázat1[[#This Row],[Karb./akt.év]]-Táblázat1[[#This Row],[Kész2020_2]]&lt;0,0,Táblázat1[[#This Row],[Karb./akt.év]]-Táblázat1[[#This Row],[Kész2020_2]])</f>
        <v>1</v>
      </c>
    </row>
    <row r="1966" spans="1:14" hidden="1" x14ac:dyDescent="0.25">
      <c r="A1966" s="17" t="s">
        <v>8</v>
      </c>
      <c r="B1966" s="17" t="s">
        <v>1076</v>
      </c>
      <c r="C1966" s="17" t="s">
        <v>1741</v>
      </c>
      <c r="D1966" s="17" t="s">
        <v>2867</v>
      </c>
      <c r="E1966" s="17" t="s">
        <v>3741</v>
      </c>
      <c r="F1966" s="17" t="s">
        <v>3742</v>
      </c>
      <c r="G1966" s="17" t="s">
        <v>6006</v>
      </c>
      <c r="H1966" t="s">
        <v>7476</v>
      </c>
      <c r="I1966" s="1">
        <v>2</v>
      </c>
      <c r="J1966" s="1">
        <v>2</v>
      </c>
      <c r="K1966" t="s">
        <v>7354</v>
      </c>
      <c r="L1966" s="5">
        <f>VLOOKUP(D:D,[1]Munka2!$A:$B,2,FALSE)</f>
        <v>1</v>
      </c>
      <c r="M1966" s="5">
        <f>_xlfn.IFNA(Táblázat1[[#This Row],[Kész2020]],0)</f>
        <v>1</v>
      </c>
      <c r="N1966" s="5">
        <f>IF(Táblázat1[[#This Row],[Karb./akt.év]]-Táblázat1[[#This Row],[Kész2020_2]]&lt;0,0,Táblázat1[[#This Row],[Karb./akt.év]]-Táblázat1[[#This Row],[Kész2020_2]])</f>
        <v>1</v>
      </c>
    </row>
    <row r="1967" spans="1:14" hidden="1" x14ac:dyDescent="0.25">
      <c r="A1967" s="17" t="s">
        <v>8</v>
      </c>
      <c r="B1967" s="17" t="s">
        <v>1375</v>
      </c>
      <c r="C1967" s="17" t="s">
        <v>1741</v>
      </c>
      <c r="D1967" s="17" t="s">
        <v>3195</v>
      </c>
      <c r="E1967" s="17" t="s">
        <v>4187</v>
      </c>
      <c r="F1967" s="17" t="s">
        <v>4188</v>
      </c>
      <c r="G1967" s="17" t="s">
        <v>6278</v>
      </c>
      <c r="H1967" t="s">
        <v>7476</v>
      </c>
      <c r="I1967" s="1">
        <v>2</v>
      </c>
      <c r="J1967" s="1">
        <v>2</v>
      </c>
      <c r="K1967" t="s">
        <v>6785</v>
      </c>
      <c r="L1967" s="5">
        <f>VLOOKUP(D:D,[1]Munka2!$A:$B,2,FALSE)</f>
        <v>1</v>
      </c>
      <c r="M1967" s="5">
        <f>_xlfn.IFNA(Táblázat1[[#This Row],[Kész2020]],0)</f>
        <v>1</v>
      </c>
      <c r="N1967" s="5">
        <f>IF(Táblázat1[[#This Row],[Karb./akt.év]]-Táblázat1[[#This Row],[Kész2020_2]]&lt;0,0,Táblázat1[[#This Row],[Karb./akt.év]]-Táblázat1[[#This Row],[Kész2020_2]])</f>
        <v>1</v>
      </c>
    </row>
    <row r="1968" spans="1:14" hidden="1" x14ac:dyDescent="0.25">
      <c r="A1968" s="17" t="s">
        <v>8</v>
      </c>
      <c r="B1968" s="17" t="s">
        <v>359</v>
      </c>
      <c r="C1968" s="17" t="s">
        <v>1741</v>
      </c>
      <c r="D1968" s="17" t="s">
        <v>2114</v>
      </c>
      <c r="E1968" s="17" t="s">
        <v>3974</v>
      </c>
      <c r="F1968" s="17" t="s">
        <v>3975</v>
      </c>
      <c r="G1968" s="17" t="s">
        <v>5326</v>
      </c>
      <c r="H1968" t="s">
        <v>7476</v>
      </c>
      <c r="I1968" s="1">
        <v>2</v>
      </c>
      <c r="J1968" s="1">
        <v>2</v>
      </c>
      <c r="K1968" t="s">
        <v>6641</v>
      </c>
      <c r="L1968" s="5">
        <f>VLOOKUP(D:D,[1]Munka2!$A:$B,2,FALSE)</f>
        <v>1</v>
      </c>
      <c r="M1968" s="5">
        <f>_xlfn.IFNA(Táblázat1[[#This Row],[Kész2020]],0)</f>
        <v>1</v>
      </c>
      <c r="N1968" s="5">
        <f>IF(Táblázat1[[#This Row],[Karb./akt.év]]-Táblázat1[[#This Row],[Kész2020_2]]&lt;0,0,Táblázat1[[#This Row],[Karb./akt.év]]-Táblázat1[[#This Row],[Kész2020_2]])</f>
        <v>1</v>
      </c>
    </row>
    <row r="1969" spans="1:14" hidden="1" x14ac:dyDescent="0.25">
      <c r="A1969" s="17" t="s">
        <v>8</v>
      </c>
      <c r="B1969" s="17" t="s">
        <v>431</v>
      </c>
      <c r="C1969" s="17" t="s">
        <v>1741</v>
      </c>
      <c r="D1969" s="17" t="s">
        <v>2188</v>
      </c>
      <c r="E1969" s="17" t="s">
        <v>4048</v>
      </c>
      <c r="F1969" s="17" t="s">
        <v>3598</v>
      </c>
      <c r="G1969" s="17" t="s">
        <v>5397</v>
      </c>
      <c r="H1969" t="s">
        <v>7476</v>
      </c>
      <c r="I1969" s="1">
        <v>2</v>
      </c>
      <c r="J1969" s="1">
        <v>2</v>
      </c>
      <c r="K1969" t="s">
        <v>6785</v>
      </c>
      <c r="L1969" s="5">
        <f>VLOOKUP(D:D,[1]Munka2!$A:$B,2,FALSE)</f>
        <v>1</v>
      </c>
      <c r="M1969" s="5">
        <f>_xlfn.IFNA(Táblázat1[[#This Row],[Kész2020]],0)</f>
        <v>1</v>
      </c>
      <c r="N1969" s="5">
        <f>IF(Táblázat1[[#This Row],[Karb./akt.év]]-Táblázat1[[#This Row],[Kész2020_2]]&lt;0,0,Táblázat1[[#This Row],[Karb./akt.év]]-Táblázat1[[#This Row],[Kész2020_2]])</f>
        <v>1</v>
      </c>
    </row>
    <row r="1970" spans="1:14" hidden="1" x14ac:dyDescent="0.25">
      <c r="A1970" s="17" t="s">
        <v>8</v>
      </c>
      <c r="B1970" s="17" t="s">
        <v>7226</v>
      </c>
      <c r="C1970" s="17" t="s">
        <v>1741</v>
      </c>
      <c r="D1970" s="17" t="s">
        <v>7243</v>
      </c>
      <c r="E1970" s="17" t="s">
        <v>4537</v>
      </c>
      <c r="F1970" s="17" t="s">
        <v>3598</v>
      </c>
      <c r="G1970" s="17" t="s">
        <v>5872</v>
      </c>
      <c r="H1970" t="s">
        <v>7476</v>
      </c>
      <c r="I1970" s="1">
        <v>2</v>
      </c>
      <c r="J1970" s="1">
        <v>2</v>
      </c>
      <c r="K1970" t="s">
        <v>8101</v>
      </c>
      <c r="L1970" s="5">
        <f>VLOOKUP(D:D,[1]Munka2!$A:$B,2,FALSE)</f>
        <v>1</v>
      </c>
      <c r="M1970" s="5">
        <f>_xlfn.IFNA(Táblázat1[[#This Row],[Kész2020]],0)</f>
        <v>1</v>
      </c>
      <c r="N1970" s="5">
        <f>IF(Táblázat1[[#This Row],[Karb./akt.év]]-Táblázat1[[#This Row],[Kész2020_2]]&lt;0,0,Táblázat1[[#This Row],[Karb./akt.év]]-Táblázat1[[#This Row],[Kész2020_2]])</f>
        <v>1</v>
      </c>
    </row>
    <row r="1971" spans="1:14" hidden="1" x14ac:dyDescent="0.25">
      <c r="A1971" s="17" t="s">
        <v>8</v>
      </c>
      <c r="B1971" s="17" t="s">
        <v>595</v>
      </c>
      <c r="C1971" s="17" t="s">
        <v>1741</v>
      </c>
      <c r="D1971" s="17" t="s">
        <v>2368</v>
      </c>
      <c r="E1971" s="17" t="s">
        <v>4214</v>
      </c>
      <c r="F1971" s="17" t="s">
        <v>3598</v>
      </c>
      <c r="G1971" s="17" t="s">
        <v>5558</v>
      </c>
      <c r="H1971" t="s">
        <v>7476</v>
      </c>
      <c r="I1971" s="1">
        <v>2</v>
      </c>
      <c r="J1971" s="1">
        <v>2</v>
      </c>
      <c r="K1971" t="s">
        <v>7017</v>
      </c>
      <c r="L1971" s="5">
        <f>VLOOKUP(D:D,[1]Munka2!$A:$B,2,FALSE)</f>
        <v>2</v>
      </c>
      <c r="M1971" s="5">
        <f>_xlfn.IFNA(Táblázat1[[#This Row],[Kész2020]],0)</f>
        <v>2</v>
      </c>
      <c r="N1971" s="5">
        <f>IF(Táblázat1[[#This Row],[Karb./akt.év]]-Táblázat1[[#This Row],[Kész2020_2]]&lt;0,0,Táblázat1[[#This Row],[Karb./akt.év]]-Táblázat1[[#This Row],[Kész2020_2]])</f>
        <v>0</v>
      </c>
    </row>
    <row r="1972" spans="1:14" hidden="1" x14ac:dyDescent="0.25">
      <c r="A1972" s="17" t="s">
        <v>8</v>
      </c>
      <c r="B1972" s="17" t="s">
        <v>255</v>
      </c>
      <c r="C1972" s="17" t="s">
        <v>1741</v>
      </c>
      <c r="D1972" s="17" t="s">
        <v>2001</v>
      </c>
      <c r="E1972" s="17" t="s">
        <v>3879</v>
      </c>
      <c r="F1972" s="17" t="s">
        <v>3598</v>
      </c>
      <c r="G1972" s="17" t="s">
        <v>5222</v>
      </c>
      <c r="H1972" t="s">
        <v>7476</v>
      </c>
      <c r="I1972" s="1">
        <v>2</v>
      </c>
      <c r="J1972" s="1">
        <v>2</v>
      </c>
      <c r="K1972" t="s">
        <v>6641</v>
      </c>
      <c r="L1972" s="5">
        <f>VLOOKUP(D:D,[1]Munka2!$A:$B,2,FALSE)</f>
        <v>1</v>
      </c>
      <c r="M1972" s="5">
        <f>_xlfn.IFNA(Táblázat1[[#This Row],[Kész2020]],0)</f>
        <v>1</v>
      </c>
      <c r="N1972" s="5">
        <f>IF(Táblázat1[[#This Row],[Karb./akt.év]]-Táblázat1[[#This Row],[Kész2020_2]]&lt;0,0,Táblázat1[[#This Row],[Karb./akt.év]]-Táblázat1[[#This Row],[Kész2020_2]])</f>
        <v>1</v>
      </c>
    </row>
    <row r="1973" spans="1:14" x14ac:dyDescent="0.25">
      <c r="A1973" s="17" t="s">
        <v>8</v>
      </c>
      <c r="B1973" s="17" t="s">
        <v>1520</v>
      </c>
      <c r="C1973" s="17" t="s">
        <v>1741</v>
      </c>
      <c r="D1973" s="17" t="s">
        <v>3362</v>
      </c>
      <c r="E1973" s="17" t="s">
        <v>7525</v>
      </c>
      <c r="F1973" s="17" t="s">
        <v>3598</v>
      </c>
      <c r="G1973" s="17" t="s">
        <v>6427</v>
      </c>
      <c r="H1973" t="s">
        <v>7476</v>
      </c>
      <c r="I1973" s="1">
        <v>2</v>
      </c>
      <c r="J1973" s="1">
        <v>2</v>
      </c>
      <c r="K1973" t="s">
        <v>7017</v>
      </c>
      <c r="L1973" s="5" t="e">
        <f>VLOOKUP(D:D,[1]Munka2!$A:$B,2,FALSE)</f>
        <v>#N/A</v>
      </c>
      <c r="M1973" s="5">
        <f>_xlfn.IFNA(Táblázat1[[#This Row],[Kész2020]],0)</f>
        <v>0</v>
      </c>
      <c r="N1973" s="5">
        <f>IF(Táblázat1[[#This Row],[Karb./akt.év]]-Táblázat1[[#This Row],[Kész2020_2]]&lt;0,0,Táblázat1[[#This Row],[Karb./akt.év]]-Táblázat1[[#This Row],[Kész2020_2]])</f>
        <v>2</v>
      </c>
    </row>
    <row r="1974" spans="1:14" hidden="1" x14ac:dyDescent="0.25">
      <c r="A1974" s="17" t="s">
        <v>8</v>
      </c>
      <c r="B1974" s="17" t="s">
        <v>1533</v>
      </c>
      <c r="C1974" s="17" t="s">
        <v>1741</v>
      </c>
      <c r="D1974" s="17" t="s">
        <v>3377</v>
      </c>
      <c r="E1974" s="17" t="s">
        <v>3680</v>
      </c>
      <c r="F1974" s="17" t="s">
        <v>3681</v>
      </c>
      <c r="G1974" s="17" t="s">
        <v>6440</v>
      </c>
      <c r="H1974" t="s">
        <v>7476</v>
      </c>
      <c r="I1974" s="1">
        <v>2</v>
      </c>
      <c r="J1974" s="1">
        <v>2</v>
      </c>
      <c r="K1974" t="s">
        <v>6637</v>
      </c>
      <c r="L1974" s="5">
        <f>VLOOKUP(D:D,[1]Munka2!$A:$B,2,FALSE)</f>
        <v>1</v>
      </c>
      <c r="M1974" s="5">
        <f>_xlfn.IFNA(Táblázat1[[#This Row],[Kész2020]],0)</f>
        <v>1</v>
      </c>
      <c r="N1974" s="5">
        <f>IF(Táblázat1[[#This Row],[Karb./akt.év]]-Táblázat1[[#This Row],[Kész2020_2]]&lt;0,0,Táblázat1[[#This Row],[Karb./akt.év]]-Táblázat1[[#This Row],[Kész2020_2]])</f>
        <v>1</v>
      </c>
    </row>
    <row r="1975" spans="1:14" hidden="1" x14ac:dyDescent="0.25">
      <c r="A1975" s="17" t="s">
        <v>8</v>
      </c>
      <c r="B1975" s="17" t="s">
        <v>981</v>
      </c>
      <c r="C1975" s="17" t="s">
        <v>1741</v>
      </c>
      <c r="D1975" s="17" t="s">
        <v>2768</v>
      </c>
      <c r="E1975" s="17" t="s">
        <v>3951</v>
      </c>
      <c r="F1975" s="17" t="s">
        <v>3952</v>
      </c>
      <c r="G1975" s="17" t="s">
        <v>5909</v>
      </c>
      <c r="H1975" t="s">
        <v>7476</v>
      </c>
      <c r="I1975" s="1">
        <v>2</v>
      </c>
      <c r="J1975" s="1">
        <v>2</v>
      </c>
      <c r="K1975" t="s">
        <v>6641</v>
      </c>
      <c r="L1975" s="5">
        <f>VLOOKUP(D:D,[1]Munka2!$A:$B,2,FALSE)</f>
        <v>1</v>
      </c>
      <c r="M1975" s="5">
        <f>_xlfn.IFNA(Táblázat1[[#This Row],[Kész2020]],0)</f>
        <v>1</v>
      </c>
      <c r="N1975" s="5">
        <f>IF(Táblázat1[[#This Row],[Karb./akt.év]]-Táblázat1[[#This Row],[Kész2020_2]]&lt;0,0,Táblázat1[[#This Row],[Karb./akt.év]]-Táblázat1[[#This Row],[Kész2020_2]])</f>
        <v>1</v>
      </c>
    </row>
    <row r="1976" spans="1:14" hidden="1" x14ac:dyDescent="0.25">
      <c r="A1976" s="17" t="s">
        <v>8</v>
      </c>
      <c r="B1976" s="17" t="s">
        <v>167</v>
      </c>
      <c r="C1976" s="17" t="s">
        <v>1741</v>
      </c>
      <c r="D1976" s="17" t="s">
        <v>1907</v>
      </c>
      <c r="E1976" s="17" t="s">
        <v>3768</v>
      </c>
      <c r="F1976" s="17" t="s">
        <v>3769</v>
      </c>
      <c r="G1976" s="17" t="s">
        <v>5137</v>
      </c>
      <c r="H1976" t="s">
        <v>7476</v>
      </c>
      <c r="I1976" s="1">
        <v>2</v>
      </c>
      <c r="J1976" s="1">
        <v>2</v>
      </c>
      <c r="K1976" t="s">
        <v>6634</v>
      </c>
      <c r="L1976" s="5">
        <f>VLOOKUP(D:D,[1]Munka2!$A:$B,2,FALSE)</f>
        <v>1</v>
      </c>
      <c r="M1976" s="5">
        <f>_xlfn.IFNA(Táblázat1[[#This Row],[Kész2020]],0)</f>
        <v>1</v>
      </c>
      <c r="N1976" s="5">
        <f>IF(Táblázat1[[#This Row],[Karb./akt.év]]-Táblázat1[[#This Row],[Kész2020_2]]&lt;0,0,Táblázat1[[#This Row],[Karb./akt.év]]-Táblázat1[[#This Row],[Kész2020_2]])</f>
        <v>1</v>
      </c>
    </row>
    <row r="1977" spans="1:14" hidden="1" x14ac:dyDescent="0.25">
      <c r="A1977" s="17" t="s">
        <v>8</v>
      </c>
      <c r="B1977" s="17" t="s">
        <v>789</v>
      </c>
      <c r="C1977" s="17" t="s">
        <v>1741</v>
      </c>
      <c r="D1977" s="17" t="s">
        <v>2565</v>
      </c>
      <c r="E1977" s="17" t="s">
        <v>4359</v>
      </c>
      <c r="F1977" s="17" t="s">
        <v>3598</v>
      </c>
      <c r="G1977" s="17" t="s">
        <v>5732</v>
      </c>
      <c r="H1977" t="s">
        <v>7476</v>
      </c>
      <c r="I1977" s="1">
        <v>2</v>
      </c>
      <c r="J1977" s="1">
        <v>2</v>
      </c>
      <c r="K1977" t="s">
        <v>6641</v>
      </c>
      <c r="L1977" s="5">
        <f>VLOOKUP(D:D,[1]Munka2!$A:$B,2,FALSE)</f>
        <v>1</v>
      </c>
      <c r="M1977" s="5">
        <f>_xlfn.IFNA(Táblázat1[[#This Row],[Kész2020]],0)</f>
        <v>1</v>
      </c>
      <c r="N1977" s="5">
        <f>IF(Táblázat1[[#This Row],[Karb./akt.év]]-Táblázat1[[#This Row],[Kész2020_2]]&lt;0,0,Táblázat1[[#This Row],[Karb./akt.év]]-Táblázat1[[#This Row],[Kész2020_2]])</f>
        <v>1</v>
      </c>
    </row>
    <row r="1978" spans="1:14" hidden="1" x14ac:dyDescent="0.25">
      <c r="A1978" s="17" t="s">
        <v>8</v>
      </c>
      <c r="B1978" s="17" t="s">
        <v>7001</v>
      </c>
      <c r="C1978" s="17" t="s">
        <v>1741</v>
      </c>
      <c r="D1978" s="17" t="s">
        <v>2224</v>
      </c>
      <c r="E1978" s="17" t="s">
        <v>3890</v>
      </c>
      <c r="F1978" s="17" t="s">
        <v>3891</v>
      </c>
      <c r="G1978" s="17" t="s">
        <v>5431</v>
      </c>
      <c r="H1978" t="s">
        <v>7476</v>
      </c>
      <c r="I1978" s="1">
        <v>2</v>
      </c>
      <c r="J1978" s="1">
        <v>2</v>
      </c>
      <c r="K1978" t="s">
        <v>8103</v>
      </c>
      <c r="L1978" s="5">
        <f>VLOOKUP(D:D,[1]Munka2!$A:$B,2,FALSE)</f>
        <v>1</v>
      </c>
      <c r="M1978" s="5">
        <f>_xlfn.IFNA(Táblázat1[[#This Row],[Kész2020]],0)</f>
        <v>1</v>
      </c>
      <c r="N1978" s="5">
        <f>IF(Táblázat1[[#This Row],[Karb./akt.év]]-Táblázat1[[#This Row],[Kész2020_2]]&lt;0,0,Táblázat1[[#This Row],[Karb./akt.év]]-Táblázat1[[#This Row],[Kész2020_2]])</f>
        <v>1</v>
      </c>
    </row>
    <row r="1979" spans="1:14" hidden="1" x14ac:dyDescent="0.25">
      <c r="A1979" s="17" t="s">
        <v>8</v>
      </c>
      <c r="B1979" s="17" t="s">
        <v>1118</v>
      </c>
      <c r="C1979" s="17" t="s">
        <v>1741</v>
      </c>
      <c r="D1979" s="17" t="s">
        <v>2913</v>
      </c>
      <c r="E1979" s="17" t="s">
        <v>4311</v>
      </c>
      <c r="F1979" s="17" t="s">
        <v>3598</v>
      </c>
      <c r="G1979" s="17" t="s">
        <v>6047</v>
      </c>
      <c r="H1979" t="s">
        <v>7476</v>
      </c>
      <c r="I1979" s="1">
        <v>2</v>
      </c>
      <c r="J1979" s="1">
        <v>2</v>
      </c>
      <c r="K1979" t="s">
        <v>8101</v>
      </c>
      <c r="L1979" s="5">
        <f>VLOOKUP(D:D,[1]Munka2!$A:$B,2,FALSE)</f>
        <v>1</v>
      </c>
      <c r="M1979" s="5">
        <f>_xlfn.IFNA(Táblázat1[[#This Row],[Kész2020]],0)</f>
        <v>1</v>
      </c>
      <c r="N1979" s="5">
        <f>IF(Táblázat1[[#This Row],[Karb./akt.év]]-Táblázat1[[#This Row],[Kész2020_2]]&lt;0,0,Táblázat1[[#This Row],[Karb./akt.év]]-Táblázat1[[#This Row],[Kész2020_2]])</f>
        <v>1</v>
      </c>
    </row>
    <row r="1980" spans="1:14" hidden="1" x14ac:dyDescent="0.25">
      <c r="A1980" s="17" t="s">
        <v>8</v>
      </c>
      <c r="B1980" s="17" t="s">
        <v>1273</v>
      </c>
      <c r="C1980" s="17" t="s">
        <v>1741</v>
      </c>
      <c r="D1980" s="17" t="s">
        <v>3085</v>
      </c>
      <c r="E1980" s="17" t="s">
        <v>4049</v>
      </c>
      <c r="F1980" s="17" t="s">
        <v>3718</v>
      </c>
      <c r="G1980" s="17" t="s">
        <v>6197</v>
      </c>
      <c r="H1980" t="s">
        <v>7476</v>
      </c>
      <c r="I1980" s="1">
        <v>2</v>
      </c>
      <c r="J1980" s="1">
        <v>2</v>
      </c>
      <c r="K1980" t="s">
        <v>8102</v>
      </c>
      <c r="L1980" s="5">
        <f>VLOOKUP(D:D,[1]Munka2!$A:$B,2,FALSE)</f>
        <v>1</v>
      </c>
      <c r="M1980" s="5">
        <f>_xlfn.IFNA(Táblázat1[[#This Row],[Kész2020]],0)</f>
        <v>1</v>
      </c>
      <c r="N1980" s="5">
        <f>IF(Táblázat1[[#This Row],[Karb./akt.év]]-Táblázat1[[#This Row],[Kész2020_2]]&lt;0,0,Táblázat1[[#This Row],[Karb./akt.év]]-Táblázat1[[#This Row],[Kész2020_2]])</f>
        <v>1</v>
      </c>
    </row>
    <row r="1981" spans="1:14" x14ac:dyDescent="0.25">
      <c r="A1981" s="17" t="s">
        <v>8</v>
      </c>
      <c r="B1981" s="17" t="s">
        <v>168</v>
      </c>
      <c r="C1981" s="17" t="s">
        <v>1741</v>
      </c>
      <c r="D1981" s="17" t="s">
        <v>1908</v>
      </c>
      <c r="E1981" s="17" t="s">
        <v>3770</v>
      </c>
      <c r="F1981" s="17" t="s">
        <v>3771</v>
      </c>
      <c r="G1981" s="17" t="s">
        <v>5138</v>
      </c>
      <c r="H1981" t="s">
        <v>7476</v>
      </c>
      <c r="I1981" s="1">
        <v>2</v>
      </c>
      <c r="J1981" s="1">
        <v>2</v>
      </c>
      <c r="K1981" t="s">
        <v>6638</v>
      </c>
      <c r="L1981" s="5" t="e">
        <f>VLOOKUP(D:D,[1]Munka2!$A:$B,2,FALSE)</f>
        <v>#N/A</v>
      </c>
      <c r="M1981" s="5">
        <f>_xlfn.IFNA(Táblázat1[[#This Row],[Kész2020]],0)</f>
        <v>0</v>
      </c>
      <c r="N1981" s="5">
        <f>IF(Táblázat1[[#This Row],[Karb./akt.év]]-Táblázat1[[#This Row],[Kész2020_2]]&lt;0,0,Táblázat1[[#This Row],[Karb./akt.év]]-Táblázat1[[#This Row],[Kész2020_2]])</f>
        <v>2</v>
      </c>
    </row>
    <row r="1982" spans="1:14" hidden="1" x14ac:dyDescent="0.25">
      <c r="A1982" s="17" t="s">
        <v>8</v>
      </c>
      <c r="B1982" s="17" t="s">
        <v>733</v>
      </c>
      <c r="C1982" s="17" t="s">
        <v>1741</v>
      </c>
      <c r="D1982" s="17" t="s">
        <v>2510</v>
      </c>
      <c r="E1982" s="17" t="s">
        <v>3788</v>
      </c>
      <c r="F1982" s="17" t="s">
        <v>3789</v>
      </c>
      <c r="G1982" s="17" t="s">
        <v>5682</v>
      </c>
      <c r="H1982" t="s">
        <v>7476</v>
      </c>
      <c r="I1982" s="1">
        <v>2</v>
      </c>
      <c r="J1982" s="1">
        <v>2</v>
      </c>
      <c r="K1982" t="s">
        <v>6634</v>
      </c>
      <c r="L1982" s="5">
        <f>VLOOKUP(D:D,[1]Munka2!$A:$B,2,FALSE)</f>
        <v>1</v>
      </c>
      <c r="M1982" s="5">
        <f>_xlfn.IFNA(Táblázat1[[#This Row],[Kész2020]],0)</f>
        <v>1</v>
      </c>
      <c r="N1982" s="5">
        <f>IF(Táblázat1[[#This Row],[Karb./akt.év]]-Táblázat1[[#This Row],[Kész2020_2]]&lt;0,0,Táblázat1[[#This Row],[Karb./akt.év]]-Táblázat1[[#This Row],[Kész2020_2]])</f>
        <v>1</v>
      </c>
    </row>
    <row r="1983" spans="1:14" x14ac:dyDescent="0.25">
      <c r="A1983" s="17" t="s">
        <v>8</v>
      </c>
      <c r="B1983" s="17" t="s">
        <v>817</v>
      </c>
      <c r="C1983" s="17" t="s">
        <v>1741</v>
      </c>
      <c r="D1983" s="17" t="s">
        <v>2594</v>
      </c>
      <c r="E1983" s="17" t="s">
        <v>4366</v>
      </c>
      <c r="F1983" s="17" t="s">
        <v>4367</v>
      </c>
      <c r="G1983" s="17" t="s">
        <v>5756</v>
      </c>
      <c r="H1983" t="s">
        <v>7476</v>
      </c>
      <c r="I1983" s="1">
        <v>2</v>
      </c>
      <c r="J1983" s="1">
        <v>2</v>
      </c>
      <c r="K1983" t="s">
        <v>7017</v>
      </c>
      <c r="L1983" s="5" t="e">
        <f>VLOOKUP(D:D,[1]Munka2!$A:$B,2,FALSE)</f>
        <v>#N/A</v>
      </c>
      <c r="M1983" s="5">
        <f>_xlfn.IFNA(Táblázat1[[#This Row],[Kész2020]],0)</f>
        <v>0</v>
      </c>
      <c r="N1983" s="5">
        <f>IF(Táblázat1[[#This Row],[Karb./akt.év]]-Táblázat1[[#This Row],[Kész2020_2]]&lt;0,0,Táblázat1[[#This Row],[Karb./akt.év]]-Táblázat1[[#This Row],[Kész2020_2]])</f>
        <v>2</v>
      </c>
    </row>
    <row r="1984" spans="1:14" x14ac:dyDescent="0.25">
      <c r="A1984" s="17" t="s">
        <v>8</v>
      </c>
      <c r="B1984" s="17" t="s">
        <v>1529</v>
      </c>
      <c r="C1984" s="17" t="s">
        <v>1741</v>
      </c>
      <c r="D1984" s="17" t="s">
        <v>3371</v>
      </c>
      <c r="E1984" s="17" t="s">
        <v>3724</v>
      </c>
      <c r="F1984" s="17" t="s">
        <v>3725</v>
      </c>
      <c r="G1984" s="17" t="s">
        <v>6436</v>
      </c>
      <c r="H1984" t="s">
        <v>7476</v>
      </c>
      <c r="I1984" s="1">
        <v>2</v>
      </c>
      <c r="J1984" s="1">
        <v>2</v>
      </c>
      <c r="K1984" t="s">
        <v>8102</v>
      </c>
      <c r="L1984" s="5" t="e">
        <f>VLOOKUP(D:D,[1]Munka2!$A:$B,2,FALSE)</f>
        <v>#N/A</v>
      </c>
      <c r="M1984" s="5">
        <f>_xlfn.IFNA(Táblázat1[[#This Row],[Kész2020]],0)</f>
        <v>0</v>
      </c>
      <c r="N1984" s="5">
        <f>IF(Táblázat1[[#This Row],[Karb./akt.év]]-Táblázat1[[#This Row],[Kész2020_2]]&lt;0,0,Táblázat1[[#This Row],[Karb./akt.év]]-Táblázat1[[#This Row],[Kész2020_2]])</f>
        <v>2</v>
      </c>
    </row>
    <row r="1985" spans="1:14" hidden="1" x14ac:dyDescent="0.25">
      <c r="A1985" s="17" t="s">
        <v>8</v>
      </c>
      <c r="B1985" s="17" t="s">
        <v>942</v>
      </c>
      <c r="C1985" s="17" t="s">
        <v>1741</v>
      </c>
      <c r="D1985" s="17" t="s">
        <v>2730</v>
      </c>
      <c r="E1985" s="17" t="s">
        <v>4537</v>
      </c>
      <c r="F1985" s="17" t="s">
        <v>3598</v>
      </c>
      <c r="G1985" s="17" t="s">
        <v>5872</v>
      </c>
      <c r="H1985" t="s">
        <v>7476</v>
      </c>
      <c r="I1985" s="1">
        <v>2</v>
      </c>
      <c r="J1985" s="1">
        <v>2</v>
      </c>
      <c r="K1985" t="s">
        <v>8101</v>
      </c>
      <c r="L1985" s="5">
        <f>VLOOKUP(D:D,[1]Munka2!$A:$B,2,FALSE)</f>
        <v>1</v>
      </c>
      <c r="M1985" s="5">
        <f>_xlfn.IFNA(Táblázat1[[#This Row],[Kész2020]],0)</f>
        <v>1</v>
      </c>
      <c r="N1985" s="5">
        <f>IF(Táblázat1[[#This Row],[Karb./akt.év]]-Táblázat1[[#This Row],[Kész2020_2]]&lt;0,0,Táblázat1[[#This Row],[Karb./akt.év]]-Táblázat1[[#This Row],[Kész2020_2]])</f>
        <v>1</v>
      </c>
    </row>
    <row r="1986" spans="1:14" hidden="1" x14ac:dyDescent="0.25">
      <c r="A1986" s="17" t="s">
        <v>8</v>
      </c>
      <c r="B1986" s="17" t="s">
        <v>900</v>
      </c>
      <c r="C1986" s="17" t="s">
        <v>1741</v>
      </c>
      <c r="D1986" s="17" t="s">
        <v>2683</v>
      </c>
      <c r="E1986" s="17" t="s">
        <v>4485</v>
      </c>
      <c r="F1986" s="17" t="s">
        <v>4486</v>
      </c>
      <c r="G1986" s="17" t="s">
        <v>5828</v>
      </c>
      <c r="H1986" t="s">
        <v>7476</v>
      </c>
      <c r="I1986" s="1">
        <v>2</v>
      </c>
      <c r="J1986" s="1">
        <v>2</v>
      </c>
      <c r="K1986" t="s">
        <v>6638</v>
      </c>
      <c r="L1986" s="5">
        <f>VLOOKUP(D:D,[1]Munka2!$A:$B,2,FALSE)</f>
        <v>1</v>
      </c>
      <c r="M1986" s="5">
        <f>_xlfn.IFNA(Táblázat1[[#This Row],[Kész2020]],0)</f>
        <v>1</v>
      </c>
      <c r="N1986" s="5">
        <f>IF(Táblázat1[[#This Row],[Karb./akt.év]]-Táblázat1[[#This Row],[Kész2020_2]]&lt;0,0,Táblázat1[[#This Row],[Karb./akt.év]]-Táblázat1[[#This Row],[Kész2020_2]])</f>
        <v>1</v>
      </c>
    </row>
    <row r="1987" spans="1:14" hidden="1" x14ac:dyDescent="0.25">
      <c r="A1987" s="17" t="s">
        <v>8</v>
      </c>
      <c r="B1987" s="17" t="s">
        <v>257</v>
      </c>
      <c r="C1987" s="17" t="s">
        <v>1741</v>
      </c>
      <c r="D1987" s="17" t="s">
        <v>2003</v>
      </c>
      <c r="E1987" s="17" t="s">
        <v>3882</v>
      </c>
      <c r="F1987" s="17" t="s">
        <v>3598</v>
      </c>
      <c r="G1987" s="17" t="s">
        <v>5224</v>
      </c>
      <c r="H1987" t="s">
        <v>7476</v>
      </c>
      <c r="I1987" s="1">
        <v>2</v>
      </c>
      <c r="J1987" s="1">
        <v>2</v>
      </c>
      <c r="K1987" t="s">
        <v>7017</v>
      </c>
      <c r="L1987" s="5">
        <f>VLOOKUP(D:D,[1]Munka2!$A:$B,2,FALSE)</f>
        <v>1</v>
      </c>
      <c r="M1987" s="5">
        <f>_xlfn.IFNA(Táblázat1[[#This Row],[Kész2020]],0)</f>
        <v>1</v>
      </c>
      <c r="N1987" s="5">
        <f>IF(Táblázat1[[#This Row],[Karb./akt.év]]-Táblázat1[[#This Row],[Kész2020_2]]&lt;0,0,Táblázat1[[#This Row],[Karb./akt.év]]-Táblázat1[[#This Row],[Kész2020_2]])</f>
        <v>1</v>
      </c>
    </row>
    <row r="1988" spans="1:14" hidden="1" x14ac:dyDescent="0.25">
      <c r="A1988" s="17" t="s">
        <v>8</v>
      </c>
      <c r="B1988" s="17" t="s">
        <v>91</v>
      </c>
      <c r="C1988" s="17" t="s">
        <v>1741</v>
      </c>
      <c r="D1988" s="17" t="s">
        <v>1831</v>
      </c>
      <c r="E1988" s="17" t="s">
        <v>3675</v>
      </c>
      <c r="F1988" s="17" t="s">
        <v>3598</v>
      </c>
      <c r="G1988" s="17" t="s">
        <v>5062</v>
      </c>
      <c r="H1988" t="s">
        <v>7476</v>
      </c>
      <c r="I1988" s="1">
        <v>2</v>
      </c>
      <c r="J1988" s="1">
        <v>2</v>
      </c>
      <c r="K1988" t="s">
        <v>7017</v>
      </c>
      <c r="L1988" s="5">
        <f>VLOOKUP(D:D,[1]Munka2!$A:$B,2,FALSE)</f>
        <v>1</v>
      </c>
      <c r="M1988" s="5">
        <f>_xlfn.IFNA(Táblázat1[[#This Row],[Kész2020]],0)</f>
        <v>1</v>
      </c>
      <c r="N1988" s="5">
        <f>IF(Táblázat1[[#This Row],[Karb./akt.év]]-Táblázat1[[#This Row],[Kész2020_2]]&lt;0,0,Táblázat1[[#This Row],[Karb./akt.év]]-Táblázat1[[#This Row],[Kész2020_2]])</f>
        <v>1</v>
      </c>
    </row>
    <row r="1989" spans="1:14" hidden="1" x14ac:dyDescent="0.25">
      <c r="A1989" s="17" t="s">
        <v>8</v>
      </c>
      <c r="B1989" s="17" t="s">
        <v>1120</v>
      </c>
      <c r="C1989" s="17" t="s">
        <v>1741</v>
      </c>
      <c r="D1989" s="17" t="s">
        <v>2915</v>
      </c>
      <c r="E1989" s="17" t="s">
        <v>4286</v>
      </c>
      <c r="F1989" s="17" t="s">
        <v>3598</v>
      </c>
      <c r="G1989" s="17" t="s">
        <v>6049</v>
      </c>
      <c r="H1989" t="s">
        <v>7476</v>
      </c>
      <c r="I1989" s="1">
        <v>2</v>
      </c>
      <c r="J1989" s="1">
        <v>2</v>
      </c>
      <c r="K1989" t="s">
        <v>8101</v>
      </c>
      <c r="L1989" s="5">
        <f>VLOOKUP(D:D,[1]Munka2!$A:$B,2,FALSE)</f>
        <v>1</v>
      </c>
      <c r="M1989" s="5">
        <f>_xlfn.IFNA(Táblázat1[[#This Row],[Kész2020]],0)</f>
        <v>1</v>
      </c>
      <c r="N1989" s="5">
        <f>IF(Táblázat1[[#This Row],[Karb./akt.év]]-Táblázat1[[#This Row],[Kész2020_2]]&lt;0,0,Táblázat1[[#This Row],[Karb./akt.év]]-Táblázat1[[#This Row],[Kész2020_2]])</f>
        <v>1</v>
      </c>
    </row>
    <row r="1990" spans="1:14" hidden="1" x14ac:dyDescent="0.25">
      <c r="A1990" s="17" t="s">
        <v>8</v>
      </c>
      <c r="B1990" s="17" t="s">
        <v>1496</v>
      </c>
      <c r="C1990" s="17" t="s">
        <v>1741</v>
      </c>
      <c r="D1990" s="17" t="s">
        <v>3335</v>
      </c>
      <c r="E1990" s="17" t="s">
        <v>3736</v>
      </c>
      <c r="F1990" s="17" t="s">
        <v>3737</v>
      </c>
      <c r="G1990" s="17" t="s">
        <v>6403</v>
      </c>
      <c r="H1990" t="s">
        <v>7476</v>
      </c>
      <c r="I1990" s="1">
        <v>2</v>
      </c>
      <c r="J1990" s="1">
        <v>2</v>
      </c>
      <c r="K1990" t="s">
        <v>6638</v>
      </c>
      <c r="L1990" s="5">
        <f>VLOOKUP(D:D,[1]Munka2!$A:$B,2,FALSE)</f>
        <v>1</v>
      </c>
      <c r="M1990" s="5">
        <f>_xlfn.IFNA(Táblázat1[[#This Row],[Kész2020]],0)</f>
        <v>1</v>
      </c>
      <c r="N1990" s="5">
        <f>IF(Táblázat1[[#This Row],[Karb./akt.év]]-Táblázat1[[#This Row],[Kész2020_2]]&lt;0,0,Táblázat1[[#This Row],[Karb./akt.év]]-Táblázat1[[#This Row],[Kész2020_2]])</f>
        <v>1</v>
      </c>
    </row>
    <row r="1991" spans="1:14" hidden="1" x14ac:dyDescent="0.25">
      <c r="A1991" s="17" t="s">
        <v>8</v>
      </c>
      <c r="B1991" s="17" t="s">
        <v>96</v>
      </c>
      <c r="C1991" s="17" t="s">
        <v>1741</v>
      </c>
      <c r="D1991" s="17" t="s">
        <v>1836</v>
      </c>
      <c r="E1991" s="17" t="s">
        <v>3680</v>
      </c>
      <c r="F1991" s="17" t="s">
        <v>3681</v>
      </c>
      <c r="G1991" s="17" t="s">
        <v>5067</v>
      </c>
      <c r="H1991" t="s">
        <v>7476</v>
      </c>
      <c r="I1991" s="1">
        <v>2</v>
      </c>
      <c r="J1991" s="1">
        <v>2</v>
      </c>
      <c r="K1991" t="s">
        <v>6637</v>
      </c>
      <c r="L1991" s="5">
        <f>VLOOKUP(D:D,[1]Munka2!$A:$B,2,FALSE)</f>
        <v>1</v>
      </c>
      <c r="M1991" s="5">
        <f>_xlfn.IFNA(Táblázat1[[#This Row],[Kész2020]],0)</f>
        <v>1</v>
      </c>
      <c r="N1991" s="5">
        <f>IF(Táblázat1[[#This Row],[Karb./akt.év]]-Táblázat1[[#This Row],[Kész2020_2]]&lt;0,0,Táblázat1[[#This Row],[Karb./akt.év]]-Táblázat1[[#This Row],[Kész2020_2]])</f>
        <v>1</v>
      </c>
    </row>
    <row r="1992" spans="1:14" x14ac:dyDescent="0.25">
      <c r="A1992" s="17" t="s">
        <v>8</v>
      </c>
      <c r="B1992" s="17" t="s">
        <v>1234</v>
      </c>
      <c r="C1992" s="17" t="s">
        <v>1741</v>
      </c>
      <c r="D1992" s="17" t="s">
        <v>3043</v>
      </c>
      <c r="E1992" s="17" t="s">
        <v>4308</v>
      </c>
      <c r="F1992" s="17" t="s">
        <v>3664</v>
      </c>
      <c r="G1992" s="17" t="s">
        <v>6162</v>
      </c>
      <c r="H1992" t="s">
        <v>7476</v>
      </c>
      <c r="I1992" s="1">
        <v>2</v>
      </c>
      <c r="J1992" s="1">
        <v>2</v>
      </c>
      <c r="K1992" t="s">
        <v>6638</v>
      </c>
      <c r="L1992" s="5" t="e">
        <f>VLOOKUP(D:D,[1]Munka2!$A:$B,2,FALSE)</f>
        <v>#N/A</v>
      </c>
      <c r="M1992" s="5">
        <f>_xlfn.IFNA(Táblázat1[[#This Row],[Kész2020]],0)</f>
        <v>0</v>
      </c>
      <c r="N1992" s="5">
        <f>IF(Táblázat1[[#This Row],[Karb./akt.év]]-Táblázat1[[#This Row],[Kész2020_2]]&lt;0,0,Táblázat1[[#This Row],[Karb./akt.év]]-Táblázat1[[#This Row],[Kész2020_2]])</f>
        <v>2</v>
      </c>
    </row>
    <row r="1993" spans="1:14" hidden="1" x14ac:dyDescent="0.25">
      <c r="A1993" s="17" t="s">
        <v>8</v>
      </c>
      <c r="B1993" s="17" t="s">
        <v>1581</v>
      </c>
      <c r="C1993" s="17" t="s">
        <v>1741</v>
      </c>
      <c r="D1993" s="17" t="s">
        <v>3428</v>
      </c>
      <c r="E1993" s="17" t="s">
        <v>3671</v>
      </c>
      <c r="F1993" s="17" t="s">
        <v>3672</v>
      </c>
      <c r="G1993" s="17" t="s">
        <v>6483</v>
      </c>
      <c r="H1993" t="s">
        <v>7476</v>
      </c>
      <c r="I1993" s="1">
        <v>2</v>
      </c>
      <c r="J1993" s="1">
        <v>2</v>
      </c>
      <c r="K1993" t="s">
        <v>6638</v>
      </c>
      <c r="L1993" s="5">
        <f>VLOOKUP(D:D,[1]Munka2!$A:$B,2,FALSE)</f>
        <v>1</v>
      </c>
      <c r="M1993" s="5">
        <f>_xlfn.IFNA(Táblázat1[[#This Row],[Kész2020]],0)</f>
        <v>1</v>
      </c>
      <c r="N1993" s="5">
        <f>IF(Táblázat1[[#This Row],[Karb./akt.év]]-Táblázat1[[#This Row],[Kész2020_2]]&lt;0,0,Táblázat1[[#This Row],[Karb./akt.év]]-Táblázat1[[#This Row],[Kész2020_2]])</f>
        <v>1</v>
      </c>
    </row>
    <row r="1994" spans="1:14" hidden="1" x14ac:dyDescent="0.25">
      <c r="A1994" s="17" t="s">
        <v>8</v>
      </c>
      <c r="B1994" s="17" t="s">
        <v>38</v>
      </c>
      <c r="C1994" s="17" t="s">
        <v>1741</v>
      </c>
      <c r="D1994" s="17" t="s">
        <v>1776</v>
      </c>
      <c r="E1994" s="17" t="s">
        <v>3611</v>
      </c>
      <c r="F1994" s="17" t="s">
        <v>3612</v>
      </c>
      <c r="G1994" s="17" t="s">
        <v>5015</v>
      </c>
      <c r="H1994" t="s">
        <v>7476</v>
      </c>
      <c r="I1994" s="1">
        <v>2</v>
      </c>
      <c r="J1994" s="1">
        <v>2</v>
      </c>
      <c r="K1994" t="s">
        <v>8103</v>
      </c>
      <c r="L1994" s="5">
        <f>VLOOKUP(D:D,[1]Munka2!$A:$B,2,FALSE)</f>
        <v>1</v>
      </c>
      <c r="M1994" s="5">
        <f>_xlfn.IFNA(Táblázat1[[#This Row],[Kész2020]],0)</f>
        <v>1</v>
      </c>
      <c r="N1994" s="5">
        <f>IF(Táblázat1[[#This Row],[Karb./akt.év]]-Táblázat1[[#This Row],[Kész2020_2]]&lt;0,0,Táblázat1[[#This Row],[Karb./akt.év]]-Táblázat1[[#This Row],[Kész2020_2]])</f>
        <v>1</v>
      </c>
    </row>
    <row r="1995" spans="1:14" x14ac:dyDescent="0.25">
      <c r="A1995" s="17" t="s">
        <v>8</v>
      </c>
      <c r="B1995" s="17" t="s">
        <v>1423</v>
      </c>
      <c r="C1995" s="17" t="s">
        <v>1741</v>
      </c>
      <c r="D1995" s="17" t="s">
        <v>3253</v>
      </c>
      <c r="E1995" s="17" t="s">
        <v>3729</v>
      </c>
      <c r="F1995" s="17" t="s">
        <v>3598</v>
      </c>
      <c r="G1995" s="17" t="s">
        <v>6327</v>
      </c>
      <c r="H1995" t="s">
        <v>7476</v>
      </c>
      <c r="I1995" s="1">
        <v>2</v>
      </c>
      <c r="J1995" s="1">
        <v>2</v>
      </c>
      <c r="K1995" t="s">
        <v>8101</v>
      </c>
      <c r="L1995" s="5" t="e">
        <f>VLOOKUP(D:D,[1]Munka2!$A:$B,2,FALSE)</f>
        <v>#N/A</v>
      </c>
      <c r="M1995" s="5">
        <f>_xlfn.IFNA(Táblázat1[[#This Row],[Kész2020]],0)</f>
        <v>0</v>
      </c>
      <c r="N1995" s="5">
        <f>IF(Táblázat1[[#This Row],[Karb./akt.év]]-Táblázat1[[#This Row],[Kész2020_2]]&lt;0,0,Táblázat1[[#This Row],[Karb./akt.év]]-Táblázat1[[#This Row],[Kész2020_2]])</f>
        <v>2</v>
      </c>
    </row>
    <row r="1996" spans="1:14" hidden="1" x14ac:dyDescent="0.25">
      <c r="A1996" s="17" t="s">
        <v>8</v>
      </c>
      <c r="B1996" s="17" t="s">
        <v>520</v>
      </c>
      <c r="C1996" s="17" t="s">
        <v>1741</v>
      </c>
      <c r="D1996" s="17" t="s">
        <v>2285</v>
      </c>
      <c r="E1996" s="17" t="s">
        <v>4137</v>
      </c>
      <c r="F1996" s="17" t="s">
        <v>3598</v>
      </c>
      <c r="G1996" s="17" t="s">
        <v>5481</v>
      </c>
      <c r="H1996" t="s">
        <v>7476</v>
      </c>
      <c r="I1996" s="1">
        <v>2</v>
      </c>
      <c r="J1996" s="1">
        <v>2</v>
      </c>
      <c r="K1996" t="s">
        <v>6633</v>
      </c>
      <c r="L1996" s="5">
        <f>VLOOKUP(D:D,[1]Munka2!$A:$B,2,FALSE)</f>
        <v>1</v>
      </c>
      <c r="M1996" s="5">
        <f>_xlfn.IFNA(Táblázat1[[#This Row],[Kész2020]],0)</f>
        <v>1</v>
      </c>
      <c r="N1996" s="5">
        <f>IF(Táblázat1[[#This Row],[Karb./akt.év]]-Táblázat1[[#This Row],[Kész2020_2]]&lt;0,0,Táblázat1[[#This Row],[Karb./akt.év]]-Táblázat1[[#This Row],[Kész2020_2]])</f>
        <v>1</v>
      </c>
    </row>
    <row r="1997" spans="1:14" hidden="1" x14ac:dyDescent="0.25">
      <c r="A1997" s="17" t="s">
        <v>8</v>
      </c>
      <c r="B1997" s="17" t="s">
        <v>196</v>
      </c>
      <c r="C1997" s="17" t="s">
        <v>1741</v>
      </c>
      <c r="D1997" s="17" t="s">
        <v>1937</v>
      </c>
      <c r="E1997" s="17" t="s">
        <v>3817</v>
      </c>
      <c r="F1997" s="17" t="s">
        <v>3598</v>
      </c>
      <c r="G1997" s="17" t="s">
        <v>5166</v>
      </c>
      <c r="H1997" t="s">
        <v>7476</v>
      </c>
      <c r="I1997" s="1">
        <v>2</v>
      </c>
      <c r="J1997" s="1">
        <v>2</v>
      </c>
      <c r="K1997" t="s">
        <v>6633</v>
      </c>
      <c r="L1997" s="5">
        <f>VLOOKUP(D:D,[1]Munka2!$A:$B,2,FALSE)</f>
        <v>1</v>
      </c>
      <c r="M1997" s="5">
        <f>_xlfn.IFNA(Táblázat1[[#This Row],[Kész2020]],0)</f>
        <v>1</v>
      </c>
      <c r="N1997" s="5">
        <f>IF(Táblázat1[[#This Row],[Karb./akt.év]]-Táblázat1[[#This Row],[Kész2020_2]]&lt;0,0,Táblázat1[[#This Row],[Karb./akt.év]]-Táblázat1[[#This Row],[Kész2020_2]])</f>
        <v>1</v>
      </c>
    </row>
    <row r="1998" spans="1:14" hidden="1" x14ac:dyDescent="0.25">
      <c r="A1998" s="17" t="s">
        <v>8</v>
      </c>
      <c r="B1998" s="17" t="s">
        <v>448</v>
      </c>
      <c r="C1998" s="17" t="s">
        <v>1741</v>
      </c>
      <c r="D1998" s="17" t="s">
        <v>2206</v>
      </c>
      <c r="E1998" s="17" t="s">
        <v>4059</v>
      </c>
      <c r="F1998" s="17" t="s">
        <v>3598</v>
      </c>
      <c r="G1998" s="17" t="s">
        <v>5413</v>
      </c>
      <c r="H1998" t="s">
        <v>7476</v>
      </c>
      <c r="I1998" s="1">
        <v>2</v>
      </c>
      <c r="J1998" s="1">
        <v>2</v>
      </c>
      <c r="K1998" t="s">
        <v>8101</v>
      </c>
      <c r="L1998" s="5">
        <f>VLOOKUP(D:D,[1]Munka2!$A:$B,2,FALSE)</f>
        <v>1</v>
      </c>
      <c r="M1998" s="5">
        <f>_xlfn.IFNA(Táblázat1[[#This Row],[Kész2020]],0)</f>
        <v>1</v>
      </c>
      <c r="N1998" s="5">
        <f>IF(Táblázat1[[#This Row],[Karb./akt.év]]-Táblázat1[[#This Row],[Kész2020_2]]&lt;0,0,Táblázat1[[#This Row],[Karb./akt.év]]-Táblázat1[[#This Row],[Kész2020_2]])</f>
        <v>1</v>
      </c>
    </row>
    <row r="1999" spans="1:14" hidden="1" x14ac:dyDescent="0.25">
      <c r="A1999" s="17" t="s">
        <v>8</v>
      </c>
      <c r="B1999" s="17" t="s">
        <v>1364</v>
      </c>
      <c r="C1999" s="17" t="s">
        <v>1741</v>
      </c>
      <c r="D1999" s="17" t="s">
        <v>3183</v>
      </c>
      <c r="E1999" s="17" t="s">
        <v>4026</v>
      </c>
      <c r="F1999" s="17" t="s">
        <v>4027</v>
      </c>
      <c r="G1999" s="17" t="s">
        <v>6273</v>
      </c>
      <c r="H1999" t="s">
        <v>7476</v>
      </c>
      <c r="I1999" s="1">
        <v>2</v>
      </c>
      <c r="J1999" s="1">
        <v>2</v>
      </c>
      <c r="K1999" t="s">
        <v>7014</v>
      </c>
      <c r="L1999" s="5">
        <f>VLOOKUP(D:D,[1]Munka2!$A:$B,2,FALSE)</f>
        <v>1</v>
      </c>
      <c r="M1999" s="5">
        <f>_xlfn.IFNA(Táblázat1[[#This Row],[Kész2020]],0)</f>
        <v>1</v>
      </c>
      <c r="N1999" s="5">
        <f>IF(Táblázat1[[#This Row],[Karb./akt.év]]-Táblázat1[[#This Row],[Kész2020_2]]&lt;0,0,Táblázat1[[#This Row],[Karb./akt.év]]-Táblázat1[[#This Row],[Kész2020_2]])</f>
        <v>1</v>
      </c>
    </row>
    <row r="2000" spans="1:14" hidden="1" x14ac:dyDescent="0.25">
      <c r="A2000" s="17" t="s">
        <v>8</v>
      </c>
      <c r="B2000" s="17" t="s">
        <v>6701</v>
      </c>
      <c r="C2000" s="17" t="s">
        <v>1741</v>
      </c>
      <c r="D2000" s="17" t="s">
        <v>7447</v>
      </c>
      <c r="E2000" s="17" t="s">
        <v>3842</v>
      </c>
      <c r="F2000" s="17" t="s">
        <v>3843</v>
      </c>
      <c r="G2000" s="17" t="s">
        <v>6703</v>
      </c>
      <c r="H2000" t="s">
        <v>7476</v>
      </c>
      <c r="I2000" s="1">
        <v>2</v>
      </c>
      <c r="J2000" s="1">
        <v>2</v>
      </c>
      <c r="K2000" t="s">
        <v>6633</v>
      </c>
      <c r="L2000" s="5">
        <f>VLOOKUP(D:D,[1]Munka2!$A:$B,2,FALSE)</f>
        <v>1</v>
      </c>
      <c r="M2000" s="5">
        <f>_xlfn.IFNA(Táblázat1[[#This Row],[Kész2020]],0)</f>
        <v>1</v>
      </c>
      <c r="N2000" s="5">
        <f>IF(Táblázat1[[#This Row],[Karb./akt.év]]-Táblázat1[[#This Row],[Kész2020_2]]&lt;0,0,Táblázat1[[#This Row],[Karb./akt.év]]-Táblázat1[[#This Row],[Kész2020_2]])</f>
        <v>1</v>
      </c>
    </row>
    <row r="2001" spans="1:14" hidden="1" x14ac:dyDescent="0.25">
      <c r="A2001" s="17" t="s">
        <v>8</v>
      </c>
      <c r="B2001" s="17" t="s">
        <v>6716</v>
      </c>
      <c r="C2001" s="17" t="s">
        <v>1741</v>
      </c>
      <c r="D2001" s="17" t="s">
        <v>6702</v>
      </c>
      <c r="E2001" s="17" t="s">
        <v>4232</v>
      </c>
      <c r="F2001" s="17" t="s">
        <v>4233</v>
      </c>
      <c r="G2001" s="17" t="s">
        <v>6728</v>
      </c>
      <c r="H2001" t="s">
        <v>7476</v>
      </c>
      <c r="I2001" s="1">
        <v>2</v>
      </c>
      <c r="J2001" s="1">
        <v>2</v>
      </c>
      <c r="K2001" t="s">
        <v>8103</v>
      </c>
      <c r="L2001" s="5">
        <f>VLOOKUP(D:D,[1]Munka2!$A:$B,2,FALSE)</f>
        <v>1</v>
      </c>
      <c r="M2001" s="5">
        <f>_xlfn.IFNA(Táblázat1[[#This Row],[Kész2020]],0)</f>
        <v>1</v>
      </c>
      <c r="N2001" s="5">
        <f>IF(Táblázat1[[#This Row],[Karb./akt.év]]-Táblázat1[[#This Row],[Kész2020_2]]&lt;0,0,Táblázat1[[#This Row],[Karb./akt.év]]-Táblázat1[[#This Row],[Kész2020_2]])</f>
        <v>1</v>
      </c>
    </row>
    <row r="2002" spans="1:14" hidden="1" x14ac:dyDescent="0.25">
      <c r="A2002" s="17" t="s">
        <v>8</v>
      </c>
      <c r="B2002" s="17" t="s">
        <v>6745</v>
      </c>
      <c r="C2002" s="17" t="s">
        <v>1741</v>
      </c>
      <c r="D2002" s="17" t="s">
        <v>6749</v>
      </c>
      <c r="E2002" s="17" t="s">
        <v>3834</v>
      </c>
      <c r="F2002" s="17" t="s">
        <v>3835</v>
      </c>
      <c r="G2002" s="17" t="s">
        <v>5424</v>
      </c>
      <c r="H2002" t="s">
        <v>7476</v>
      </c>
      <c r="I2002" s="1">
        <v>2</v>
      </c>
      <c r="J2002" s="1">
        <v>2</v>
      </c>
      <c r="K2002" t="s">
        <v>7014</v>
      </c>
      <c r="L2002" s="5">
        <f>VLOOKUP(D:D,[1]Munka2!$A:$B,2,FALSE)</f>
        <v>1</v>
      </c>
      <c r="M2002" s="5">
        <f>_xlfn.IFNA(Táblázat1[[#This Row],[Kész2020]],0)</f>
        <v>1</v>
      </c>
      <c r="N2002" s="5">
        <f>IF(Táblázat1[[#This Row],[Karb./akt.év]]-Táblázat1[[#This Row],[Kész2020_2]]&lt;0,0,Táblázat1[[#This Row],[Karb./akt.év]]-Táblázat1[[#This Row],[Kész2020_2]])</f>
        <v>1</v>
      </c>
    </row>
    <row r="2003" spans="1:14" hidden="1" x14ac:dyDescent="0.25">
      <c r="A2003" s="17" t="s">
        <v>8</v>
      </c>
      <c r="B2003" s="17" t="s">
        <v>6759</v>
      </c>
      <c r="C2003" s="17" t="s">
        <v>1741</v>
      </c>
      <c r="D2003" s="17" t="s">
        <v>6770</v>
      </c>
      <c r="E2003" s="17" t="s">
        <v>3693</v>
      </c>
      <c r="F2003" s="17" t="s">
        <v>3694</v>
      </c>
      <c r="G2003" s="17" t="s">
        <v>6778</v>
      </c>
      <c r="H2003" t="s">
        <v>7476</v>
      </c>
      <c r="I2003" s="1">
        <v>2</v>
      </c>
      <c r="J2003" s="1">
        <v>2</v>
      </c>
      <c r="K2003" t="s">
        <v>6641</v>
      </c>
      <c r="L2003" s="5">
        <f>VLOOKUP(D:D,[1]Munka2!$A:$B,2,FALSE)</f>
        <v>1</v>
      </c>
      <c r="M2003" s="5">
        <f>_xlfn.IFNA(Táblázat1[[#This Row],[Kész2020]],0)</f>
        <v>1</v>
      </c>
      <c r="N2003" s="5">
        <f>IF(Táblázat1[[#This Row],[Karb./akt.év]]-Táblázat1[[#This Row],[Kész2020_2]]&lt;0,0,Táblázat1[[#This Row],[Karb./akt.év]]-Táblázat1[[#This Row],[Kész2020_2]])</f>
        <v>1</v>
      </c>
    </row>
    <row r="2004" spans="1:14" hidden="1" x14ac:dyDescent="0.25">
      <c r="A2004" s="17" t="s">
        <v>8</v>
      </c>
      <c r="B2004" s="17" t="s">
        <v>6851</v>
      </c>
      <c r="C2004" s="17" t="s">
        <v>1741</v>
      </c>
      <c r="D2004" s="17" t="s">
        <v>6882</v>
      </c>
      <c r="E2004" s="17" t="s">
        <v>6896</v>
      </c>
      <c r="F2004" s="17" t="s">
        <v>6897</v>
      </c>
      <c r="G2004" s="17" t="s">
        <v>6920</v>
      </c>
      <c r="H2004" t="s">
        <v>7476</v>
      </c>
      <c r="I2004" s="1">
        <v>2</v>
      </c>
      <c r="J2004" s="1">
        <v>2</v>
      </c>
      <c r="K2004" t="s">
        <v>6635</v>
      </c>
      <c r="L2004" s="5">
        <f>VLOOKUP(D:D,[1]Munka2!$A:$B,2,FALSE)</f>
        <v>1</v>
      </c>
      <c r="M2004" s="5">
        <f>_xlfn.IFNA(Táblázat1[[#This Row],[Kész2020]],0)</f>
        <v>1</v>
      </c>
      <c r="N2004" s="5">
        <f>IF(Táblázat1[[#This Row],[Karb./akt.év]]-Táblázat1[[#This Row],[Kész2020_2]]&lt;0,0,Táblázat1[[#This Row],[Karb./akt.év]]-Táblázat1[[#This Row],[Kész2020_2]])</f>
        <v>1</v>
      </c>
    </row>
    <row r="2005" spans="1:14" hidden="1" x14ac:dyDescent="0.25">
      <c r="A2005" s="17" t="s">
        <v>8</v>
      </c>
      <c r="B2005" s="17" t="s">
        <v>6850</v>
      </c>
      <c r="C2005" s="17" t="s">
        <v>1741</v>
      </c>
      <c r="D2005" s="17" t="s">
        <v>6881</v>
      </c>
      <c r="E2005" s="17" t="s">
        <v>3846</v>
      </c>
      <c r="F2005" s="17" t="s">
        <v>3598</v>
      </c>
      <c r="G2005" s="17" t="s">
        <v>5199</v>
      </c>
      <c r="H2005" t="s">
        <v>7476</v>
      </c>
      <c r="I2005" s="1">
        <v>2</v>
      </c>
      <c r="J2005" s="1">
        <v>2</v>
      </c>
      <c r="K2005" t="s">
        <v>7017</v>
      </c>
      <c r="L2005" s="5">
        <f>VLOOKUP(D:D,[1]Munka2!$A:$B,2,FALSE)</f>
        <v>2</v>
      </c>
      <c r="M2005" s="5">
        <f>_xlfn.IFNA(Táblázat1[[#This Row],[Kész2020]],0)</f>
        <v>2</v>
      </c>
      <c r="N2005" s="5">
        <f>IF(Táblázat1[[#This Row],[Karb./akt.év]]-Táblázat1[[#This Row],[Kész2020_2]]&lt;0,0,Táblázat1[[#This Row],[Karb./akt.év]]-Táblázat1[[#This Row],[Kész2020_2]])</f>
        <v>0</v>
      </c>
    </row>
    <row r="2006" spans="1:14" hidden="1" x14ac:dyDescent="0.25">
      <c r="A2006" s="17" t="s">
        <v>8</v>
      </c>
      <c r="B2006" s="17" t="s">
        <v>6929</v>
      </c>
      <c r="C2006" s="17" t="s">
        <v>1741</v>
      </c>
      <c r="D2006" s="17" t="s">
        <v>3037</v>
      </c>
      <c r="E2006" s="17" t="s">
        <v>4087</v>
      </c>
      <c r="F2006" s="17" t="s">
        <v>4088</v>
      </c>
      <c r="G2006" s="17" t="s">
        <v>6950</v>
      </c>
      <c r="H2006" t="s">
        <v>7476</v>
      </c>
      <c r="I2006" s="1">
        <v>2</v>
      </c>
      <c r="J2006" s="1">
        <v>2</v>
      </c>
      <c r="K2006" t="s">
        <v>7017</v>
      </c>
      <c r="L2006" s="5">
        <f>VLOOKUP(D:D,[1]Munka2!$A:$B,2,FALSE)</f>
        <v>1</v>
      </c>
      <c r="M2006" s="5">
        <f>_xlfn.IFNA(Táblázat1[[#This Row],[Kész2020]],0)</f>
        <v>1</v>
      </c>
      <c r="N2006" s="5">
        <f>IF(Táblázat1[[#This Row],[Karb./akt.év]]-Táblázat1[[#This Row],[Kész2020_2]]&lt;0,0,Táblázat1[[#This Row],[Karb./akt.év]]-Táblázat1[[#This Row],[Kész2020_2]])</f>
        <v>1</v>
      </c>
    </row>
    <row r="2007" spans="1:14" hidden="1" x14ac:dyDescent="0.25">
      <c r="A2007" s="17" t="s">
        <v>8</v>
      </c>
      <c r="B2007" s="17" t="s">
        <v>6922</v>
      </c>
      <c r="C2007" s="17" t="s">
        <v>1741</v>
      </c>
      <c r="D2007" s="17" t="s">
        <v>3480</v>
      </c>
      <c r="E2007" s="17" t="s">
        <v>4967</v>
      </c>
      <c r="F2007" s="17" t="s">
        <v>3598</v>
      </c>
      <c r="G2007" s="17" t="s">
        <v>6923</v>
      </c>
      <c r="H2007" t="s">
        <v>7476</v>
      </c>
      <c r="I2007" s="1">
        <v>2</v>
      </c>
      <c r="J2007" s="1">
        <v>2</v>
      </c>
      <c r="K2007" t="s">
        <v>6633</v>
      </c>
      <c r="L2007" s="5">
        <f>VLOOKUP(D:D,[1]Munka2!$A:$B,2,FALSE)</f>
        <v>1</v>
      </c>
      <c r="M2007" s="5">
        <f>_xlfn.IFNA(Táblázat1[[#This Row],[Kész2020]],0)</f>
        <v>1</v>
      </c>
      <c r="N2007" s="5">
        <f>IF(Táblázat1[[#This Row],[Karb./akt.év]]-Táblázat1[[#This Row],[Kész2020_2]]&lt;0,0,Táblázat1[[#This Row],[Karb./akt.év]]-Táblázat1[[#This Row],[Kész2020_2]])</f>
        <v>1</v>
      </c>
    </row>
    <row r="2008" spans="1:14" hidden="1" x14ac:dyDescent="0.25">
      <c r="A2008" s="17" t="s">
        <v>8</v>
      </c>
      <c r="B2008" s="17" t="s">
        <v>6930</v>
      </c>
      <c r="C2008" s="17" t="s">
        <v>1741</v>
      </c>
      <c r="D2008" s="17" t="s">
        <v>6938</v>
      </c>
      <c r="E2008" s="17" t="s">
        <v>3798</v>
      </c>
      <c r="F2008" s="17" t="s">
        <v>3799</v>
      </c>
      <c r="G2008" s="17" t="s">
        <v>6951</v>
      </c>
      <c r="H2008" t="s">
        <v>7476</v>
      </c>
      <c r="I2008" s="1">
        <v>2</v>
      </c>
      <c r="J2008" s="1">
        <v>2</v>
      </c>
      <c r="K2008" t="s">
        <v>6636</v>
      </c>
      <c r="L2008" s="5">
        <f>VLOOKUP(D:D,[1]Munka2!$A:$B,2,FALSE)</f>
        <v>1</v>
      </c>
      <c r="M2008" s="5">
        <f>_xlfn.IFNA(Táblázat1[[#This Row],[Kész2020]],0)</f>
        <v>1</v>
      </c>
      <c r="N2008" s="5">
        <f>IF(Táblázat1[[#This Row],[Karb./akt.év]]-Táblázat1[[#This Row],[Kész2020_2]]&lt;0,0,Táblázat1[[#This Row],[Karb./akt.év]]-Táblázat1[[#This Row],[Kész2020_2]])</f>
        <v>1</v>
      </c>
    </row>
    <row r="2009" spans="1:14" hidden="1" x14ac:dyDescent="0.25">
      <c r="A2009" s="17" t="s">
        <v>8</v>
      </c>
      <c r="B2009" s="17" t="s">
        <v>6931</v>
      </c>
      <c r="C2009" s="17" t="s">
        <v>1741</v>
      </c>
      <c r="D2009" s="17" t="s">
        <v>6939</v>
      </c>
      <c r="E2009" s="17" t="s">
        <v>4133</v>
      </c>
      <c r="F2009" s="17" t="s">
        <v>4134</v>
      </c>
      <c r="G2009" s="17" t="s">
        <v>6952</v>
      </c>
      <c r="H2009" t="s">
        <v>7476</v>
      </c>
      <c r="I2009" s="1">
        <v>2</v>
      </c>
      <c r="J2009" s="1">
        <v>2</v>
      </c>
      <c r="K2009" t="s">
        <v>8102</v>
      </c>
      <c r="L2009" s="5">
        <f>VLOOKUP(D:D,[1]Munka2!$A:$B,2,FALSE)</f>
        <v>1</v>
      </c>
      <c r="M2009" s="5">
        <f>_xlfn.IFNA(Táblázat1[[#This Row],[Kész2020]],0)</f>
        <v>1</v>
      </c>
      <c r="N2009" s="5">
        <f>IF(Táblázat1[[#This Row],[Karb./akt.év]]-Táblázat1[[#This Row],[Kész2020_2]]&lt;0,0,Táblázat1[[#This Row],[Karb./akt.év]]-Táblázat1[[#This Row],[Kész2020_2]])</f>
        <v>1</v>
      </c>
    </row>
    <row r="2010" spans="1:14" x14ac:dyDescent="0.25">
      <c r="A2010" s="17" t="s">
        <v>8</v>
      </c>
      <c r="B2010" s="17" t="s">
        <v>6932</v>
      </c>
      <c r="C2010" s="17" t="s">
        <v>1741</v>
      </c>
      <c r="D2010" s="17" t="s">
        <v>6940</v>
      </c>
      <c r="E2010" s="17" t="s">
        <v>4325</v>
      </c>
      <c r="F2010" s="17" t="s">
        <v>4326</v>
      </c>
      <c r="G2010" s="17" t="s">
        <v>6953</v>
      </c>
      <c r="H2010" t="s">
        <v>7476</v>
      </c>
      <c r="I2010" s="1">
        <v>2</v>
      </c>
      <c r="J2010" s="1">
        <v>2</v>
      </c>
      <c r="K2010" t="s">
        <v>6640</v>
      </c>
      <c r="L2010" s="5" t="e">
        <f>VLOOKUP(D:D,[1]Munka2!$A:$B,2,FALSE)</f>
        <v>#N/A</v>
      </c>
      <c r="M2010" s="5">
        <f>_xlfn.IFNA(Táblázat1[[#This Row],[Kész2020]],0)</f>
        <v>0</v>
      </c>
      <c r="N2010" s="5">
        <f>IF(Táblázat1[[#This Row],[Karb./akt.év]]-Táblázat1[[#This Row],[Kész2020_2]]&lt;0,0,Táblázat1[[#This Row],[Karb./akt.év]]-Táblázat1[[#This Row],[Kész2020_2]])</f>
        <v>2</v>
      </c>
    </row>
    <row r="2011" spans="1:14" hidden="1" x14ac:dyDescent="0.25">
      <c r="A2011" s="17" t="s">
        <v>8</v>
      </c>
      <c r="B2011" s="17" t="s">
        <v>7035</v>
      </c>
      <c r="C2011" s="17" t="s">
        <v>1741</v>
      </c>
      <c r="D2011" s="17" t="s">
        <v>7072</v>
      </c>
      <c r="E2011" s="17" t="s">
        <v>4189</v>
      </c>
      <c r="F2011" s="17" t="s">
        <v>3679</v>
      </c>
      <c r="G2011" s="17" t="s">
        <v>7107</v>
      </c>
      <c r="H2011" t="s">
        <v>7476</v>
      </c>
      <c r="I2011" s="1">
        <v>2</v>
      </c>
      <c r="J2011" s="1">
        <v>2</v>
      </c>
      <c r="K2011" t="s">
        <v>6635</v>
      </c>
      <c r="L2011" s="5">
        <f>VLOOKUP(D:D,[1]Munka2!$A:$B,2,FALSE)</f>
        <v>1</v>
      </c>
      <c r="M2011" s="5">
        <f>_xlfn.IFNA(Táblázat1[[#This Row],[Kész2020]],0)</f>
        <v>1</v>
      </c>
      <c r="N2011" s="5">
        <f>IF(Táblázat1[[#This Row],[Karb./akt.év]]-Táblázat1[[#This Row],[Kész2020_2]]&lt;0,0,Táblázat1[[#This Row],[Karb./akt.év]]-Táblázat1[[#This Row],[Kész2020_2]])</f>
        <v>1</v>
      </c>
    </row>
    <row r="2012" spans="1:14" hidden="1" x14ac:dyDescent="0.25">
      <c r="A2012" s="17" t="s">
        <v>8</v>
      </c>
      <c r="B2012" s="17" t="s">
        <v>7036</v>
      </c>
      <c r="C2012" s="17" t="s">
        <v>1741</v>
      </c>
      <c r="D2012" s="17" t="s">
        <v>7073</v>
      </c>
      <c r="E2012" s="17" t="s">
        <v>4035</v>
      </c>
      <c r="F2012" s="17" t="s">
        <v>3598</v>
      </c>
      <c r="G2012" s="17" t="s">
        <v>7108</v>
      </c>
      <c r="H2012" t="s">
        <v>7476</v>
      </c>
      <c r="I2012" s="1">
        <v>2</v>
      </c>
      <c r="J2012" s="1">
        <v>2</v>
      </c>
      <c r="K2012" t="s">
        <v>6785</v>
      </c>
      <c r="L2012" s="5">
        <f>VLOOKUP(D:D,[1]Munka2!$A:$B,2,FALSE)</f>
        <v>1</v>
      </c>
      <c r="M2012" s="5">
        <f>_xlfn.IFNA(Táblázat1[[#This Row],[Kész2020]],0)</f>
        <v>1</v>
      </c>
      <c r="N2012" s="5">
        <f>IF(Táblázat1[[#This Row],[Karb./akt.év]]-Táblázat1[[#This Row],[Kész2020_2]]&lt;0,0,Táblázat1[[#This Row],[Karb./akt.év]]-Táblázat1[[#This Row],[Kész2020_2]])</f>
        <v>1</v>
      </c>
    </row>
    <row r="2013" spans="1:14" hidden="1" x14ac:dyDescent="0.25">
      <c r="A2013" s="17" t="s">
        <v>8</v>
      </c>
      <c r="B2013" s="17" t="s">
        <v>7037</v>
      </c>
      <c r="C2013" s="17" t="s">
        <v>1741</v>
      </c>
      <c r="D2013" s="17" t="s">
        <v>7074</v>
      </c>
      <c r="E2013" s="17" t="s">
        <v>4035</v>
      </c>
      <c r="F2013" s="17" t="s">
        <v>3598</v>
      </c>
      <c r="G2013" s="17" t="s">
        <v>7108</v>
      </c>
      <c r="H2013" t="s">
        <v>7476</v>
      </c>
      <c r="I2013" s="1">
        <v>2</v>
      </c>
      <c r="J2013" s="1">
        <v>2</v>
      </c>
      <c r="K2013" t="s">
        <v>6785</v>
      </c>
      <c r="L2013" s="5">
        <f>VLOOKUP(D:D,[1]Munka2!$A:$B,2,FALSE)</f>
        <v>1</v>
      </c>
      <c r="M2013" s="5">
        <f>_xlfn.IFNA(Táblázat1[[#This Row],[Kész2020]],0)</f>
        <v>1</v>
      </c>
      <c r="N2013" s="5">
        <f>IF(Táblázat1[[#This Row],[Karb./akt.év]]-Táblázat1[[#This Row],[Kész2020_2]]&lt;0,0,Táblázat1[[#This Row],[Karb./akt.év]]-Táblázat1[[#This Row],[Kész2020_2]])</f>
        <v>1</v>
      </c>
    </row>
    <row r="2014" spans="1:14" hidden="1" x14ac:dyDescent="0.25">
      <c r="A2014" s="17" t="s">
        <v>8</v>
      </c>
      <c r="B2014" s="17" t="s">
        <v>7038</v>
      </c>
      <c r="C2014" s="17" t="s">
        <v>1741</v>
      </c>
      <c r="D2014" s="17" t="s">
        <v>7075</v>
      </c>
      <c r="E2014" s="17" t="s">
        <v>4899</v>
      </c>
      <c r="F2014" s="17" t="s">
        <v>3598</v>
      </c>
      <c r="G2014" s="17" t="s">
        <v>6370</v>
      </c>
      <c r="H2014" t="s">
        <v>7476</v>
      </c>
      <c r="I2014" s="1">
        <v>2</v>
      </c>
      <c r="J2014" s="1">
        <v>2</v>
      </c>
      <c r="K2014" t="s">
        <v>6633</v>
      </c>
      <c r="L2014" s="5">
        <f>VLOOKUP(D:D,[1]Munka2!$A:$B,2,FALSE)</f>
        <v>1</v>
      </c>
      <c r="M2014" s="5">
        <f>_xlfn.IFNA(Táblázat1[[#This Row],[Kész2020]],0)</f>
        <v>1</v>
      </c>
      <c r="N2014" s="5">
        <f>IF(Táblázat1[[#This Row],[Karb./akt.év]]-Táblázat1[[#This Row],[Kész2020_2]]&lt;0,0,Táblázat1[[#This Row],[Karb./akt.év]]-Táblázat1[[#This Row],[Kész2020_2]])</f>
        <v>1</v>
      </c>
    </row>
    <row r="2015" spans="1:14" hidden="1" x14ac:dyDescent="0.25">
      <c r="A2015" s="17" t="s">
        <v>8</v>
      </c>
      <c r="B2015" s="17" t="s">
        <v>7039</v>
      </c>
      <c r="C2015" s="17" t="s">
        <v>1741</v>
      </c>
      <c r="D2015" s="17" t="s">
        <v>7076</v>
      </c>
      <c r="E2015" s="17" t="s">
        <v>4777</v>
      </c>
      <c r="F2015" s="17" t="s">
        <v>4778</v>
      </c>
      <c r="G2015" s="17" t="s">
        <v>7109</v>
      </c>
      <c r="H2015" t="s">
        <v>7476</v>
      </c>
      <c r="I2015" s="1">
        <v>2</v>
      </c>
      <c r="J2015" s="1">
        <v>2</v>
      </c>
      <c r="K2015" t="s">
        <v>7014</v>
      </c>
      <c r="L2015" s="5">
        <f>VLOOKUP(D:D,[1]Munka2!$A:$B,2,FALSE)</f>
        <v>1</v>
      </c>
      <c r="M2015" s="5">
        <f>_xlfn.IFNA(Táblázat1[[#This Row],[Kész2020]],0)</f>
        <v>1</v>
      </c>
      <c r="N2015" s="5">
        <f>IF(Táblázat1[[#This Row],[Karb./akt.év]]-Táblázat1[[#This Row],[Kész2020_2]]&lt;0,0,Táblázat1[[#This Row],[Karb./akt.év]]-Táblázat1[[#This Row],[Kész2020_2]])</f>
        <v>1</v>
      </c>
    </row>
    <row r="2016" spans="1:14" hidden="1" x14ac:dyDescent="0.25">
      <c r="A2016" s="17" t="s">
        <v>8</v>
      </c>
      <c r="B2016" s="17" t="s">
        <v>7040</v>
      </c>
      <c r="C2016" s="17" t="s">
        <v>1741</v>
      </c>
      <c r="D2016" s="17" t="s">
        <v>7077</v>
      </c>
      <c r="E2016" s="17" t="s">
        <v>4194</v>
      </c>
      <c r="F2016" s="17" t="s">
        <v>4195</v>
      </c>
      <c r="G2016" s="17" t="s">
        <v>7110</v>
      </c>
      <c r="H2016" t="s">
        <v>7476</v>
      </c>
      <c r="I2016" s="1">
        <v>2</v>
      </c>
      <c r="J2016" s="1">
        <v>2</v>
      </c>
      <c r="K2016" t="s">
        <v>6639</v>
      </c>
      <c r="L2016" s="5">
        <f>VLOOKUP(D:D,[1]Munka2!$A:$B,2,FALSE)</f>
        <v>1</v>
      </c>
      <c r="M2016" s="5">
        <f>_xlfn.IFNA(Táblázat1[[#This Row],[Kész2020]],0)</f>
        <v>1</v>
      </c>
      <c r="N2016" s="5">
        <f>IF(Táblázat1[[#This Row],[Karb./akt.év]]-Táblázat1[[#This Row],[Kész2020_2]]&lt;0,0,Táblázat1[[#This Row],[Karb./akt.év]]-Táblázat1[[#This Row],[Kész2020_2]])</f>
        <v>1</v>
      </c>
    </row>
    <row r="2017" spans="1:14" hidden="1" x14ac:dyDescent="0.25">
      <c r="A2017" s="17" t="s">
        <v>8</v>
      </c>
      <c r="B2017" s="17" t="s">
        <v>7041</v>
      </c>
      <c r="C2017" s="17" t="s">
        <v>1741</v>
      </c>
      <c r="D2017" s="17" t="s">
        <v>7078</v>
      </c>
      <c r="E2017" s="17" t="s">
        <v>4306</v>
      </c>
      <c r="F2017" s="17" t="s">
        <v>4307</v>
      </c>
      <c r="G2017" s="17" t="s">
        <v>7111</v>
      </c>
      <c r="H2017" t="s">
        <v>7476</v>
      </c>
      <c r="I2017" s="1">
        <v>2</v>
      </c>
      <c r="J2017" s="1">
        <v>2</v>
      </c>
      <c r="K2017" t="s">
        <v>6639</v>
      </c>
      <c r="L2017" s="5">
        <f>VLOOKUP(D:D,[1]Munka2!$A:$B,2,FALSE)</f>
        <v>1</v>
      </c>
      <c r="M2017" s="5">
        <f>_xlfn.IFNA(Táblázat1[[#This Row],[Kész2020]],0)</f>
        <v>1</v>
      </c>
      <c r="N2017" s="5">
        <f>IF(Táblázat1[[#This Row],[Karb./akt.év]]-Táblázat1[[#This Row],[Kész2020_2]]&lt;0,0,Táblázat1[[#This Row],[Karb./akt.év]]-Táblázat1[[#This Row],[Kész2020_2]])</f>
        <v>1</v>
      </c>
    </row>
    <row r="2018" spans="1:14" x14ac:dyDescent="0.25">
      <c r="A2018" s="17" t="s">
        <v>8</v>
      </c>
      <c r="B2018" s="17" t="s">
        <v>7042</v>
      </c>
      <c r="C2018" s="17" t="s">
        <v>1741</v>
      </c>
      <c r="D2018" s="17" t="s">
        <v>7079</v>
      </c>
      <c r="E2018" s="17" t="s">
        <v>4299</v>
      </c>
      <c r="F2018" s="17" t="s">
        <v>3598</v>
      </c>
      <c r="G2018" s="17" t="s">
        <v>5866</v>
      </c>
      <c r="H2018" t="s">
        <v>7476</v>
      </c>
      <c r="I2018" s="1">
        <v>2</v>
      </c>
      <c r="J2018" s="1">
        <v>2</v>
      </c>
      <c r="K2018" t="s">
        <v>8101</v>
      </c>
      <c r="L2018" s="5" t="e">
        <f>VLOOKUP(D:D,[1]Munka2!$A:$B,2,FALSE)</f>
        <v>#N/A</v>
      </c>
      <c r="M2018" s="5">
        <f>_xlfn.IFNA(Táblázat1[[#This Row],[Kész2020]],0)</f>
        <v>0</v>
      </c>
      <c r="N2018" s="5">
        <f>IF(Táblázat1[[#This Row],[Karb./akt.év]]-Táblázat1[[#This Row],[Kész2020_2]]&lt;0,0,Táblázat1[[#This Row],[Karb./akt.év]]-Táblázat1[[#This Row],[Kész2020_2]])</f>
        <v>2</v>
      </c>
    </row>
    <row r="2019" spans="1:14" hidden="1" x14ac:dyDescent="0.25">
      <c r="A2019" s="17" t="s">
        <v>8</v>
      </c>
      <c r="B2019" s="17" t="s">
        <v>7043</v>
      </c>
      <c r="C2019" s="17" t="s">
        <v>1741</v>
      </c>
      <c r="D2019" s="17" t="s">
        <v>7080</v>
      </c>
      <c r="E2019" s="17" t="s">
        <v>4981</v>
      </c>
      <c r="F2019" s="17" t="s">
        <v>7097</v>
      </c>
      <c r="G2019" s="17" t="s">
        <v>7112</v>
      </c>
      <c r="H2019" t="s">
        <v>7476</v>
      </c>
      <c r="I2019" s="1">
        <v>2</v>
      </c>
      <c r="J2019" s="1">
        <v>2</v>
      </c>
      <c r="K2019" t="s">
        <v>8102</v>
      </c>
      <c r="L2019" s="5">
        <f>VLOOKUP(D:D,[1]Munka2!$A:$B,2,FALSE)</f>
        <v>1</v>
      </c>
      <c r="M2019" s="5">
        <f>_xlfn.IFNA(Táblázat1[[#This Row],[Kész2020]],0)</f>
        <v>1</v>
      </c>
      <c r="N2019" s="5">
        <f>IF(Táblázat1[[#This Row],[Karb./akt.év]]-Táblázat1[[#This Row],[Kész2020_2]]&lt;0,0,Táblázat1[[#This Row],[Karb./akt.év]]-Táblázat1[[#This Row],[Kész2020_2]])</f>
        <v>1</v>
      </c>
    </row>
    <row r="2020" spans="1:14" hidden="1" x14ac:dyDescent="0.25">
      <c r="A2020" s="17" t="s">
        <v>8</v>
      </c>
      <c r="B2020" s="17" t="s">
        <v>7044</v>
      </c>
      <c r="C2020" s="17" t="s">
        <v>1741</v>
      </c>
      <c r="D2020" s="17" t="s">
        <v>7081</v>
      </c>
      <c r="E2020" s="17" t="s">
        <v>4563</v>
      </c>
      <c r="F2020" s="17" t="s">
        <v>3598</v>
      </c>
      <c r="G2020" s="17" t="s">
        <v>7113</v>
      </c>
      <c r="H2020" t="s">
        <v>7476</v>
      </c>
      <c r="I2020" s="1">
        <v>2</v>
      </c>
      <c r="J2020" s="1">
        <v>2</v>
      </c>
      <c r="K2020" t="s">
        <v>6785</v>
      </c>
      <c r="L2020" s="5">
        <f>VLOOKUP(D:D,[1]Munka2!$A:$B,2,FALSE)</f>
        <v>1</v>
      </c>
      <c r="M2020" s="5">
        <f>_xlfn.IFNA(Táblázat1[[#This Row],[Kész2020]],0)</f>
        <v>1</v>
      </c>
      <c r="N2020" s="5">
        <f>IF(Táblázat1[[#This Row],[Karb./akt.év]]-Táblázat1[[#This Row],[Kész2020_2]]&lt;0,0,Táblázat1[[#This Row],[Karb./akt.év]]-Táblázat1[[#This Row],[Kész2020_2]])</f>
        <v>1</v>
      </c>
    </row>
    <row r="2021" spans="1:14" hidden="1" x14ac:dyDescent="0.25">
      <c r="A2021" s="17" t="s">
        <v>8</v>
      </c>
      <c r="B2021" s="17" t="s">
        <v>7045</v>
      </c>
      <c r="C2021" s="17" t="s">
        <v>1741</v>
      </c>
      <c r="D2021" s="17" t="s">
        <v>7082</v>
      </c>
      <c r="E2021" s="17" t="s">
        <v>3836</v>
      </c>
      <c r="F2021" s="17" t="s">
        <v>3837</v>
      </c>
      <c r="G2021" s="17" t="s">
        <v>6444</v>
      </c>
      <c r="H2021" t="s">
        <v>7476</v>
      </c>
      <c r="I2021" s="1">
        <v>2</v>
      </c>
      <c r="J2021" s="1">
        <v>2</v>
      </c>
      <c r="K2021" t="s">
        <v>8103</v>
      </c>
      <c r="L2021" s="5">
        <f>VLOOKUP(D:D,[1]Munka2!$A:$B,2,FALSE)</f>
        <v>1</v>
      </c>
      <c r="M2021" s="5">
        <f>_xlfn.IFNA(Táblázat1[[#This Row],[Kész2020]],0)</f>
        <v>1</v>
      </c>
      <c r="N2021" s="5">
        <f>IF(Táblázat1[[#This Row],[Karb./akt.év]]-Táblázat1[[#This Row],[Kész2020_2]]&lt;0,0,Táblázat1[[#This Row],[Karb./akt.év]]-Táblázat1[[#This Row],[Kész2020_2]])</f>
        <v>1</v>
      </c>
    </row>
    <row r="2022" spans="1:14" hidden="1" x14ac:dyDescent="0.25">
      <c r="A2022" s="17" t="s">
        <v>8</v>
      </c>
      <c r="B2022" s="17" t="s">
        <v>7046</v>
      </c>
      <c r="C2022" s="17" t="s">
        <v>1741</v>
      </c>
      <c r="D2022" s="17" t="s">
        <v>7083</v>
      </c>
      <c r="E2022" s="17" t="s">
        <v>4011</v>
      </c>
      <c r="F2022" s="17" t="s">
        <v>3679</v>
      </c>
      <c r="G2022" s="17" t="s">
        <v>5346</v>
      </c>
      <c r="H2022" t="s">
        <v>7476</v>
      </c>
      <c r="I2022" s="1">
        <v>2</v>
      </c>
      <c r="J2022" s="1">
        <v>2</v>
      </c>
      <c r="K2022" t="s">
        <v>6635</v>
      </c>
      <c r="L2022" s="5">
        <f>VLOOKUP(D:D,[1]Munka2!$A:$B,2,FALSE)</f>
        <v>2</v>
      </c>
      <c r="M2022" s="5">
        <f>_xlfn.IFNA(Táblázat1[[#This Row],[Kész2020]],0)</f>
        <v>2</v>
      </c>
      <c r="N2022" s="5">
        <f>IF(Táblázat1[[#This Row],[Karb./akt.év]]-Táblázat1[[#This Row],[Kész2020_2]]&lt;0,0,Táblázat1[[#This Row],[Karb./akt.év]]-Táblázat1[[#This Row],[Kész2020_2]])</f>
        <v>0</v>
      </c>
    </row>
    <row r="2023" spans="1:14" hidden="1" x14ac:dyDescent="0.25">
      <c r="A2023" s="17" t="s">
        <v>8</v>
      </c>
      <c r="B2023" s="17" t="s">
        <v>7047</v>
      </c>
      <c r="C2023" s="17" t="s">
        <v>1741</v>
      </c>
      <c r="D2023" s="17" t="s">
        <v>7084</v>
      </c>
      <c r="E2023" s="17" t="s">
        <v>4037</v>
      </c>
      <c r="F2023" s="17" t="s">
        <v>4038</v>
      </c>
      <c r="G2023" s="17" t="s">
        <v>7114</v>
      </c>
      <c r="H2023" t="s">
        <v>7476</v>
      </c>
      <c r="I2023" s="1">
        <v>2</v>
      </c>
      <c r="J2023" s="1">
        <v>2</v>
      </c>
      <c r="K2023" t="s">
        <v>6642</v>
      </c>
      <c r="L2023" s="5">
        <f>VLOOKUP(D:D,[1]Munka2!$A:$B,2,FALSE)</f>
        <v>1</v>
      </c>
      <c r="M2023" s="5">
        <f>_xlfn.IFNA(Táblázat1[[#This Row],[Kész2020]],0)</f>
        <v>1</v>
      </c>
      <c r="N2023" s="5">
        <f>IF(Táblázat1[[#This Row],[Karb./akt.év]]-Táblázat1[[#This Row],[Kész2020_2]]&lt;0,0,Táblázat1[[#This Row],[Karb./akt.év]]-Táblázat1[[#This Row],[Kész2020_2]])</f>
        <v>1</v>
      </c>
    </row>
    <row r="2024" spans="1:14" hidden="1" x14ac:dyDescent="0.25">
      <c r="A2024" s="17" t="s">
        <v>8</v>
      </c>
      <c r="B2024" s="17" t="s">
        <v>7048</v>
      </c>
      <c r="C2024" s="17" t="s">
        <v>1741</v>
      </c>
      <c r="D2024" s="17" t="s">
        <v>7085</v>
      </c>
      <c r="E2024" s="17" t="s">
        <v>4534</v>
      </c>
      <c r="F2024" s="17" t="s">
        <v>4535</v>
      </c>
      <c r="G2024" s="17" t="s">
        <v>5865</v>
      </c>
      <c r="H2024" t="s">
        <v>7476</v>
      </c>
      <c r="I2024" s="1">
        <v>2</v>
      </c>
      <c r="J2024" s="1">
        <v>2</v>
      </c>
      <c r="K2024" t="s">
        <v>6641</v>
      </c>
      <c r="L2024" s="5">
        <f>VLOOKUP(D:D,[1]Munka2!$A:$B,2,FALSE)</f>
        <v>1</v>
      </c>
      <c r="M2024" s="5">
        <f>_xlfn.IFNA(Táblázat1[[#This Row],[Kész2020]],0)</f>
        <v>1</v>
      </c>
      <c r="N2024" s="5">
        <f>IF(Táblázat1[[#This Row],[Karb./akt.év]]-Táblázat1[[#This Row],[Kész2020_2]]&lt;0,0,Táblázat1[[#This Row],[Karb./akt.év]]-Táblázat1[[#This Row],[Kész2020_2]])</f>
        <v>1</v>
      </c>
    </row>
    <row r="2025" spans="1:14" hidden="1" x14ac:dyDescent="0.25">
      <c r="A2025" s="17" t="s">
        <v>8</v>
      </c>
      <c r="B2025" s="17" t="s">
        <v>7049</v>
      </c>
      <c r="C2025" s="17" t="s">
        <v>1741</v>
      </c>
      <c r="D2025" s="17" t="s">
        <v>7086</v>
      </c>
      <c r="E2025" s="17" t="s">
        <v>4372</v>
      </c>
      <c r="F2025" s="17" t="s">
        <v>4373</v>
      </c>
      <c r="G2025" s="17" t="s">
        <v>5817</v>
      </c>
      <c r="H2025" t="s">
        <v>7476</v>
      </c>
      <c r="I2025" s="1">
        <v>2</v>
      </c>
      <c r="J2025" s="1">
        <v>2</v>
      </c>
      <c r="K2025" t="s">
        <v>7354</v>
      </c>
      <c r="L2025" s="5">
        <f>VLOOKUP(D:D,[1]Munka2!$A:$B,2,FALSE)</f>
        <v>1</v>
      </c>
      <c r="M2025" s="5">
        <f>_xlfn.IFNA(Táblázat1[[#This Row],[Kész2020]],0)</f>
        <v>1</v>
      </c>
      <c r="N2025" s="5">
        <f>IF(Táblázat1[[#This Row],[Karb./akt.év]]-Táblázat1[[#This Row],[Kész2020_2]]&lt;0,0,Táblázat1[[#This Row],[Karb./akt.év]]-Táblázat1[[#This Row],[Kész2020_2]])</f>
        <v>1</v>
      </c>
    </row>
    <row r="2026" spans="1:14" x14ac:dyDescent="0.25">
      <c r="A2026" s="17" t="s">
        <v>8</v>
      </c>
      <c r="B2026" s="17" t="s">
        <v>7135</v>
      </c>
      <c r="C2026" s="17" t="s">
        <v>1741</v>
      </c>
      <c r="D2026" s="17" t="s">
        <v>7153</v>
      </c>
      <c r="E2026" s="17" t="s">
        <v>7157</v>
      </c>
      <c r="F2026" s="17" t="s">
        <v>7158</v>
      </c>
      <c r="G2026" s="17" t="s">
        <v>7167</v>
      </c>
      <c r="H2026" t="s">
        <v>7476</v>
      </c>
      <c r="I2026" s="1">
        <v>2</v>
      </c>
      <c r="J2026" s="1">
        <v>2</v>
      </c>
      <c r="K2026" t="s">
        <v>8102</v>
      </c>
      <c r="L2026" s="5" t="e">
        <f>VLOOKUP(D:D,[1]Munka2!$A:$B,2,FALSE)</f>
        <v>#N/A</v>
      </c>
      <c r="M2026" s="5">
        <f>_xlfn.IFNA(Táblázat1[[#This Row],[Kész2020]],0)</f>
        <v>0</v>
      </c>
      <c r="N2026" s="5">
        <f>IF(Táblázat1[[#This Row],[Karb./akt.év]]-Táblázat1[[#This Row],[Kész2020_2]]&lt;0,0,Táblázat1[[#This Row],[Karb./akt.év]]-Táblázat1[[#This Row],[Kész2020_2]])</f>
        <v>2</v>
      </c>
    </row>
    <row r="2027" spans="1:14" hidden="1" x14ac:dyDescent="0.25">
      <c r="A2027" s="17" t="s">
        <v>8</v>
      </c>
      <c r="B2027" s="17" t="s">
        <v>7136</v>
      </c>
      <c r="C2027" s="17" t="s">
        <v>1741</v>
      </c>
      <c r="D2027" s="17" t="s">
        <v>7154</v>
      </c>
      <c r="E2027" s="17" t="s">
        <v>4384</v>
      </c>
      <c r="F2027" s="17" t="s">
        <v>4385</v>
      </c>
      <c r="G2027" s="17" t="s">
        <v>7168</v>
      </c>
      <c r="H2027" t="s">
        <v>7476</v>
      </c>
      <c r="I2027" s="1">
        <v>2</v>
      </c>
      <c r="J2027" s="1">
        <v>2</v>
      </c>
      <c r="K2027" t="s">
        <v>6638</v>
      </c>
      <c r="L2027" s="5">
        <f>VLOOKUP(D:D,[1]Munka2!$A:$B,2,FALSE)</f>
        <v>1</v>
      </c>
      <c r="M2027" s="5">
        <f>_xlfn.IFNA(Táblázat1[[#This Row],[Kész2020]],0)</f>
        <v>1</v>
      </c>
      <c r="N2027" s="5">
        <f>IF(Táblázat1[[#This Row],[Karb./akt.év]]-Táblázat1[[#This Row],[Kész2020_2]]&lt;0,0,Táblázat1[[#This Row],[Karb./akt.év]]-Táblázat1[[#This Row],[Kész2020_2]])</f>
        <v>1</v>
      </c>
    </row>
    <row r="2028" spans="1:14" hidden="1" x14ac:dyDescent="0.25">
      <c r="A2028" s="17" t="s">
        <v>8</v>
      </c>
      <c r="B2028" s="17" t="s">
        <v>7172</v>
      </c>
      <c r="C2028" s="17" t="s">
        <v>1741</v>
      </c>
      <c r="D2028" s="17" t="s">
        <v>7181</v>
      </c>
      <c r="E2028" s="17" t="s">
        <v>4479</v>
      </c>
      <c r="F2028" s="17" t="s">
        <v>4480</v>
      </c>
      <c r="G2028" s="17" t="s">
        <v>5299</v>
      </c>
      <c r="H2028" t="s">
        <v>7476</v>
      </c>
      <c r="I2028" s="1">
        <v>2</v>
      </c>
      <c r="J2028" s="1">
        <v>2</v>
      </c>
      <c r="K2028" t="s">
        <v>6634</v>
      </c>
      <c r="L2028" s="5">
        <f>VLOOKUP(D:D,[1]Munka2!$A:$B,2,FALSE)</f>
        <v>1</v>
      </c>
      <c r="M2028" s="5">
        <f>_xlfn.IFNA(Táblázat1[[#This Row],[Kész2020]],0)</f>
        <v>1</v>
      </c>
      <c r="N2028" s="5">
        <f>IF(Táblázat1[[#This Row],[Karb./akt.év]]-Táblázat1[[#This Row],[Kész2020_2]]&lt;0,0,Táblázat1[[#This Row],[Karb./akt.év]]-Táblázat1[[#This Row],[Kész2020_2]])</f>
        <v>1</v>
      </c>
    </row>
    <row r="2029" spans="1:14" hidden="1" x14ac:dyDescent="0.25">
      <c r="A2029" s="17" t="s">
        <v>8</v>
      </c>
      <c r="B2029" s="17" t="s">
        <v>7173</v>
      </c>
      <c r="C2029" s="17" t="s">
        <v>1741</v>
      </c>
      <c r="D2029" s="17" t="s">
        <v>7182</v>
      </c>
      <c r="E2029" s="17" t="s">
        <v>3814</v>
      </c>
      <c r="F2029" s="17" t="s">
        <v>3815</v>
      </c>
      <c r="G2029" s="17" t="s">
        <v>7187</v>
      </c>
      <c r="H2029" t="s">
        <v>7476</v>
      </c>
      <c r="I2029" s="1">
        <v>2</v>
      </c>
      <c r="J2029" s="1">
        <v>2</v>
      </c>
      <c r="K2029" t="s">
        <v>6638</v>
      </c>
      <c r="L2029" s="5">
        <f>VLOOKUP(D:D,[1]Munka2!$A:$B,2,FALSE)</f>
        <v>1</v>
      </c>
      <c r="M2029" s="5">
        <f>_xlfn.IFNA(Táblázat1[[#This Row],[Kész2020]],0)</f>
        <v>1</v>
      </c>
      <c r="N2029" s="5">
        <f>IF(Táblázat1[[#This Row],[Karb./akt.év]]-Táblázat1[[#This Row],[Kész2020_2]]&lt;0,0,Táblázat1[[#This Row],[Karb./akt.év]]-Táblázat1[[#This Row],[Kész2020_2]])</f>
        <v>1</v>
      </c>
    </row>
    <row r="2030" spans="1:14" hidden="1" x14ac:dyDescent="0.25">
      <c r="A2030" s="17" t="s">
        <v>8</v>
      </c>
      <c r="B2030" s="17" t="s">
        <v>7174</v>
      </c>
      <c r="C2030" s="17" t="s">
        <v>1741</v>
      </c>
      <c r="D2030" s="17" t="s">
        <v>7183</v>
      </c>
      <c r="E2030" s="17" t="s">
        <v>3915</v>
      </c>
      <c r="F2030" s="17" t="s">
        <v>3598</v>
      </c>
      <c r="G2030" s="17" t="s">
        <v>6623</v>
      </c>
      <c r="H2030" t="s">
        <v>7476</v>
      </c>
      <c r="I2030" s="1">
        <v>2</v>
      </c>
      <c r="J2030" s="1">
        <v>2</v>
      </c>
      <c r="K2030" t="s">
        <v>6641</v>
      </c>
      <c r="L2030" s="5">
        <f>VLOOKUP(D:D,[1]Munka2!$A:$B,2,FALSE)</f>
        <v>1</v>
      </c>
      <c r="M2030" s="5">
        <f>_xlfn.IFNA(Táblázat1[[#This Row],[Kész2020]],0)</f>
        <v>1</v>
      </c>
      <c r="N2030" s="5">
        <f>IF(Táblázat1[[#This Row],[Karb./akt.év]]-Táblázat1[[#This Row],[Kész2020_2]]&lt;0,0,Táblázat1[[#This Row],[Karb./akt.év]]-Táblázat1[[#This Row],[Kész2020_2]])</f>
        <v>1</v>
      </c>
    </row>
    <row r="2031" spans="1:14" hidden="1" x14ac:dyDescent="0.25">
      <c r="A2031" s="17" t="s">
        <v>8</v>
      </c>
      <c r="B2031" s="17" t="s">
        <v>7191</v>
      </c>
      <c r="C2031" s="17" t="s">
        <v>1741</v>
      </c>
      <c r="D2031" s="17" t="s">
        <v>7198</v>
      </c>
      <c r="E2031" s="17" t="s">
        <v>4930</v>
      </c>
      <c r="F2031" s="17" t="s">
        <v>4931</v>
      </c>
      <c r="G2031" s="17" t="s">
        <v>5299</v>
      </c>
      <c r="H2031" t="s">
        <v>7476</v>
      </c>
      <c r="I2031" s="1">
        <v>2</v>
      </c>
      <c r="J2031" s="1">
        <v>2</v>
      </c>
      <c r="K2031" t="s">
        <v>6634</v>
      </c>
      <c r="L2031" s="5">
        <f>VLOOKUP(D:D,[1]Munka2!$A:$B,2,FALSE)</f>
        <v>1</v>
      </c>
      <c r="M2031" s="5">
        <f>_xlfn.IFNA(Táblázat1[[#This Row],[Kész2020]],0)</f>
        <v>1</v>
      </c>
      <c r="N2031" s="5">
        <f>IF(Táblázat1[[#This Row],[Karb./akt.év]]-Táblázat1[[#This Row],[Kész2020_2]]&lt;0,0,Táblázat1[[#This Row],[Karb./akt.év]]-Táblázat1[[#This Row],[Kész2020_2]])</f>
        <v>1</v>
      </c>
    </row>
    <row r="2032" spans="1:14" hidden="1" x14ac:dyDescent="0.25">
      <c r="A2032" s="17" t="s">
        <v>8</v>
      </c>
      <c r="B2032" s="17" t="s">
        <v>7192</v>
      </c>
      <c r="C2032" s="17" t="s">
        <v>1741</v>
      </c>
      <c r="D2032" s="17" t="s">
        <v>7200</v>
      </c>
      <c r="E2032" s="17" t="s">
        <v>4183</v>
      </c>
      <c r="F2032" s="17" t="s">
        <v>4184</v>
      </c>
      <c r="G2032" s="17" t="s">
        <v>7206</v>
      </c>
      <c r="H2032" t="s">
        <v>7476</v>
      </c>
      <c r="I2032" s="1">
        <v>2</v>
      </c>
      <c r="J2032" s="1">
        <v>2</v>
      </c>
      <c r="K2032" t="s">
        <v>6642</v>
      </c>
      <c r="L2032" s="5">
        <f>VLOOKUP(D:D,[1]Munka2!$A:$B,2,FALSE)</f>
        <v>1</v>
      </c>
      <c r="M2032" s="5">
        <f>_xlfn.IFNA(Táblázat1[[#This Row],[Kész2020]],0)</f>
        <v>1</v>
      </c>
      <c r="N2032" s="5">
        <f>IF(Táblázat1[[#This Row],[Karb./akt.év]]-Táblázat1[[#This Row],[Kész2020_2]]&lt;0,0,Táblázat1[[#This Row],[Karb./akt.év]]-Táblázat1[[#This Row],[Kész2020_2]])</f>
        <v>1</v>
      </c>
    </row>
    <row r="2033" spans="1:14" x14ac:dyDescent="0.25">
      <c r="A2033" s="17" t="s">
        <v>8</v>
      </c>
      <c r="B2033" s="17" t="s">
        <v>7193</v>
      </c>
      <c r="C2033" s="17" t="s">
        <v>1741</v>
      </c>
      <c r="D2033" s="17" t="s">
        <v>7201</v>
      </c>
      <c r="E2033" s="17" t="s">
        <v>4269</v>
      </c>
      <c r="F2033" s="17" t="s">
        <v>4270</v>
      </c>
      <c r="G2033" s="17" t="s">
        <v>7207</v>
      </c>
      <c r="H2033" t="s">
        <v>7476</v>
      </c>
      <c r="I2033" s="1">
        <v>2</v>
      </c>
      <c r="J2033" s="1">
        <v>2</v>
      </c>
      <c r="K2033" t="s">
        <v>7014</v>
      </c>
      <c r="L2033" s="5" t="e">
        <f>VLOOKUP(D:D,[1]Munka2!$A:$B,2,FALSE)</f>
        <v>#N/A</v>
      </c>
      <c r="M2033" s="5">
        <f>_xlfn.IFNA(Táblázat1[[#This Row],[Kész2020]],0)</f>
        <v>0</v>
      </c>
      <c r="N2033" s="5">
        <f>IF(Táblázat1[[#This Row],[Karb./akt.év]]-Táblázat1[[#This Row],[Kész2020_2]]&lt;0,0,Táblázat1[[#This Row],[Karb./akt.év]]-Táblázat1[[#This Row],[Kész2020_2]])</f>
        <v>2</v>
      </c>
    </row>
    <row r="2034" spans="1:14" hidden="1" x14ac:dyDescent="0.25">
      <c r="A2034" s="17" t="s">
        <v>8</v>
      </c>
      <c r="B2034" s="17" t="s">
        <v>7227</v>
      </c>
      <c r="C2034" s="17" t="s">
        <v>1741</v>
      </c>
      <c r="D2034" s="17" t="s">
        <v>7244</v>
      </c>
      <c r="E2034" s="17" t="s">
        <v>7257</v>
      </c>
      <c r="F2034" s="17" t="s">
        <v>7258</v>
      </c>
      <c r="G2034" s="17" t="s">
        <v>7266</v>
      </c>
      <c r="H2034" t="s">
        <v>7476</v>
      </c>
      <c r="I2034" s="1">
        <v>2</v>
      </c>
      <c r="J2034" s="1">
        <v>2</v>
      </c>
      <c r="K2034" t="s">
        <v>6784</v>
      </c>
      <c r="L2034" s="5">
        <f>VLOOKUP(D:D,[1]Munka2!$A:$B,2,FALSE)</f>
        <v>1</v>
      </c>
      <c r="M2034" s="5">
        <f>_xlfn.IFNA(Táblázat1[[#This Row],[Kész2020]],0)</f>
        <v>1</v>
      </c>
      <c r="N2034" s="5">
        <f>IF(Táblázat1[[#This Row],[Karb./akt.év]]-Táblázat1[[#This Row],[Kész2020_2]]&lt;0,0,Táblázat1[[#This Row],[Karb./akt.év]]-Táblázat1[[#This Row],[Kész2020_2]])</f>
        <v>1</v>
      </c>
    </row>
    <row r="2035" spans="1:14" x14ac:dyDescent="0.25">
      <c r="A2035" s="17" t="s">
        <v>8</v>
      </c>
      <c r="B2035" s="17" t="s">
        <v>7228</v>
      </c>
      <c r="C2035" s="17" t="s">
        <v>1741</v>
      </c>
      <c r="D2035" s="17" t="s">
        <v>7245</v>
      </c>
      <c r="E2035" s="17" t="s">
        <v>4647</v>
      </c>
      <c r="F2035" s="17" t="s">
        <v>4648</v>
      </c>
      <c r="G2035" s="17" t="s">
        <v>7267</v>
      </c>
      <c r="H2035" t="s">
        <v>7476</v>
      </c>
      <c r="I2035" s="1">
        <v>2</v>
      </c>
      <c r="J2035" s="1">
        <v>2</v>
      </c>
      <c r="K2035" t="s">
        <v>6641</v>
      </c>
      <c r="L2035" s="5" t="e">
        <f>VLOOKUP(D:D,[1]Munka2!$A:$B,2,FALSE)</f>
        <v>#N/A</v>
      </c>
      <c r="M2035" s="5">
        <f>_xlfn.IFNA(Táblázat1[[#This Row],[Kész2020]],0)</f>
        <v>0</v>
      </c>
      <c r="N2035" s="5">
        <f>IF(Táblázat1[[#This Row],[Karb./akt.év]]-Táblázat1[[#This Row],[Kész2020_2]]&lt;0,0,Táblázat1[[#This Row],[Karb./akt.év]]-Táblázat1[[#This Row],[Kész2020_2]])</f>
        <v>2</v>
      </c>
    </row>
    <row r="2036" spans="1:14" hidden="1" x14ac:dyDescent="0.25">
      <c r="A2036" s="17" t="s">
        <v>8</v>
      </c>
      <c r="B2036" s="17" t="s">
        <v>7229</v>
      </c>
      <c r="C2036" s="17" t="s">
        <v>1741</v>
      </c>
      <c r="D2036" s="17" t="s">
        <v>7246</v>
      </c>
      <c r="E2036" s="17" t="s">
        <v>3792</v>
      </c>
      <c r="F2036" s="17" t="s">
        <v>3793</v>
      </c>
      <c r="G2036" s="17" t="s">
        <v>5301</v>
      </c>
      <c r="H2036" t="s">
        <v>7476</v>
      </c>
      <c r="I2036" s="1">
        <v>2</v>
      </c>
      <c r="J2036" s="1">
        <v>2</v>
      </c>
      <c r="K2036" t="s">
        <v>6639</v>
      </c>
      <c r="L2036" s="5">
        <f>VLOOKUP(D:D,[1]Munka2!$A:$B,2,FALSE)</f>
        <v>1</v>
      </c>
      <c r="M2036" s="5">
        <f>_xlfn.IFNA(Táblázat1[[#This Row],[Kész2020]],0)</f>
        <v>1</v>
      </c>
      <c r="N2036" s="5">
        <f>IF(Táblázat1[[#This Row],[Karb./akt.év]]-Táblázat1[[#This Row],[Kész2020_2]]&lt;0,0,Táblázat1[[#This Row],[Karb./akt.év]]-Táblázat1[[#This Row],[Kész2020_2]])</f>
        <v>1</v>
      </c>
    </row>
    <row r="2037" spans="1:14" hidden="1" x14ac:dyDescent="0.25">
      <c r="A2037" s="17" t="s">
        <v>8</v>
      </c>
      <c r="B2037" s="17" t="s">
        <v>7230</v>
      </c>
      <c r="C2037" s="17" t="s">
        <v>1741</v>
      </c>
      <c r="D2037" s="17" t="s">
        <v>7247</v>
      </c>
      <c r="E2037" s="17" t="s">
        <v>4743</v>
      </c>
      <c r="F2037" s="17" t="s">
        <v>4744</v>
      </c>
      <c r="G2037" s="17" t="s">
        <v>7268</v>
      </c>
      <c r="H2037" t="s">
        <v>7476</v>
      </c>
      <c r="I2037" s="1">
        <v>2</v>
      </c>
      <c r="J2037" s="1">
        <v>2</v>
      </c>
      <c r="K2037" t="s">
        <v>6640</v>
      </c>
      <c r="L2037" s="5">
        <f>VLOOKUP(D:D,[1]Munka2!$A:$B,2,FALSE)</f>
        <v>1</v>
      </c>
      <c r="M2037" s="5">
        <f>_xlfn.IFNA(Táblázat1[[#This Row],[Kész2020]],0)</f>
        <v>1</v>
      </c>
      <c r="N2037" s="5">
        <f>IF(Táblázat1[[#This Row],[Karb./akt.év]]-Táblázat1[[#This Row],[Kész2020_2]]&lt;0,0,Táblázat1[[#This Row],[Karb./akt.év]]-Táblázat1[[#This Row],[Kész2020_2]])</f>
        <v>1</v>
      </c>
    </row>
    <row r="2038" spans="1:14" hidden="1" x14ac:dyDescent="0.25">
      <c r="A2038" s="17" t="s">
        <v>8</v>
      </c>
      <c r="B2038" s="17" t="s">
        <v>7231</v>
      </c>
      <c r="C2038" s="17" t="s">
        <v>1741</v>
      </c>
      <c r="D2038" s="17" t="s">
        <v>7248</v>
      </c>
      <c r="E2038" s="17" t="s">
        <v>3905</v>
      </c>
      <c r="F2038" s="17" t="s">
        <v>3906</v>
      </c>
      <c r="G2038" s="17" t="s">
        <v>7269</v>
      </c>
      <c r="H2038" t="s">
        <v>7476</v>
      </c>
      <c r="I2038" s="1">
        <v>2</v>
      </c>
      <c r="J2038" s="1">
        <v>2</v>
      </c>
      <c r="K2038" t="s">
        <v>6634</v>
      </c>
      <c r="L2038" s="5">
        <f>VLOOKUP(D:D,[1]Munka2!$A:$B,2,FALSE)</f>
        <v>1</v>
      </c>
      <c r="M2038" s="5">
        <f>_xlfn.IFNA(Táblázat1[[#This Row],[Kész2020]],0)</f>
        <v>1</v>
      </c>
      <c r="N2038" s="5">
        <f>IF(Táblázat1[[#This Row],[Karb./akt.év]]-Táblázat1[[#This Row],[Kész2020_2]]&lt;0,0,Táblázat1[[#This Row],[Karb./akt.év]]-Táblázat1[[#This Row],[Kész2020_2]])</f>
        <v>1</v>
      </c>
    </row>
    <row r="2039" spans="1:14" hidden="1" x14ac:dyDescent="0.25">
      <c r="A2039" s="17" t="s">
        <v>8</v>
      </c>
      <c r="B2039" s="17" t="s">
        <v>7232</v>
      </c>
      <c r="C2039" s="17" t="s">
        <v>1741</v>
      </c>
      <c r="D2039" s="17" t="s">
        <v>7249</v>
      </c>
      <c r="E2039" s="17" t="s">
        <v>7259</v>
      </c>
      <c r="F2039" s="17" t="s">
        <v>3598</v>
      </c>
      <c r="G2039" s="17" t="s">
        <v>7270</v>
      </c>
      <c r="H2039" t="s">
        <v>7476</v>
      </c>
      <c r="I2039" s="1">
        <v>2</v>
      </c>
      <c r="J2039" s="1">
        <v>2</v>
      </c>
      <c r="K2039" t="s">
        <v>6641</v>
      </c>
      <c r="L2039" s="5">
        <f>VLOOKUP(D:D,[1]Munka2!$A:$B,2,FALSE)</f>
        <v>1</v>
      </c>
      <c r="M2039" s="5">
        <f>_xlfn.IFNA(Táblázat1[[#This Row],[Kész2020]],0)</f>
        <v>1</v>
      </c>
      <c r="N2039" s="5">
        <f>IF(Táblázat1[[#This Row],[Karb./akt.év]]-Táblázat1[[#This Row],[Kész2020_2]]&lt;0,0,Táblázat1[[#This Row],[Karb./akt.év]]-Táblázat1[[#This Row],[Kész2020_2]])</f>
        <v>1</v>
      </c>
    </row>
    <row r="2040" spans="1:14" hidden="1" x14ac:dyDescent="0.25">
      <c r="A2040" s="17" t="s">
        <v>8</v>
      </c>
      <c r="B2040" s="17" t="s">
        <v>7295</v>
      </c>
      <c r="C2040" s="17" t="s">
        <v>1741</v>
      </c>
      <c r="D2040" s="17" t="s">
        <v>7325</v>
      </c>
      <c r="E2040" s="17" t="s">
        <v>4380</v>
      </c>
      <c r="F2040" s="17" t="s">
        <v>4381</v>
      </c>
      <c r="G2040" s="17" t="s">
        <v>7352</v>
      </c>
      <c r="H2040" t="s">
        <v>7476</v>
      </c>
      <c r="I2040" s="1">
        <v>2</v>
      </c>
      <c r="J2040" s="1">
        <v>2</v>
      </c>
      <c r="K2040" t="s">
        <v>6637</v>
      </c>
      <c r="L2040" s="5">
        <f>VLOOKUP(D:D,[1]Munka2!$A:$B,2,FALSE)</f>
        <v>1</v>
      </c>
      <c r="M2040" s="5">
        <f>_xlfn.IFNA(Táblázat1[[#This Row],[Kész2020]],0)</f>
        <v>1</v>
      </c>
      <c r="N2040" s="5">
        <f>IF(Táblázat1[[#This Row],[Karb./akt.év]]-Táblázat1[[#This Row],[Kész2020_2]]&lt;0,0,Táblázat1[[#This Row],[Karb./akt.év]]-Táblázat1[[#This Row],[Kész2020_2]])</f>
        <v>1</v>
      </c>
    </row>
    <row r="2041" spans="1:14" hidden="1" x14ac:dyDescent="0.25">
      <c r="A2041" s="17" t="s">
        <v>8</v>
      </c>
      <c r="B2041" s="17" t="s">
        <v>7296</v>
      </c>
      <c r="C2041" s="17" t="s">
        <v>1741</v>
      </c>
      <c r="D2041" s="17" t="s">
        <v>7326</v>
      </c>
      <c r="E2041" s="17" t="s">
        <v>4392</v>
      </c>
      <c r="F2041" s="17" t="s">
        <v>3598</v>
      </c>
      <c r="G2041" s="17" t="s">
        <v>5731</v>
      </c>
      <c r="H2041" t="s">
        <v>7476</v>
      </c>
      <c r="I2041" s="1">
        <v>2</v>
      </c>
      <c r="J2041" s="1">
        <v>2</v>
      </c>
      <c r="K2041" t="s">
        <v>6785</v>
      </c>
      <c r="L2041" s="5">
        <f>VLOOKUP(D:D,[1]Munka2!$A:$B,2,FALSE)</f>
        <v>1</v>
      </c>
      <c r="M2041" s="5">
        <f>_xlfn.IFNA(Táblázat1[[#This Row],[Kész2020]],0)</f>
        <v>1</v>
      </c>
      <c r="N2041" s="5">
        <f>IF(Táblázat1[[#This Row],[Karb./akt.év]]-Táblázat1[[#This Row],[Kész2020_2]]&lt;0,0,Táblázat1[[#This Row],[Karb./akt.év]]-Táblázat1[[#This Row],[Kész2020_2]])</f>
        <v>1</v>
      </c>
    </row>
    <row r="2042" spans="1:14" hidden="1" x14ac:dyDescent="0.25">
      <c r="A2042" s="17" t="s">
        <v>8</v>
      </c>
      <c r="B2042" s="17" t="s">
        <v>7362</v>
      </c>
      <c r="C2042" s="17" t="s">
        <v>1741</v>
      </c>
      <c r="D2042" s="17" t="s">
        <v>7369</v>
      </c>
      <c r="E2042" s="17" t="s">
        <v>3939</v>
      </c>
      <c r="F2042" s="17" t="s">
        <v>3940</v>
      </c>
      <c r="G2042" s="17" t="s">
        <v>7376</v>
      </c>
      <c r="H2042" t="s">
        <v>7476</v>
      </c>
      <c r="I2042" s="1">
        <v>2</v>
      </c>
      <c r="J2042" s="1">
        <v>2</v>
      </c>
      <c r="K2042" t="s">
        <v>6633</v>
      </c>
      <c r="L2042" s="5">
        <f>VLOOKUP(D:D,[1]Munka2!$A:$B,2,FALSE)</f>
        <v>1</v>
      </c>
      <c r="M2042" s="5">
        <f>_xlfn.IFNA(Táblázat1[[#This Row],[Kész2020]],0)</f>
        <v>1</v>
      </c>
      <c r="N2042" s="5">
        <f>IF(Táblázat1[[#This Row],[Karb./akt.év]]-Táblázat1[[#This Row],[Kész2020_2]]&lt;0,0,Táblázat1[[#This Row],[Karb./akt.év]]-Táblázat1[[#This Row],[Kész2020_2]])</f>
        <v>1</v>
      </c>
    </row>
    <row r="2043" spans="1:14" hidden="1" x14ac:dyDescent="0.25">
      <c r="A2043" s="17" t="s">
        <v>8</v>
      </c>
      <c r="B2043" s="17" t="s">
        <v>7363</v>
      </c>
      <c r="C2043" s="17" t="s">
        <v>1741</v>
      </c>
      <c r="D2043" s="17" t="s">
        <v>7370</v>
      </c>
      <c r="E2043" s="17" t="s">
        <v>4809</v>
      </c>
      <c r="F2043" s="17" t="s">
        <v>3598</v>
      </c>
      <c r="G2043" s="17" t="s">
        <v>7377</v>
      </c>
      <c r="H2043" t="s">
        <v>7476</v>
      </c>
      <c r="I2043" s="1">
        <v>2</v>
      </c>
      <c r="J2043" s="1">
        <v>2</v>
      </c>
      <c r="K2043" t="s">
        <v>6633</v>
      </c>
      <c r="L2043" s="5">
        <f>VLOOKUP(D:D,[1]Munka2!$A:$B,2,FALSE)</f>
        <v>1</v>
      </c>
      <c r="M2043" s="5">
        <f>_xlfn.IFNA(Táblázat1[[#This Row],[Kész2020]],0)</f>
        <v>1</v>
      </c>
      <c r="N2043" s="5">
        <f>IF(Táblázat1[[#This Row],[Karb./akt.év]]-Táblázat1[[#This Row],[Kész2020_2]]&lt;0,0,Táblázat1[[#This Row],[Karb./akt.év]]-Táblázat1[[#This Row],[Kész2020_2]])</f>
        <v>1</v>
      </c>
    </row>
    <row r="2044" spans="1:14" hidden="1" x14ac:dyDescent="0.25">
      <c r="A2044" s="17" t="s">
        <v>8</v>
      </c>
      <c r="B2044" s="17" t="s">
        <v>7457</v>
      </c>
      <c r="C2044" s="17" t="s">
        <v>1741</v>
      </c>
      <c r="D2044" s="17" t="s">
        <v>7466</v>
      </c>
      <c r="E2044" s="17" t="s">
        <v>7471</v>
      </c>
      <c r="F2044" s="17" t="s">
        <v>3598</v>
      </c>
      <c r="G2044" s="17" t="s">
        <v>5042</v>
      </c>
      <c r="H2044" t="s">
        <v>7476</v>
      </c>
      <c r="I2044" s="1">
        <v>2</v>
      </c>
      <c r="J2044" s="1">
        <v>2</v>
      </c>
      <c r="K2044" t="s">
        <v>7017</v>
      </c>
      <c r="L2044" s="5">
        <f>VLOOKUP(D:D,[1]Munka2!$A:$B,2,FALSE)</f>
        <v>1</v>
      </c>
      <c r="M2044" s="5">
        <f>_xlfn.IFNA(Táblázat1[[#This Row],[Kész2020]],0)</f>
        <v>1</v>
      </c>
      <c r="N2044" s="5">
        <f>IF(Táblázat1[[#This Row],[Karb./akt.év]]-Táblázat1[[#This Row],[Kész2020_2]]&lt;0,0,Táblázat1[[#This Row],[Karb./akt.év]]-Táblázat1[[#This Row],[Kész2020_2]])</f>
        <v>1</v>
      </c>
    </row>
    <row r="2045" spans="1:14" hidden="1" x14ac:dyDescent="0.25">
      <c r="A2045" s="17" t="s">
        <v>8</v>
      </c>
      <c r="B2045" s="17" t="s">
        <v>7458</v>
      </c>
      <c r="C2045" s="17" t="s">
        <v>1741</v>
      </c>
      <c r="D2045" s="17" t="s">
        <v>7467</v>
      </c>
      <c r="E2045" s="17" t="s">
        <v>3893</v>
      </c>
      <c r="F2045" s="17" t="s">
        <v>3664</v>
      </c>
      <c r="G2045" s="17" t="s">
        <v>6487</v>
      </c>
      <c r="H2045" t="s">
        <v>7476</v>
      </c>
      <c r="I2045" s="1">
        <v>2</v>
      </c>
      <c r="J2045" s="1">
        <v>2</v>
      </c>
      <c r="K2045" t="s">
        <v>6638</v>
      </c>
      <c r="L2045" s="5">
        <f>VLOOKUP(D:D,[1]Munka2!$A:$B,2,FALSE)</f>
        <v>1</v>
      </c>
      <c r="M2045" s="5">
        <f>_xlfn.IFNA(Táblázat1[[#This Row],[Kész2020]],0)</f>
        <v>1</v>
      </c>
      <c r="N2045" s="5">
        <f>IF(Táblázat1[[#This Row],[Karb./akt.év]]-Táblázat1[[#This Row],[Kész2020_2]]&lt;0,0,Táblázat1[[#This Row],[Karb./akt.év]]-Táblázat1[[#This Row],[Kész2020_2]])</f>
        <v>1</v>
      </c>
    </row>
    <row r="2046" spans="1:14" hidden="1" x14ac:dyDescent="0.25">
      <c r="A2046" s="17" t="s">
        <v>8</v>
      </c>
      <c r="B2046" s="17" t="s">
        <v>7459</v>
      </c>
      <c r="C2046" s="17" t="s">
        <v>1741</v>
      </c>
      <c r="D2046" s="17" t="s">
        <v>7468</v>
      </c>
      <c r="E2046" s="17" t="s">
        <v>3817</v>
      </c>
      <c r="F2046" s="17" t="s">
        <v>3598</v>
      </c>
      <c r="G2046" s="17" t="s">
        <v>7475</v>
      </c>
      <c r="H2046" t="s">
        <v>7476</v>
      </c>
      <c r="I2046" s="1">
        <v>2</v>
      </c>
      <c r="J2046" s="1">
        <v>2</v>
      </c>
      <c r="K2046" t="s">
        <v>6633</v>
      </c>
      <c r="L2046" s="5">
        <f>VLOOKUP(D:D,[1]Munka2!$A:$B,2,FALSE)</f>
        <v>1</v>
      </c>
      <c r="M2046" s="5">
        <f>_xlfn.IFNA(Táblázat1[[#This Row],[Kész2020]],0)</f>
        <v>1</v>
      </c>
      <c r="N2046" s="5">
        <f>IF(Táblázat1[[#This Row],[Karb./akt.év]]-Táblázat1[[#This Row],[Kész2020_2]]&lt;0,0,Táblázat1[[#This Row],[Karb./akt.év]]-Táblázat1[[#This Row],[Kész2020_2]])</f>
        <v>1</v>
      </c>
    </row>
    <row r="2047" spans="1:14" hidden="1" x14ac:dyDescent="0.25">
      <c r="A2047" s="17" t="s">
        <v>8</v>
      </c>
      <c r="B2047" s="17" t="s">
        <v>7596</v>
      </c>
      <c r="C2047" s="17" t="s">
        <v>1741</v>
      </c>
      <c r="D2047" s="17" t="s">
        <v>7610</v>
      </c>
      <c r="E2047" s="17" t="s">
        <v>7615</v>
      </c>
      <c r="F2047" s="17" t="s">
        <v>7616</v>
      </c>
      <c r="G2047" s="17" t="s">
        <v>7672</v>
      </c>
      <c r="H2047" t="s">
        <v>7476</v>
      </c>
      <c r="I2047" s="1">
        <v>2</v>
      </c>
      <c r="J2047" s="1">
        <v>2</v>
      </c>
      <c r="K2047" t="s">
        <v>8102</v>
      </c>
      <c r="L2047" s="5">
        <f>VLOOKUP(D:D,[1]Munka2!$A:$B,2,FALSE)</f>
        <v>1</v>
      </c>
      <c r="M2047" s="5">
        <f>_xlfn.IFNA(Táblázat1[[#This Row],[Kész2020]],0)</f>
        <v>1</v>
      </c>
      <c r="N2047" s="5">
        <f>IF(Táblázat1[[#This Row],[Karb./akt.év]]-Táblázat1[[#This Row],[Kész2020_2]]&lt;0,0,Táblázat1[[#This Row],[Karb./akt.év]]-Táblázat1[[#This Row],[Kész2020_2]])</f>
        <v>1</v>
      </c>
    </row>
    <row r="2048" spans="1:14" hidden="1" x14ac:dyDescent="0.25">
      <c r="A2048" s="17" t="s">
        <v>8</v>
      </c>
      <c r="B2048" s="17" t="s">
        <v>7597</v>
      </c>
      <c r="C2048" s="17" t="s">
        <v>1741</v>
      </c>
      <c r="D2048" s="17" t="s">
        <v>7611</v>
      </c>
      <c r="E2048" s="17" t="s">
        <v>3930</v>
      </c>
      <c r="F2048" s="17" t="s">
        <v>3931</v>
      </c>
      <c r="G2048" s="17" t="s">
        <v>7673</v>
      </c>
      <c r="H2048" t="s">
        <v>7476</v>
      </c>
      <c r="I2048" s="1">
        <v>2</v>
      </c>
      <c r="J2048" s="1">
        <v>2</v>
      </c>
      <c r="K2048" t="s">
        <v>7354</v>
      </c>
      <c r="L2048" s="5">
        <f>VLOOKUP(D:D,[1]Munka2!$A:$B,2,FALSE)</f>
        <v>1</v>
      </c>
      <c r="M2048" s="5">
        <f>_xlfn.IFNA(Táblázat1[[#This Row],[Kész2020]],0)</f>
        <v>1</v>
      </c>
      <c r="N2048" s="5">
        <f>IF(Táblázat1[[#This Row],[Karb./akt.év]]-Táblázat1[[#This Row],[Kész2020_2]]&lt;0,0,Táblázat1[[#This Row],[Karb./akt.év]]-Táblázat1[[#This Row],[Kész2020_2]])</f>
        <v>1</v>
      </c>
    </row>
    <row r="2049" spans="1:14" hidden="1" x14ac:dyDescent="0.25">
      <c r="A2049" s="17" t="s">
        <v>8</v>
      </c>
      <c r="B2049" s="17" t="s">
        <v>7598</v>
      </c>
      <c r="C2049" s="17" t="s">
        <v>1741</v>
      </c>
      <c r="D2049" s="17" t="s">
        <v>7612</v>
      </c>
      <c r="E2049" s="17" t="s">
        <v>4696</v>
      </c>
      <c r="F2049" s="17" t="s">
        <v>4697</v>
      </c>
      <c r="G2049" s="17" t="s">
        <v>7674</v>
      </c>
      <c r="H2049" t="s">
        <v>7476</v>
      </c>
      <c r="I2049" s="1">
        <v>2</v>
      </c>
      <c r="J2049" s="1">
        <v>2</v>
      </c>
      <c r="K2049" t="s">
        <v>8103</v>
      </c>
      <c r="L2049" s="5">
        <f>VLOOKUP(D:D,[1]Munka2!$A:$B,2,FALSE)</f>
        <v>1</v>
      </c>
      <c r="M2049" s="5">
        <f>_xlfn.IFNA(Táblázat1[[#This Row],[Kész2020]],0)</f>
        <v>1</v>
      </c>
      <c r="N2049" s="5">
        <f>IF(Táblázat1[[#This Row],[Karb./akt.év]]-Táblázat1[[#This Row],[Kész2020_2]]&lt;0,0,Táblázat1[[#This Row],[Karb./akt.év]]-Táblázat1[[#This Row],[Kész2020_2]])</f>
        <v>1</v>
      </c>
    </row>
    <row r="2050" spans="1:14" x14ac:dyDescent="0.25">
      <c r="A2050" s="17" t="s">
        <v>8</v>
      </c>
      <c r="B2050" s="17" t="s">
        <v>7780</v>
      </c>
      <c r="C2050" s="17" t="s">
        <v>1741</v>
      </c>
      <c r="D2050" s="17" t="s">
        <v>7199</v>
      </c>
      <c r="E2050" s="17" t="s">
        <v>3978</v>
      </c>
      <c r="F2050" s="17" t="s">
        <v>3979</v>
      </c>
      <c r="G2050" s="17" t="s">
        <v>8096</v>
      </c>
      <c r="H2050" t="s">
        <v>7476</v>
      </c>
      <c r="I2050" s="1">
        <v>2</v>
      </c>
      <c r="J2050" s="1">
        <v>2</v>
      </c>
      <c r="K2050" t="s">
        <v>6641</v>
      </c>
      <c r="L2050" s="5" t="e">
        <f>VLOOKUP(D:D,[1]Munka2!$A:$B,2,FALSE)</f>
        <v>#N/A</v>
      </c>
      <c r="M2050" s="5">
        <f>_xlfn.IFNA(Táblázat1[[#This Row],[Kész2020]],0)</f>
        <v>0</v>
      </c>
      <c r="N2050" s="5">
        <f>IF(Táblázat1[[#This Row],[Karb./akt.év]]-Táblázat1[[#This Row],[Kész2020_2]]&lt;0,0,Táblázat1[[#This Row],[Karb./akt.év]]-Táblázat1[[#This Row],[Kész2020_2]])</f>
        <v>2</v>
      </c>
    </row>
    <row r="2051" spans="1:14" hidden="1" x14ac:dyDescent="0.25">
      <c r="A2051" s="17" t="s">
        <v>8</v>
      </c>
      <c r="B2051" s="17" t="s">
        <v>7781</v>
      </c>
      <c r="C2051" s="17" t="s">
        <v>1741</v>
      </c>
      <c r="D2051" s="17" t="s">
        <v>7882</v>
      </c>
      <c r="E2051" s="17" t="s">
        <v>3597</v>
      </c>
      <c r="F2051" s="17" t="s">
        <v>3598</v>
      </c>
      <c r="G2051" s="17" t="s">
        <v>8097</v>
      </c>
      <c r="H2051" t="s">
        <v>7476</v>
      </c>
      <c r="I2051" s="1">
        <v>2</v>
      </c>
      <c r="J2051" s="1">
        <v>2</v>
      </c>
      <c r="K2051" t="s">
        <v>6633</v>
      </c>
      <c r="L2051" s="5">
        <f>VLOOKUP(D:D,[1]Munka2!$A:$B,2,FALSE)</f>
        <v>1</v>
      </c>
      <c r="M2051" s="5">
        <f>_xlfn.IFNA(Táblázat1[[#This Row],[Kész2020]],0)</f>
        <v>1</v>
      </c>
      <c r="N2051" s="5">
        <f>IF(Táblázat1[[#This Row],[Karb./akt.év]]-Táblázat1[[#This Row],[Kész2020_2]]&lt;0,0,Táblázat1[[#This Row],[Karb./akt.év]]-Táblázat1[[#This Row],[Kész2020_2]])</f>
        <v>1</v>
      </c>
    </row>
    <row r="2052" spans="1:14" hidden="1" x14ac:dyDescent="0.25">
      <c r="A2052" s="17" t="s">
        <v>8</v>
      </c>
      <c r="B2052" s="17" t="s">
        <v>7782</v>
      </c>
      <c r="C2052" s="17" t="s">
        <v>1741</v>
      </c>
      <c r="D2052" s="17" t="s">
        <v>7883</v>
      </c>
      <c r="E2052" s="17" t="s">
        <v>4869</v>
      </c>
      <c r="F2052" s="17" t="s">
        <v>4870</v>
      </c>
      <c r="G2052" s="17" t="s">
        <v>6392</v>
      </c>
      <c r="H2052" t="s">
        <v>7476</v>
      </c>
      <c r="I2052" s="1">
        <v>2</v>
      </c>
      <c r="J2052" s="1">
        <v>2</v>
      </c>
      <c r="K2052" t="s">
        <v>6637</v>
      </c>
      <c r="L2052" s="5">
        <f>VLOOKUP(D:D,[1]Munka2!$A:$B,2,FALSE)</f>
        <v>1</v>
      </c>
      <c r="M2052" s="5">
        <f>_xlfn.IFNA(Táblázat1[[#This Row],[Kész2020]],0)</f>
        <v>1</v>
      </c>
      <c r="N2052" s="5">
        <f>IF(Táblázat1[[#This Row],[Karb./akt.év]]-Táblázat1[[#This Row],[Kész2020_2]]&lt;0,0,Táblázat1[[#This Row],[Karb./akt.év]]-Táblázat1[[#This Row],[Kész2020_2]])</f>
        <v>1</v>
      </c>
    </row>
    <row r="2053" spans="1:14" hidden="1" x14ac:dyDescent="0.25">
      <c r="A2053" s="17" t="s">
        <v>8</v>
      </c>
      <c r="B2053" s="17" t="s">
        <v>7783</v>
      </c>
      <c r="C2053" s="17" t="s">
        <v>1741</v>
      </c>
      <c r="D2053" s="17" t="s">
        <v>7884</v>
      </c>
      <c r="E2053" s="17" t="s">
        <v>4454</v>
      </c>
      <c r="F2053" s="17" t="s">
        <v>4455</v>
      </c>
      <c r="G2053" s="17" t="s">
        <v>8098</v>
      </c>
      <c r="H2053" t="s">
        <v>7476</v>
      </c>
      <c r="I2053" s="1">
        <v>2</v>
      </c>
      <c r="J2053" s="1">
        <v>2</v>
      </c>
      <c r="K2053" t="s">
        <v>6634</v>
      </c>
      <c r="L2053" s="5">
        <f>VLOOKUP(D:D,[1]Munka2!$A:$B,2,FALSE)</f>
        <v>1</v>
      </c>
      <c r="M2053" s="5">
        <f>_xlfn.IFNA(Táblázat1[[#This Row],[Kész2020]],0)</f>
        <v>1</v>
      </c>
      <c r="N2053" s="5">
        <f>IF(Táblázat1[[#This Row],[Karb./akt.év]]-Táblázat1[[#This Row],[Kész2020_2]]&lt;0,0,Táblázat1[[#This Row],[Karb./akt.év]]-Táblázat1[[#This Row],[Kész2020_2]])</f>
        <v>1</v>
      </c>
    </row>
    <row r="2054" spans="1:14" hidden="1" x14ac:dyDescent="0.25">
      <c r="A2054" s="17" t="s">
        <v>8</v>
      </c>
      <c r="B2054" s="17" t="s">
        <v>7784</v>
      </c>
      <c r="C2054" s="17" t="s">
        <v>1741</v>
      </c>
      <c r="D2054" s="17" t="s">
        <v>7885</v>
      </c>
      <c r="E2054" s="17" t="s">
        <v>4049</v>
      </c>
      <c r="F2054" s="17" t="s">
        <v>3718</v>
      </c>
      <c r="G2054" s="17" t="s">
        <v>6213</v>
      </c>
      <c r="H2054" t="s">
        <v>7476</v>
      </c>
      <c r="I2054" s="1">
        <v>2</v>
      </c>
      <c r="J2054" s="1">
        <v>2</v>
      </c>
      <c r="K2054" t="s">
        <v>8102</v>
      </c>
      <c r="L2054" s="5">
        <f>VLOOKUP(D:D,[1]Munka2!$A:$B,2,FALSE)</f>
        <v>1</v>
      </c>
      <c r="M2054" s="5">
        <f>_xlfn.IFNA(Táblázat1[[#This Row],[Kész2020]],0)</f>
        <v>1</v>
      </c>
      <c r="N2054" s="5">
        <f>IF(Táblázat1[[#This Row],[Karb./akt.év]]-Táblázat1[[#This Row],[Kész2020_2]]&lt;0,0,Táblázat1[[#This Row],[Karb./akt.év]]-Táblázat1[[#This Row],[Kész2020_2]])</f>
        <v>1</v>
      </c>
    </row>
    <row r="2055" spans="1:14" hidden="1" x14ac:dyDescent="0.25">
      <c r="A2055" s="17" t="s">
        <v>8</v>
      </c>
      <c r="B2055" s="17" t="s">
        <v>8115</v>
      </c>
      <c r="C2055" s="17" t="s">
        <v>1741</v>
      </c>
      <c r="D2055" s="17" t="s">
        <v>3306</v>
      </c>
      <c r="E2055" s="17" t="s">
        <v>4248</v>
      </c>
      <c r="F2055" s="17" t="s">
        <v>4249</v>
      </c>
      <c r="G2055" s="17" t="s">
        <v>6779</v>
      </c>
      <c r="H2055" t="s">
        <v>7476</v>
      </c>
      <c r="I2055" s="1">
        <v>2</v>
      </c>
      <c r="J2055" s="1">
        <v>1</v>
      </c>
      <c r="K2055" t="s">
        <v>6640</v>
      </c>
      <c r="L2055" s="5" t="e">
        <f>VLOOKUP(D:D,[1]Munka2!$A:$B,2,FALSE)</f>
        <v>#N/A</v>
      </c>
      <c r="M2055" s="5">
        <f>_xlfn.IFNA(Táblázat1[[#This Row],[Kész2020]],0)</f>
        <v>0</v>
      </c>
      <c r="N2055" s="5">
        <f>IF(Táblázat1[[#This Row],[Karb./akt.év]]-Táblázat1[[#This Row],[Kész2020_2]]&lt;0,0,Táblázat1[[#This Row],[Karb./akt.év]]-Táblázat1[[#This Row],[Kész2020_2]])</f>
        <v>1</v>
      </c>
    </row>
    <row r="2056" spans="1:14" hidden="1" x14ac:dyDescent="0.25">
      <c r="A2056" s="17" t="s">
        <v>8</v>
      </c>
      <c r="B2056" s="17" t="s">
        <v>8116</v>
      </c>
      <c r="C2056" s="17" t="s">
        <v>1741</v>
      </c>
      <c r="D2056" s="17" t="s">
        <v>8134</v>
      </c>
      <c r="E2056" s="17" t="s">
        <v>8142</v>
      </c>
      <c r="F2056" s="17" t="s">
        <v>3718</v>
      </c>
      <c r="G2056" s="17" t="s">
        <v>8153</v>
      </c>
      <c r="H2056" t="s">
        <v>7476</v>
      </c>
      <c r="I2056" s="1">
        <v>2</v>
      </c>
      <c r="J2056" s="1">
        <v>1</v>
      </c>
      <c r="K2056" t="s">
        <v>8102</v>
      </c>
      <c r="L2056" s="5" t="e">
        <f>VLOOKUP(D:D,[1]Munka2!$A:$B,2,FALSE)</f>
        <v>#N/A</v>
      </c>
      <c r="M2056" s="5">
        <f>_xlfn.IFNA(Táblázat1[[#This Row],[Kész2020]],0)</f>
        <v>0</v>
      </c>
      <c r="N2056" s="5">
        <f>IF(Táblázat1[[#This Row],[Karb./akt.év]]-Táblázat1[[#This Row],[Kész2020_2]]&lt;0,0,Táblázat1[[#This Row],[Karb./akt.év]]-Táblázat1[[#This Row],[Kész2020_2]])</f>
        <v>1</v>
      </c>
    </row>
    <row r="2057" spans="1:14" hidden="1" x14ac:dyDescent="0.25">
      <c r="A2057" s="17" t="s">
        <v>8</v>
      </c>
      <c r="B2057" s="17" t="s">
        <v>8117</v>
      </c>
      <c r="C2057" s="17" t="s">
        <v>1741</v>
      </c>
      <c r="D2057" s="17" t="s">
        <v>8135</v>
      </c>
      <c r="E2057" s="17" t="s">
        <v>8143</v>
      </c>
      <c r="F2057" s="17" t="s">
        <v>8144</v>
      </c>
      <c r="G2057" s="17" t="s">
        <v>8154</v>
      </c>
      <c r="H2057" t="s">
        <v>7476</v>
      </c>
      <c r="I2057" s="1">
        <v>2</v>
      </c>
      <c r="J2057" s="1">
        <v>1</v>
      </c>
      <c r="K2057" t="s">
        <v>6784</v>
      </c>
      <c r="L2057" s="5" t="e">
        <f>VLOOKUP(D:D,[1]Munka2!$A:$B,2,FALSE)</f>
        <v>#N/A</v>
      </c>
      <c r="M2057" s="5">
        <f>_xlfn.IFNA(Táblázat1[[#This Row],[Kész2020]],0)</f>
        <v>0</v>
      </c>
      <c r="N2057" s="5">
        <f>IF(Táblázat1[[#This Row],[Karb./akt.év]]-Táblázat1[[#This Row],[Kész2020_2]]&lt;0,0,Táblázat1[[#This Row],[Karb./akt.év]]-Táblázat1[[#This Row],[Kész2020_2]])</f>
        <v>1</v>
      </c>
    </row>
    <row r="2058" spans="1:14" hidden="1" x14ac:dyDescent="0.25">
      <c r="A2058" s="17" t="s">
        <v>8</v>
      </c>
      <c r="B2058" s="17" t="s">
        <v>8118</v>
      </c>
      <c r="C2058" s="17" t="s">
        <v>1741</v>
      </c>
      <c r="D2058" s="17" t="s">
        <v>8136</v>
      </c>
      <c r="E2058" s="17" t="s">
        <v>3693</v>
      </c>
      <c r="F2058" s="17" t="s">
        <v>3694</v>
      </c>
      <c r="G2058" s="17" t="s">
        <v>8155</v>
      </c>
      <c r="H2058" t="s">
        <v>7476</v>
      </c>
      <c r="I2058" s="1">
        <v>2</v>
      </c>
      <c r="J2058" s="1">
        <v>1</v>
      </c>
      <c r="K2058" t="s">
        <v>6641</v>
      </c>
      <c r="L2058" s="5" t="e">
        <f>VLOOKUP(D:D,[1]Munka2!$A:$B,2,FALSE)</f>
        <v>#N/A</v>
      </c>
      <c r="M2058" s="5">
        <f>_xlfn.IFNA(Táblázat1[[#This Row],[Kész2020]],0)</f>
        <v>0</v>
      </c>
      <c r="N2058" s="5">
        <f>IF(Táblázat1[[#This Row],[Karb./akt.év]]-Táblázat1[[#This Row],[Kész2020_2]]&lt;0,0,Táblázat1[[#This Row],[Karb./akt.év]]-Táblázat1[[#This Row],[Kész2020_2]])</f>
        <v>1</v>
      </c>
    </row>
    <row r="2059" spans="1:14" hidden="1" x14ac:dyDescent="0.25">
      <c r="A2059" s="17" t="s">
        <v>8</v>
      </c>
      <c r="B2059" s="17" t="s">
        <v>8119</v>
      </c>
      <c r="C2059" s="17" t="s">
        <v>1741</v>
      </c>
      <c r="D2059" s="17" t="s">
        <v>8137</v>
      </c>
      <c r="E2059" s="17" t="s">
        <v>3804</v>
      </c>
      <c r="F2059" s="17" t="s">
        <v>3805</v>
      </c>
      <c r="G2059" s="17" t="s">
        <v>8156</v>
      </c>
      <c r="H2059" t="s">
        <v>7476</v>
      </c>
      <c r="I2059" s="1">
        <v>2</v>
      </c>
      <c r="J2059" s="1">
        <v>1</v>
      </c>
      <c r="K2059" t="s">
        <v>6635</v>
      </c>
      <c r="L2059" s="5" t="e">
        <f>VLOOKUP(D:D,[1]Munka2!$A:$B,2,FALSE)</f>
        <v>#N/A</v>
      </c>
      <c r="M2059" s="5">
        <f>_xlfn.IFNA(Táblázat1[[#This Row],[Kész2020]],0)</f>
        <v>0</v>
      </c>
      <c r="N2059" s="5">
        <f>IF(Táblázat1[[#This Row],[Karb./akt.év]]-Táblázat1[[#This Row],[Kész2020_2]]&lt;0,0,Táblázat1[[#This Row],[Karb./akt.év]]-Táblázat1[[#This Row],[Kész2020_2]])</f>
        <v>1</v>
      </c>
    </row>
    <row r="2060" spans="1:14" hidden="1" x14ac:dyDescent="0.25">
      <c r="A2060" s="17" t="s">
        <v>8</v>
      </c>
      <c r="B2060" s="17" t="s">
        <v>8120</v>
      </c>
      <c r="C2060" s="17" t="s">
        <v>1741</v>
      </c>
      <c r="D2060" s="17" t="s">
        <v>8138</v>
      </c>
      <c r="E2060" s="17" t="s">
        <v>8145</v>
      </c>
      <c r="F2060" s="17" t="s">
        <v>8146</v>
      </c>
      <c r="G2060" s="17" t="s">
        <v>5473</v>
      </c>
      <c r="H2060" t="s">
        <v>7476</v>
      </c>
      <c r="I2060" s="1">
        <v>2</v>
      </c>
      <c r="J2060" s="1">
        <v>1</v>
      </c>
      <c r="K2060" t="s">
        <v>8103</v>
      </c>
      <c r="L2060" s="5" t="e">
        <f>VLOOKUP(D:D,[1]Munka2!$A:$B,2,FALSE)</f>
        <v>#N/A</v>
      </c>
      <c r="M2060" s="5">
        <f>_xlfn.IFNA(Táblázat1[[#This Row],[Kész2020]],0)</f>
        <v>0</v>
      </c>
      <c r="N2060" s="5">
        <f>IF(Táblázat1[[#This Row],[Karb./akt.év]]-Táblázat1[[#This Row],[Kész2020_2]]&lt;0,0,Táblázat1[[#This Row],[Karb./akt.év]]-Táblázat1[[#This Row],[Kész2020_2]])</f>
        <v>1</v>
      </c>
    </row>
    <row r="2061" spans="1:14" hidden="1" x14ac:dyDescent="0.25">
      <c r="A2061" s="17" t="s">
        <v>8</v>
      </c>
      <c r="B2061" s="17" t="s">
        <v>8121</v>
      </c>
      <c r="C2061" s="17" t="s">
        <v>1741</v>
      </c>
      <c r="D2061" s="17" t="s">
        <v>8139</v>
      </c>
      <c r="E2061" s="17" t="s">
        <v>3640</v>
      </c>
      <c r="F2061" s="17" t="s">
        <v>3598</v>
      </c>
      <c r="G2061" s="17" t="s">
        <v>8157</v>
      </c>
      <c r="H2061" t="s">
        <v>7476</v>
      </c>
      <c r="I2061" s="1">
        <v>2</v>
      </c>
      <c r="J2061" s="1">
        <v>1</v>
      </c>
      <c r="K2061" t="s">
        <v>6633</v>
      </c>
      <c r="L2061" s="5" t="e">
        <f>VLOOKUP(D:D,[1]Munka2!$A:$B,2,FALSE)</f>
        <v>#N/A</v>
      </c>
      <c r="M2061" s="5">
        <f>_xlfn.IFNA(Táblázat1[[#This Row],[Kész2020]],0)</f>
        <v>0</v>
      </c>
      <c r="N2061" s="5">
        <f>IF(Táblázat1[[#This Row],[Karb./akt.év]]-Táblázat1[[#This Row],[Kész2020_2]]&lt;0,0,Táblázat1[[#This Row],[Karb./akt.év]]-Táblázat1[[#This Row],[Kész2020_2]])</f>
        <v>1</v>
      </c>
    </row>
    <row r="2062" spans="1:14" hidden="1" x14ac:dyDescent="0.25">
      <c r="A2062" s="17" t="s">
        <v>8</v>
      </c>
      <c r="B2062" s="17" t="s">
        <v>8159</v>
      </c>
      <c r="C2062" s="17" t="s">
        <v>1741</v>
      </c>
      <c r="D2062" s="17" t="s">
        <v>8162</v>
      </c>
      <c r="E2062" s="17" t="s">
        <v>3775</v>
      </c>
      <c r="F2062" s="17" t="s">
        <v>3776</v>
      </c>
      <c r="G2062" s="17" t="s">
        <v>5015</v>
      </c>
      <c r="H2062" t="s">
        <v>7476</v>
      </c>
      <c r="I2062" s="1">
        <v>2</v>
      </c>
      <c r="J2062" s="1">
        <v>1</v>
      </c>
      <c r="K2062" t="s">
        <v>6634</v>
      </c>
      <c r="L2062" s="5" t="e">
        <f>VLOOKUP(D:D,[1]Munka2!$A:$B,2,FALSE)</f>
        <v>#N/A</v>
      </c>
      <c r="M2062" s="5">
        <f>_xlfn.IFNA(Táblázat1[[#This Row],[Kész2020]],0)</f>
        <v>0</v>
      </c>
      <c r="N2062" s="5">
        <f>IF(Táblázat1[[#This Row],[Karb./akt.év]]-Táblázat1[[#This Row],[Kész2020_2]]&lt;0,0,Táblázat1[[#This Row],[Karb./akt.év]]-Táblázat1[[#This Row],[Kész2020_2]])</f>
        <v>1</v>
      </c>
    </row>
    <row r="2063" spans="1:14" hidden="1" x14ac:dyDescent="0.25">
      <c r="A2063" s="17" t="s">
        <v>24</v>
      </c>
      <c r="B2063" s="17" t="s">
        <v>725</v>
      </c>
      <c r="C2063" s="17" t="s">
        <v>1737</v>
      </c>
      <c r="D2063" s="17" t="s">
        <v>2502</v>
      </c>
      <c r="E2063" s="17" t="s">
        <v>3782</v>
      </c>
      <c r="F2063" s="17" t="s">
        <v>3783</v>
      </c>
      <c r="G2063" s="17" t="s">
        <v>5676</v>
      </c>
      <c r="H2063" t="s">
        <v>7476</v>
      </c>
      <c r="I2063" s="1">
        <v>2</v>
      </c>
      <c r="J2063" s="1">
        <v>2</v>
      </c>
      <c r="K2063" t="s">
        <v>8103</v>
      </c>
      <c r="L2063" s="5">
        <f>VLOOKUP(D:D,[1]Munka2!$A:$B,2,FALSE)</f>
        <v>1</v>
      </c>
      <c r="M2063" s="5">
        <f>_xlfn.IFNA(Táblázat1[[#This Row],[Kész2020]],0)</f>
        <v>1</v>
      </c>
      <c r="N2063" s="5">
        <f>IF(Táblázat1[[#This Row],[Karb./akt.év]]-Táblázat1[[#This Row],[Kész2020_2]]&lt;0,0,Táblázat1[[#This Row],[Karb./akt.év]]-Táblázat1[[#This Row],[Kész2020_2]])</f>
        <v>1</v>
      </c>
    </row>
    <row r="2064" spans="1:14" hidden="1" x14ac:dyDescent="0.25">
      <c r="A2064" s="17" t="s">
        <v>24</v>
      </c>
      <c r="B2064" s="17" t="s">
        <v>206</v>
      </c>
      <c r="C2064" s="17" t="s">
        <v>1735</v>
      </c>
      <c r="D2064" s="17" t="s">
        <v>1947</v>
      </c>
      <c r="E2064" s="17" t="s">
        <v>3625</v>
      </c>
      <c r="F2064" s="17" t="s">
        <v>3626</v>
      </c>
      <c r="G2064" s="17" t="s">
        <v>5176</v>
      </c>
      <c r="H2064" t="s">
        <v>7476</v>
      </c>
      <c r="I2064" s="1">
        <v>2</v>
      </c>
      <c r="J2064" s="1">
        <v>2</v>
      </c>
      <c r="K2064" t="s">
        <v>6642</v>
      </c>
      <c r="L2064" s="5">
        <f>VLOOKUP(D:D,[1]Munka2!$A:$B,2,FALSE)</f>
        <v>1</v>
      </c>
      <c r="M2064" s="5">
        <f>_xlfn.IFNA(Táblázat1[[#This Row],[Kész2020]],0)</f>
        <v>1</v>
      </c>
      <c r="N2064" s="5">
        <f>IF(Táblázat1[[#This Row],[Karb./akt.év]]-Táblázat1[[#This Row],[Kész2020_2]]&lt;0,0,Táblázat1[[#This Row],[Karb./akt.év]]-Táblázat1[[#This Row],[Kész2020_2]])</f>
        <v>1</v>
      </c>
    </row>
    <row r="2065" spans="1:14" hidden="1" x14ac:dyDescent="0.25">
      <c r="A2065" s="17" t="s">
        <v>24</v>
      </c>
      <c r="B2065" s="17" t="s">
        <v>1647</v>
      </c>
      <c r="C2065" s="17" t="s">
        <v>1737</v>
      </c>
      <c r="D2065" s="17" t="s">
        <v>3502</v>
      </c>
      <c r="E2065" s="17" t="s">
        <v>4077</v>
      </c>
      <c r="F2065" s="17" t="s">
        <v>4078</v>
      </c>
      <c r="G2065" s="17" t="s">
        <v>6541</v>
      </c>
      <c r="H2065" t="s">
        <v>7476</v>
      </c>
      <c r="I2065" s="1">
        <v>2</v>
      </c>
      <c r="J2065" s="1">
        <v>2</v>
      </c>
      <c r="K2065" t="s">
        <v>8103</v>
      </c>
      <c r="L2065" s="5">
        <f>VLOOKUP(D:D,[1]Munka2!$A:$B,2,FALSE)</f>
        <v>1</v>
      </c>
      <c r="M2065" s="5">
        <f>_xlfn.IFNA(Táblázat1[[#This Row],[Kész2020]],0)</f>
        <v>1</v>
      </c>
      <c r="N2065" s="5">
        <f>IF(Táblázat1[[#This Row],[Karb./akt.év]]-Táblázat1[[#This Row],[Kész2020_2]]&lt;0,0,Táblázat1[[#This Row],[Karb./akt.év]]-Táblázat1[[#This Row],[Kész2020_2]])</f>
        <v>1</v>
      </c>
    </row>
    <row r="2066" spans="1:14" x14ac:dyDescent="0.25">
      <c r="A2066" s="17" t="s">
        <v>24</v>
      </c>
      <c r="B2066" s="17" t="s">
        <v>592</v>
      </c>
      <c r="C2066" s="17" t="s">
        <v>1736</v>
      </c>
      <c r="D2066" s="17" t="s">
        <v>2366</v>
      </c>
      <c r="E2066" s="17" t="s">
        <v>3836</v>
      </c>
      <c r="F2066" s="17" t="s">
        <v>3837</v>
      </c>
      <c r="G2066" s="17" t="s">
        <v>5555</v>
      </c>
      <c r="H2066" t="s">
        <v>7476</v>
      </c>
      <c r="I2066" s="1">
        <v>2</v>
      </c>
      <c r="J2066" s="1">
        <v>2</v>
      </c>
      <c r="K2066" t="s">
        <v>8103</v>
      </c>
      <c r="L2066" s="5" t="e">
        <f>VLOOKUP(D:D,[1]Munka2!$A:$B,2,FALSE)</f>
        <v>#N/A</v>
      </c>
      <c r="M2066" s="5">
        <f>_xlfn.IFNA(Táblázat1[[#This Row],[Kész2020]],0)</f>
        <v>0</v>
      </c>
      <c r="N2066" s="5">
        <f>IF(Táblázat1[[#This Row],[Karb./akt.év]]-Táblázat1[[#This Row],[Kész2020_2]]&lt;0,0,Táblázat1[[#This Row],[Karb./akt.év]]-Táblázat1[[#This Row],[Kész2020_2]])</f>
        <v>2</v>
      </c>
    </row>
    <row r="2067" spans="1:14" x14ac:dyDescent="0.25">
      <c r="A2067" s="17" t="s">
        <v>24</v>
      </c>
      <c r="B2067" s="17" t="s">
        <v>105</v>
      </c>
      <c r="C2067" s="17" t="s">
        <v>1737</v>
      </c>
      <c r="D2067" s="17" t="s">
        <v>1844</v>
      </c>
      <c r="E2067" s="17" t="s">
        <v>3691</v>
      </c>
      <c r="F2067" s="17" t="s">
        <v>3692</v>
      </c>
      <c r="G2067" s="17" t="s">
        <v>5076</v>
      </c>
      <c r="H2067" t="s">
        <v>7476</v>
      </c>
      <c r="I2067" s="1">
        <v>2</v>
      </c>
      <c r="J2067" s="1">
        <v>2</v>
      </c>
      <c r="K2067" t="s">
        <v>6642</v>
      </c>
      <c r="L2067" s="5" t="e">
        <f>VLOOKUP(D:D,[1]Munka2!$A:$B,2,FALSE)</f>
        <v>#N/A</v>
      </c>
      <c r="M2067" s="5">
        <f>_xlfn.IFNA(Táblázat1[[#This Row],[Kész2020]],0)</f>
        <v>0</v>
      </c>
      <c r="N2067" s="5">
        <f>IF(Táblázat1[[#This Row],[Karb./akt.év]]-Táblázat1[[#This Row],[Kész2020_2]]&lt;0,0,Táblázat1[[#This Row],[Karb./akt.év]]-Táblázat1[[#This Row],[Kész2020_2]])</f>
        <v>2</v>
      </c>
    </row>
    <row r="2068" spans="1:14" hidden="1" x14ac:dyDescent="0.25">
      <c r="A2068" s="17" t="s">
        <v>24</v>
      </c>
      <c r="B2068" s="17" t="s">
        <v>987</v>
      </c>
      <c r="C2068" s="17" t="s">
        <v>1737</v>
      </c>
      <c r="D2068" s="17" t="s">
        <v>2775</v>
      </c>
      <c r="E2068" s="17" t="s">
        <v>3850</v>
      </c>
      <c r="F2068" s="17" t="s">
        <v>3598</v>
      </c>
      <c r="G2068" s="17" t="s">
        <v>5916</v>
      </c>
      <c r="H2068" t="s">
        <v>7476</v>
      </c>
      <c r="I2068" s="1">
        <v>2</v>
      </c>
      <c r="J2068" s="1">
        <v>2</v>
      </c>
      <c r="K2068" t="s">
        <v>7017</v>
      </c>
      <c r="L2068" s="5">
        <f>VLOOKUP(D:D,[1]Munka2!$A:$B,2,FALSE)</f>
        <v>1</v>
      </c>
      <c r="M2068" s="5">
        <f>_xlfn.IFNA(Táblázat1[[#This Row],[Kész2020]],0)</f>
        <v>1</v>
      </c>
      <c r="N2068" s="5">
        <f>IF(Táblázat1[[#This Row],[Karb./akt.év]]-Táblázat1[[#This Row],[Kész2020_2]]&lt;0,0,Táblázat1[[#This Row],[Karb./akt.év]]-Táblázat1[[#This Row],[Kész2020_2]])</f>
        <v>1</v>
      </c>
    </row>
    <row r="2069" spans="1:14" hidden="1" x14ac:dyDescent="0.25">
      <c r="A2069" s="17" t="s">
        <v>24</v>
      </c>
      <c r="B2069" s="17" t="s">
        <v>734</v>
      </c>
      <c r="C2069" s="17" t="s">
        <v>1737</v>
      </c>
      <c r="D2069" s="17" t="s">
        <v>2511</v>
      </c>
      <c r="E2069" s="17" t="s">
        <v>3678</v>
      </c>
      <c r="F2069" s="17" t="s">
        <v>3679</v>
      </c>
      <c r="G2069" s="17" t="s">
        <v>5683</v>
      </c>
      <c r="H2069" t="s">
        <v>7476</v>
      </c>
      <c r="I2069" s="1">
        <v>2</v>
      </c>
      <c r="J2069" s="1">
        <v>2</v>
      </c>
      <c r="K2069" t="s">
        <v>6635</v>
      </c>
      <c r="L2069" s="5">
        <f>VLOOKUP(D:D,[1]Munka2!$A:$B,2,FALSE)</f>
        <v>1</v>
      </c>
      <c r="M2069" s="5">
        <f>_xlfn.IFNA(Táblázat1[[#This Row],[Kész2020]],0)</f>
        <v>1</v>
      </c>
      <c r="N2069" s="5">
        <f>IF(Táblázat1[[#This Row],[Karb./akt.év]]-Táblázat1[[#This Row],[Kész2020_2]]&lt;0,0,Táblázat1[[#This Row],[Karb./akt.év]]-Táblázat1[[#This Row],[Kész2020_2]])</f>
        <v>1</v>
      </c>
    </row>
    <row r="2070" spans="1:14" hidden="1" x14ac:dyDescent="0.25">
      <c r="A2070" s="17" t="s">
        <v>24</v>
      </c>
      <c r="B2070" s="17" t="s">
        <v>117</v>
      </c>
      <c r="C2070" s="17" t="s">
        <v>1735</v>
      </c>
      <c r="D2070" s="17" t="s">
        <v>1857</v>
      </c>
      <c r="E2070" s="17" t="s">
        <v>3676</v>
      </c>
      <c r="F2070" s="17" t="s">
        <v>3598</v>
      </c>
      <c r="G2070" s="17" t="s">
        <v>5088</v>
      </c>
      <c r="H2070" t="s">
        <v>7476</v>
      </c>
      <c r="I2070" s="1">
        <v>2</v>
      </c>
      <c r="J2070" s="1">
        <v>2</v>
      </c>
      <c r="K2070" t="s">
        <v>8101</v>
      </c>
      <c r="L2070" s="5">
        <f>VLOOKUP(D:D,[1]Munka2!$A:$B,2,FALSE)</f>
        <v>1</v>
      </c>
      <c r="M2070" s="5">
        <f>_xlfn.IFNA(Táblázat1[[#This Row],[Kész2020]],0)</f>
        <v>1</v>
      </c>
      <c r="N2070" s="5">
        <f>IF(Táblázat1[[#This Row],[Karb./akt.év]]-Táblázat1[[#This Row],[Kész2020_2]]&lt;0,0,Táblázat1[[#This Row],[Karb./akt.év]]-Táblázat1[[#This Row],[Kész2020_2]])</f>
        <v>1</v>
      </c>
    </row>
    <row r="2071" spans="1:14" x14ac:dyDescent="0.25">
      <c r="A2071" s="17" t="s">
        <v>24</v>
      </c>
      <c r="B2071" s="17" t="s">
        <v>281</v>
      </c>
      <c r="C2071" s="17" t="s">
        <v>1737</v>
      </c>
      <c r="D2071" s="17" t="s">
        <v>2030</v>
      </c>
      <c r="E2071" s="17" t="s">
        <v>3779</v>
      </c>
      <c r="F2071" s="17" t="s">
        <v>3679</v>
      </c>
      <c r="G2071" s="17" t="s">
        <v>5249</v>
      </c>
      <c r="H2071" t="s">
        <v>7476</v>
      </c>
      <c r="I2071" s="1">
        <v>2</v>
      </c>
      <c r="J2071" s="1">
        <v>2</v>
      </c>
      <c r="K2071" t="s">
        <v>6635</v>
      </c>
      <c r="L2071" s="5" t="e">
        <f>VLOOKUP(D:D,[1]Munka2!$A:$B,2,FALSE)</f>
        <v>#N/A</v>
      </c>
      <c r="M2071" s="5">
        <f>_xlfn.IFNA(Táblázat1[[#This Row],[Kész2020]],0)</f>
        <v>0</v>
      </c>
      <c r="N2071" s="5">
        <f>IF(Táblázat1[[#This Row],[Karb./akt.év]]-Táblázat1[[#This Row],[Kész2020_2]]&lt;0,0,Táblázat1[[#This Row],[Karb./akt.év]]-Táblázat1[[#This Row],[Kész2020_2]])</f>
        <v>2</v>
      </c>
    </row>
    <row r="2072" spans="1:14" x14ac:dyDescent="0.25">
      <c r="A2072" s="17" t="s">
        <v>24</v>
      </c>
      <c r="B2072" s="17" t="s">
        <v>1373</v>
      </c>
      <c r="C2072" s="17" t="s">
        <v>1737</v>
      </c>
      <c r="D2072" s="17" t="s">
        <v>3192</v>
      </c>
      <c r="E2072" s="17" t="s">
        <v>3619</v>
      </c>
      <c r="F2072" s="17" t="s">
        <v>3620</v>
      </c>
      <c r="G2072" s="17" t="s">
        <v>6275</v>
      </c>
      <c r="H2072" t="s">
        <v>7476</v>
      </c>
      <c r="I2072" s="1">
        <v>2</v>
      </c>
      <c r="J2072" s="1">
        <v>2</v>
      </c>
      <c r="K2072" t="s">
        <v>6642</v>
      </c>
      <c r="L2072" s="5" t="e">
        <f>VLOOKUP(D:D,[1]Munka2!$A:$B,2,FALSE)</f>
        <v>#N/A</v>
      </c>
      <c r="M2072" s="5">
        <f>_xlfn.IFNA(Táblázat1[[#This Row],[Kész2020]],0)</f>
        <v>0</v>
      </c>
      <c r="N2072" s="5">
        <f>IF(Táblázat1[[#This Row],[Karb./akt.év]]-Táblázat1[[#This Row],[Kész2020_2]]&lt;0,0,Táblázat1[[#This Row],[Karb./akt.év]]-Táblázat1[[#This Row],[Kész2020_2]])</f>
        <v>2</v>
      </c>
    </row>
    <row r="2073" spans="1:14" hidden="1" x14ac:dyDescent="0.25">
      <c r="A2073" s="17" t="s">
        <v>24</v>
      </c>
      <c r="B2073" s="17" t="s">
        <v>1249</v>
      </c>
      <c r="C2073" s="17" t="s">
        <v>1737</v>
      </c>
      <c r="D2073" s="17" t="s">
        <v>3060</v>
      </c>
      <c r="E2073" s="17" t="s">
        <v>3775</v>
      </c>
      <c r="F2073" s="17" t="s">
        <v>3776</v>
      </c>
      <c r="G2073" s="17" t="s">
        <v>6175</v>
      </c>
      <c r="H2073" t="s">
        <v>7476</v>
      </c>
      <c r="I2073" s="1">
        <v>2</v>
      </c>
      <c r="J2073" s="1">
        <v>2</v>
      </c>
      <c r="K2073" t="s">
        <v>6634</v>
      </c>
      <c r="L2073" s="5">
        <f>VLOOKUP(D:D,[1]Munka2!$A:$B,2,FALSE)</f>
        <v>1</v>
      </c>
      <c r="M2073" s="5">
        <f>_xlfn.IFNA(Táblázat1[[#This Row],[Kész2020]],0)</f>
        <v>1</v>
      </c>
      <c r="N2073" s="5">
        <f>IF(Táblázat1[[#This Row],[Karb./akt.év]]-Táblázat1[[#This Row],[Kész2020_2]]&lt;0,0,Táblázat1[[#This Row],[Karb./akt.év]]-Táblázat1[[#This Row],[Kész2020_2]])</f>
        <v>1</v>
      </c>
    </row>
    <row r="2074" spans="1:14" hidden="1" x14ac:dyDescent="0.25">
      <c r="A2074" s="17" t="s">
        <v>24</v>
      </c>
      <c r="B2074" s="17" t="s">
        <v>819</v>
      </c>
      <c r="C2074" s="17" t="s">
        <v>1737</v>
      </c>
      <c r="D2074" s="17" t="s">
        <v>2596</v>
      </c>
      <c r="E2074" s="17" t="s">
        <v>3836</v>
      </c>
      <c r="F2074" s="17" t="s">
        <v>3837</v>
      </c>
      <c r="G2074" s="17" t="s">
        <v>5758</v>
      </c>
      <c r="H2074" t="s">
        <v>7476</v>
      </c>
      <c r="I2074" s="1">
        <v>2</v>
      </c>
      <c r="J2074" s="1">
        <v>2</v>
      </c>
      <c r="K2074" t="s">
        <v>8103</v>
      </c>
      <c r="L2074" s="5">
        <f>VLOOKUP(D:D,[1]Munka2!$A:$B,2,FALSE)</f>
        <v>1</v>
      </c>
      <c r="M2074" s="5">
        <f>_xlfn.IFNA(Táblázat1[[#This Row],[Kész2020]],0)</f>
        <v>1</v>
      </c>
      <c r="N2074" s="5">
        <f>IF(Táblázat1[[#This Row],[Karb./akt.év]]-Táblázat1[[#This Row],[Kész2020_2]]&lt;0,0,Táblázat1[[#This Row],[Karb./akt.év]]-Táblázat1[[#This Row],[Kész2020_2]])</f>
        <v>1</v>
      </c>
    </row>
    <row r="2075" spans="1:14" x14ac:dyDescent="0.25">
      <c r="A2075" s="17" t="s">
        <v>24</v>
      </c>
      <c r="B2075" s="17" t="s">
        <v>785</v>
      </c>
      <c r="C2075" s="17" t="s">
        <v>1737</v>
      </c>
      <c r="D2075" s="17" t="s">
        <v>2561</v>
      </c>
      <c r="E2075" s="17" t="s">
        <v>3788</v>
      </c>
      <c r="F2075" s="17" t="s">
        <v>3789</v>
      </c>
      <c r="G2075" s="17" t="s">
        <v>5729</v>
      </c>
      <c r="H2075" t="s">
        <v>7476</v>
      </c>
      <c r="I2075" s="1">
        <v>2</v>
      </c>
      <c r="J2075" s="1">
        <v>2</v>
      </c>
      <c r="K2075" t="s">
        <v>6634</v>
      </c>
      <c r="L2075" s="5" t="e">
        <f>VLOOKUP(D:D,[1]Munka2!$A:$B,2,FALSE)</f>
        <v>#N/A</v>
      </c>
      <c r="M2075" s="5">
        <f>_xlfn.IFNA(Táblázat1[[#This Row],[Kész2020]],0)</f>
        <v>0</v>
      </c>
      <c r="N2075" s="5">
        <f>IF(Táblázat1[[#This Row],[Karb./akt.év]]-Táblázat1[[#This Row],[Kész2020_2]]&lt;0,0,Táblázat1[[#This Row],[Karb./akt.év]]-Táblázat1[[#This Row],[Kész2020_2]])</f>
        <v>2</v>
      </c>
    </row>
    <row r="2076" spans="1:14" hidden="1" x14ac:dyDescent="0.25">
      <c r="A2076" s="17" t="s">
        <v>12</v>
      </c>
      <c r="B2076" s="17" t="s">
        <v>6853</v>
      </c>
      <c r="C2076" s="17" t="s">
        <v>1736</v>
      </c>
      <c r="D2076" s="17" t="s">
        <v>6884</v>
      </c>
      <c r="E2076" s="17" t="s">
        <v>3643</v>
      </c>
      <c r="F2076" s="17" t="s">
        <v>3598</v>
      </c>
      <c r="G2076" s="17" t="s">
        <v>6271</v>
      </c>
      <c r="H2076" t="s">
        <v>7476</v>
      </c>
      <c r="I2076" s="1">
        <v>0</v>
      </c>
      <c r="J2076" s="1">
        <v>0</v>
      </c>
      <c r="K2076" t="s">
        <v>8101</v>
      </c>
      <c r="L2076" s="5" t="e">
        <f>VLOOKUP(D:D,[1]Munka2!$A:$B,2,FALSE)</f>
        <v>#N/A</v>
      </c>
      <c r="M2076" s="5">
        <f>_xlfn.IFNA(Táblázat1[[#This Row],[Kész2020]],0)</f>
        <v>0</v>
      </c>
      <c r="N2076" s="5">
        <f>IF(Táblázat1[[#This Row],[Karb./akt.év]]-Táblázat1[[#This Row],[Kész2020_2]]&lt;0,0,Táblázat1[[#This Row],[Karb./akt.év]]-Táblázat1[[#This Row],[Kész2020_2]])</f>
        <v>0</v>
      </c>
    </row>
    <row r="2077" spans="1:14" hidden="1" x14ac:dyDescent="0.25">
      <c r="A2077" s="17" t="s">
        <v>12</v>
      </c>
      <c r="B2077" s="17" t="s">
        <v>450</v>
      </c>
      <c r="C2077" s="17" t="s">
        <v>1743</v>
      </c>
      <c r="D2077" s="17" t="s">
        <v>2208</v>
      </c>
      <c r="E2077" s="17" t="s">
        <v>4060</v>
      </c>
      <c r="F2077" s="17" t="s">
        <v>3598</v>
      </c>
      <c r="G2077" s="17" t="s">
        <v>5415</v>
      </c>
      <c r="H2077" t="s">
        <v>7476</v>
      </c>
      <c r="I2077" s="1">
        <v>2</v>
      </c>
      <c r="J2077" s="1">
        <v>2</v>
      </c>
      <c r="K2077" t="s">
        <v>6633</v>
      </c>
      <c r="L2077" s="5">
        <f>VLOOKUP(D:D,[1]Munka2!$A:$B,2,FALSE)</f>
        <v>1</v>
      </c>
      <c r="M2077" s="5">
        <f>_xlfn.IFNA(Táblázat1[[#This Row],[Kész2020]],0)</f>
        <v>1</v>
      </c>
      <c r="N2077" s="5">
        <f>IF(Táblázat1[[#This Row],[Karb./akt.év]]-Táblázat1[[#This Row],[Kész2020_2]]&lt;0,0,Táblázat1[[#This Row],[Karb./akt.év]]-Táblázat1[[#This Row],[Kész2020_2]])</f>
        <v>1</v>
      </c>
    </row>
    <row r="2078" spans="1:14" hidden="1" x14ac:dyDescent="0.25">
      <c r="A2078" s="17" t="s">
        <v>12</v>
      </c>
      <c r="B2078" s="17" t="s">
        <v>1115</v>
      </c>
      <c r="C2078" s="17" t="s">
        <v>1743</v>
      </c>
      <c r="D2078" s="17" t="s">
        <v>2909</v>
      </c>
      <c r="E2078" s="17" t="s">
        <v>3730</v>
      </c>
      <c r="F2078" s="17" t="s">
        <v>3731</v>
      </c>
      <c r="G2078" s="17" t="s">
        <v>6044</v>
      </c>
      <c r="H2078" t="s">
        <v>7476</v>
      </c>
      <c r="I2078" s="1">
        <v>2</v>
      </c>
      <c r="J2078" s="1">
        <v>2</v>
      </c>
      <c r="K2078" t="s">
        <v>6641</v>
      </c>
      <c r="L2078" s="5">
        <f>VLOOKUP(D:D,[1]Munka2!$A:$B,2,FALSE)</f>
        <v>1</v>
      </c>
      <c r="M2078" s="5">
        <f>_xlfn.IFNA(Táblázat1[[#This Row],[Kész2020]],0)</f>
        <v>1</v>
      </c>
      <c r="N2078" s="5">
        <f>IF(Táblázat1[[#This Row],[Karb./akt.év]]-Táblázat1[[#This Row],[Kész2020_2]]&lt;0,0,Táblázat1[[#This Row],[Karb./akt.év]]-Táblázat1[[#This Row],[Kész2020_2]])</f>
        <v>1</v>
      </c>
    </row>
    <row r="2079" spans="1:14" hidden="1" x14ac:dyDescent="0.25">
      <c r="A2079" s="17" t="s">
        <v>12</v>
      </c>
      <c r="B2079" s="17" t="s">
        <v>1730</v>
      </c>
      <c r="C2079" s="17" t="s">
        <v>1737</v>
      </c>
      <c r="D2079" s="17" t="s">
        <v>3590</v>
      </c>
      <c r="E2079" s="17" t="s">
        <v>5005</v>
      </c>
      <c r="F2079" s="17" t="s">
        <v>3598</v>
      </c>
      <c r="G2079" s="17" t="s">
        <v>6625</v>
      </c>
      <c r="H2079" t="s">
        <v>7476</v>
      </c>
      <c r="I2079" s="1">
        <v>2</v>
      </c>
      <c r="J2079" s="1">
        <v>2</v>
      </c>
      <c r="K2079" t="s">
        <v>6641</v>
      </c>
      <c r="L2079" s="5">
        <f>VLOOKUP(D:D,[1]Munka2!$A:$B,2,FALSE)</f>
        <v>1</v>
      </c>
      <c r="M2079" s="5">
        <f>_xlfn.IFNA(Táblázat1[[#This Row],[Kész2020]],0)</f>
        <v>1</v>
      </c>
      <c r="N2079" s="5">
        <f>IF(Táblázat1[[#This Row],[Karb./akt.év]]-Táblázat1[[#This Row],[Kész2020_2]]&lt;0,0,Táblázat1[[#This Row],[Karb./akt.év]]-Táblázat1[[#This Row],[Kész2020_2]])</f>
        <v>1</v>
      </c>
    </row>
    <row r="2080" spans="1:14" hidden="1" x14ac:dyDescent="0.25">
      <c r="A2080" s="17" t="s">
        <v>12</v>
      </c>
      <c r="B2080" s="17" t="s">
        <v>1684</v>
      </c>
      <c r="C2080" s="17" t="s">
        <v>1742</v>
      </c>
      <c r="D2080" s="17" t="s">
        <v>3540</v>
      </c>
      <c r="E2080" s="17" t="s">
        <v>4986</v>
      </c>
      <c r="F2080" s="17" t="s">
        <v>3598</v>
      </c>
      <c r="G2080" s="17" t="s">
        <v>6579</v>
      </c>
      <c r="H2080" t="s">
        <v>7476</v>
      </c>
      <c r="I2080" s="1">
        <v>2</v>
      </c>
      <c r="J2080" s="1">
        <v>2</v>
      </c>
      <c r="K2080" t="s">
        <v>7017</v>
      </c>
      <c r="L2080" s="5">
        <f>VLOOKUP(D:D,[1]Munka2!$A:$B,2,FALSE)</f>
        <v>1</v>
      </c>
      <c r="M2080" s="5">
        <f>_xlfn.IFNA(Táblázat1[[#This Row],[Kész2020]],0)</f>
        <v>1</v>
      </c>
      <c r="N2080" s="5">
        <f>IF(Táblázat1[[#This Row],[Karb./akt.év]]-Táblázat1[[#This Row],[Kész2020_2]]&lt;0,0,Táblázat1[[#This Row],[Karb./akt.év]]-Táblázat1[[#This Row],[Kész2020_2]])</f>
        <v>1</v>
      </c>
    </row>
    <row r="2081" spans="1:14" hidden="1" x14ac:dyDescent="0.25">
      <c r="A2081" s="17" t="s">
        <v>12</v>
      </c>
      <c r="B2081" s="17" t="s">
        <v>889</v>
      </c>
      <c r="C2081" s="17" t="s">
        <v>1735</v>
      </c>
      <c r="D2081" s="17" t="s">
        <v>2674</v>
      </c>
      <c r="E2081" s="17" t="s">
        <v>3881</v>
      </c>
      <c r="F2081" s="17" t="s">
        <v>3755</v>
      </c>
      <c r="G2081" s="17" t="s">
        <v>5822</v>
      </c>
      <c r="H2081" t="s">
        <v>7476</v>
      </c>
      <c r="I2081" s="1">
        <v>2</v>
      </c>
      <c r="J2081" s="1">
        <v>2</v>
      </c>
      <c r="K2081" t="s">
        <v>6640</v>
      </c>
      <c r="L2081" s="5">
        <f>VLOOKUP(D:D,[1]Munka2!$A:$B,2,FALSE)</f>
        <v>1</v>
      </c>
      <c r="M2081" s="5">
        <f>_xlfn.IFNA(Táblázat1[[#This Row],[Kész2020]],0)</f>
        <v>1</v>
      </c>
      <c r="N2081" s="5">
        <f>IF(Táblázat1[[#This Row],[Karb./akt.év]]-Táblázat1[[#This Row],[Kész2020_2]]&lt;0,0,Táblázat1[[#This Row],[Karb./akt.év]]-Táblázat1[[#This Row],[Kész2020_2]])</f>
        <v>1</v>
      </c>
    </row>
    <row r="2082" spans="1:14" hidden="1" x14ac:dyDescent="0.25">
      <c r="A2082" s="17" t="s">
        <v>12</v>
      </c>
      <c r="B2082" s="17" t="s">
        <v>1382</v>
      </c>
      <c r="C2082" s="17" t="s">
        <v>1736</v>
      </c>
      <c r="D2082" s="17" t="s">
        <v>3203</v>
      </c>
      <c r="E2082" s="17" t="s">
        <v>4187</v>
      </c>
      <c r="F2082" s="17" t="s">
        <v>4188</v>
      </c>
      <c r="G2082" s="17" t="s">
        <v>6287</v>
      </c>
      <c r="H2082" t="s">
        <v>7476</v>
      </c>
      <c r="I2082" s="1">
        <v>2</v>
      </c>
      <c r="J2082" s="1">
        <v>2</v>
      </c>
      <c r="K2082" t="s">
        <v>6785</v>
      </c>
      <c r="L2082" s="5">
        <f>VLOOKUP(D:D,[1]Munka2!$A:$B,2,FALSE)</f>
        <v>1</v>
      </c>
      <c r="M2082" s="5">
        <f>_xlfn.IFNA(Táblázat1[[#This Row],[Kész2020]],0)</f>
        <v>1</v>
      </c>
      <c r="N2082" s="5">
        <f>IF(Táblázat1[[#This Row],[Karb./akt.év]]-Táblázat1[[#This Row],[Kész2020_2]]&lt;0,0,Táblázat1[[#This Row],[Karb./akt.év]]-Táblázat1[[#This Row],[Kész2020_2]])</f>
        <v>1</v>
      </c>
    </row>
    <row r="2083" spans="1:14" hidden="1" x14ac:dyDescent="0.25">
      <c r="A2083" s="17" t="s">
        <v>12</v>
      </c>
      <c r="B2083" s="17" t="s">
        <v>1383</v>
      </c>
      <c r="C2083" s="17" t="s">
        <v>1743</v>
      </c>
      <c r="D2083" s="17" t="s">
        <v>3204</v>
      </c>
      <c r="E2083" s="17" t="s">
        <v>4187</v>
      </c>
      <c r="F2083" s="17" t="s">
        <v>4188</v>
      </c>
      <c r="G2083" s="17" t="s">
        <v>6287</v>
      </c>
      <c r="H2083" t="s">
        <v>7476</v>
      </c>
      <c r="I2083" s="1">
        <v>2</v>
      </c>
      <c r="J2083" s="1">
        <v>2</v>
      </c>
      <c r="K2083" t="s">
        <v>6785</v>
      </c>
      <c r="L2083" s="5">
        <f>VLOOKUP(D:D,[1]Munka2!$A:$B,2,FALSE)</f>
        <v>1</v>
      </c>
      <c r="M2083" s="5">
        <f>_xlfn.IFNA(Táblázat1[[#This Row],[Kész2020]],0)</f>
        <v>1</v>
      </c>
      <c r="N2083" s="5">
        <f>IF(Táblázat1[[#This Row],[Karb./akt.év]]-Táblázat1[[#This Row],[Kész2020_2]]&lt;0,0,Táblázat1[[#This Row],[Karb./akt.év]]-Táblázat1[[#This Row],[Kész2020_2]])</f>
        <v>1</v>
      </c>
    </row>
    <row r="2084" spans="1:14" hidden="1" x14ac:dyDescent="0.25">
      <c r="A2084" s="17" t="s">
        <v>12</v>
      </c>
      <c r="B2084" s="17" t="s">
        <v>66</v>
      </c>
      <c r="C2084" s="17" t="s">
        <v>1736</v>
      </c>
      <c r="D2084" s="17" t="s">
        <v>1804</v>
      </c>
      <c r="E2084" s="17" t="s">
        <v>3643</v>
      </c>
      <c r="F2084" s="17" t="s">
        <v>3598</v>
      </c>
      <c r="G2084" s="17" t="s">
        <v>5041</v>
      </c>
      <c r="H2084" t="s">
        <v>7476</v>
      </c>
      <c r="I2084" s="1">
        <v>2</v>
      </c>
      <c r="J2084" s="1">
        <v>2</v>
      </c>
      <c r="K2084" t="s">
        <v>8101</v>
      </c>
      <c r="L2084" s="5">
        <f>VLOOKUP(D:D,[1]Munka2!$A:$B,2,FALSE)</f>
        <v>1</v>
      </c>
      <c r="M2084" s="5">
        <f>_xlfn.IFNA(Táblázat1[[#This Row],[Kész2020]],0)</f>
        <v>1</v>
      </c>
      <c r="N2084" s="5">
        <f>IF(Táblázat1[[#This Row],[Karb./akt.év]]-Táblázat1[[#This Row],[Kész2020_2]]&lt;0,0,Táblázat1[[#This Row],[Karb./akt.év]]-Táblázat1[[#This Row],[Kész2020_2]])</f>
        <v>1</v>
      </c>
    </row>
    <row r="2085" spans="1:14" hidden="1" x14ac:dyDescent="0.25">
      <c r="A2085" s="17" t="s">
        <v>12</v>
      </c>
      <c r="B2085" s="17" t="s">
        <v>812</v>
      </c>
      <c r="C2085" s="17" t="s">
        <v>1743</v>
      </c>
      <c r="D2085" s="17" t="s">
        <v>2589</v>
      </c>
      <c r="E2085" s="17" t="s">
        <v>4065</v>
      </c>
      <c r="F2085" s="17" t="s">
        <v>3681</v>
      </c>
      <c r="G2085" s="17" t="s">
        <v>5751</v>
      </c>
      <c r="H2085" t="s">
        <v>7476</v>
      </c>
      <c r="I2085" s="1">
        <v>2</v>
      </c>
      <c r="J2085" s="1">
        <v>2</v>
      </c>
      <c r="K2085" t="s">
        <v>6637</v>
      </c>
      <c r="L2085" s="5">
        <f>VLOOKUP(D:D,[1]Munka2!$A:$B,2,FALSE)</f>
        <v>1</v>
      </c>
      <c r="M2085" s="5">
        <f>_xlfn.IFNA(Táblázat1[[#This Row],[Kész2020]],0)</f>
        <v>1</v>
      </c>
      <c r="N2085" s="5">
        <f>IF(Táblázat1[[#This Row],[Karb./akt.év]]-Táblázat1[[#This Row],[Kész2020_2]]&lt;0,0,Táblázat1[[#This Row],[Karb./akt.év]]-Táblázat1[[#This Row],[Kész2020_2]])</f>
        <v>1</v>
      </c>
    </row>
    <row r="2086" spans="1:14" hidden="1" x14ac:dyDescent="0.25">
      <c r="A2086" s="17" t="s">
        <v>12</v>
      </c>
      <c r="B2086" s="17" t="s">
        <v>977</v>
      </c>
      <c r="C2086" s="17" t="s">
        <v>1748</v>
      </c>
      <c r="D2086" s="17" t="s">
        <v>2763</v>
      </c>
      <c r="E2086" s="17" t="s">
        <v>3641</v>
      </c>
      <c r="F2086" s="17" t="s">
        <v>3642</v>
      </c>
      <c r="G2086" s="17" t="s">
        <v>5905</v>
      </c>
      <c r="H2086" t="s">
        <v>7476</v>
      </c>
      <c r="I2086" s="1">
        <v>2</v>
      </c>
      <c r="J2086" s="1">
        <v>2</v>
      </c>
      <c r="K2086" t="s">
        <v>7354</v>
      </c>
      <c r="L2086" s="5">
        <f>VLOOKUP(D:D,[1]Munka2!$A:$B,2,FALSE)</f>
        <v>1</v>
      </c>
      <c r="M2086" s="5">
        <f>_xlfn.IFNA(Táblázat1[[#This Row],[Kész2020]],0)</f>
        <v>1</v>
      </c>
      <c r="N2086" s="5">
        <f>IF(Táblázat1[[#This Row],[Karb./akt.év]]-Táblázat1[[#This Row],[Kész2020_2]]&lt;0,0,Táblázat1[[#This Row],[Karb./akt.év]]-Táblázat1[[#This Row],[Kész2020_2]])</f>
        <v>1</v>
      </c>
    </row>
    <row r="2087" spans="1:14" hidden="1" x14ac:dyDescent="0.25">
      <c r="A2087" s="17" t="s">
        <v>12</v>
      </c>
      <c r="B2087" s="17" t="s">
        <v>364</v>
      </c>
      <c r="C2087" s="17" t="s">
        <v>1742</v>
      </c>
      <c r="D2087" s="17" t="s">
        <v>2119</v>
      </c>
      <c r="E2087" s="17" t="s">
        <v>3994</v>
      </c>
      <c r="F2087" s="17" t="s">
        <v>3598</v>
      </c>
      <c r="G2087" s="17" t="s">
        <v>5331</v>
      </c>
      <c r="H2087" t="s">
        <v>7476</v>
      </c>
      <c r="I2087" s="1">
        <v>2</v>
      </c>
      <c r="J2087" s="1">
        <v>2</v>
      </c>
      <c r="K2087" t="s">
        <v>8101</v>
      </c>
      <c r="L2087" s="5">
        <f>VLOOKUP(D:D,[1]Munka2!$A:$B,2,FALSE)</f>
        <v>1</v>
      </c>
      <c r="M2087" s="5">
        <f>_xlfn.IFNA(Táblázat1[[#This Row],[Kész2020]],0)</f>
        <v>1</v>
      </c>
      <c r="N2087" s="5">
        <f>IF(Táblázat1[[#This Row],[Karb./akt.év]]-Táblázat1[[#This Row],[Kész2020_2]]&lt;0,0,Táblázat1[[#This Row],[Karb./akt.év]]-Táblázat1[[#This Row],[Kész2020_2]])</f>
        <v>1</v>
      </c>
    </row>
    <row r="2088" spans="1:14" hidden="1" x14ac:dyDescent="0.25">
      <c r="A2088" s="17" t="s">
        <v>12</v>
      </c>
      <c r="B2088" s="17" t="s">
        <v>1090</v>
      </c>
      <c r="C2088" s="17" t="s">
        <v>1736</v>
      </c>
      <c r="D2088" s="17" t="s">
        <v>2880</v>
      </c>
      <c r="E2088" s="17" t="s">
        <v>4616</v>
      </c>
      <c r="F2088" s="17" t="s">
        <v>3598</v>
      </c>
      <c r="G2088" s="17" t="s">
        <v>6018</v>
      </c>
      <c r="H2088" t="s">
        <v>7476</v>
      </c>
      <c r="I2088" s="1">
        <v>2</v>
      </c>
      <c r="J2088" s="1">
        <v>2</v>
      </c>
      <c r="K2088" t="s">
        <v>6641</v>
      </c>
      <c r="L2088" s="5">
        <f>VLOOKUP(D:D,[1]Munka2!$A:$B,2,FALSE)</f>
        <v>1</v>
      </c>
      <c r="M2088" s="5">
        <f>_xlfn.IFNA(Táblázat1[[#This Row],[Kész2020]],0)</f>
        <v>1</v>
      </c>
      <c r="N2088" s="5">
        <f>IF(Táblázat1[[#This Row],[Karb./akt.év]]-Táblázat1[[#This Row],[Kész2020_2]]&lt;0,0,Táblázat1[[#This Row],[Karb./akt.év]]-Táblázat1[[#This Row],[Kész2020_2]])</f>
        <v>1</v>
      </c>
    </row>
    <row r="2089" spans="1:14" hidden="1" x14ac:dyDescent="0.25">
      <c r="A2089" s="17" t="s">
        <v>12</v>
      </c>
      <c r="B2089" s="17" t="s">
        <v>1394</v>
      </c>
      <c r="C2089" s="17" t="s">
        <v>1735</v>
      </c>
      <c r="D2089" s="17" t="s">
        <v>3220</v>
      </c>
      <c r="E2089" s="17" t="s">
        <v>4851</v>
      </c>
      <c r="F2089" s="17" t="s">
        <v>4852</v>
      </c>
      <c r="G2089" s="17" t="s">
        <v>6301</v>
      </c>
      <c r="H2089" t="s">
        <v>7476</v>
      </c>
      <c r="I2089" s="1">
        <v>2</v>
      </c>
      <c r="J2089" s="1">
        <v>2</v>
      </c>
      <c r="K2089" t="s">
        <v>6636</v>
      </c>
      <c r="L2089" s="5">
        <f>VLOOKUP(D:D,[1]Munka2!$A:$B,2,FALSE)</f>
        <v>1</v>
      </c>
      <c r="M2089" s="5">
        <f>_xlfn.IFNA(Táblázat1[[#This Row],[Kész2020]],0)</f>
        <v>1</v>
      </c>
      <c r="N2089" s="5">
        <f>IF(Táblázat1[[#This Row],[Karb./akt.év]]-Táblázat1[[#This Row],[Kész2020_2]]&lt;0,0,Táblázat1[[#This Row],[Karb./akt.év]]-Táblázat1[[#This Row],[Kész2020_2]])</f>
        <v>1</v>
      </c>
    </row>
    <row r="2090" spans="1:14" hidden="1" x14ac:dyDescent="0.25">
      <c r="A2090" s="17" t="s">
        <v>12</v>
      </c>
      <c r="B2090" s="17" t="s">
        <v>355</v>
      </c>
      <c r="C2090" s="17" t="s">
        <v>1736</v>
      </c>
      <c r="D2090" s="17" t="s">
        <v>2110</v>
      </c>
      <c r="E2090" s="17" t="s">
        <v>3988</v>
      </c>
      <c r="F2090" s="17" t="s">
        <v>3989</v>
      </c>
      <c r="G2090" s="17" t="s">
        <v>5322</v>
      </c>
      <c r="H2090" t="s">
        <v>7476</v>
      </c>
      <c r="I2090" s="1">
        <v>2</v>
      </c>
      <c r="J2090" s="1">
        <v>2</v>
      </c>
      <c r="K2090" t="s">
        <v>6636</v>
      </c>
      <c r="L2090" s="5">
        <f>VLOOKUP(D:D,[1]Munka2!$A:$B,2,FALSE)</f>
        <v>1</v>
      </c>
      <c r="M2090" s="5">
        <f>_xlfn.IFNA(Táblázat1[[#This Row],[Kész2020]],0)</f>
        <v>1</v>
      </c>
      <c r="N2090" s="5">
        <f>IF(Táblázat1[[#This Row],[Karb./akt.év]]-Táblázat1[[#This Row],[Kész2020_2]]&lt;0,0,Táblázat1[[#This Row],[Karb./akt.év]]-Táblázat1[[#This Row],[Kész2020_2]])</f>
        <v>1</v>
      </c>
    </row>
    <row r="2091" spans="1:14" hidden="1" x14ac:dyDescent="0.25">
      <c r="A2091" s="17" t="s">
        <v>12</v>
      </c>
      <c r="B2091" s="17" t="s">
        <v>276</v>
      </c>
      <c r="C2091" s="17" t="s">
        <v>1736</v>
      </c>
      <c r="D2091" s="17" t="s">
        <v>2025</v>
      </c>
      <c r="E2091" s="17" t="s">
        <v>3772</v>
      </c>
      <c r="F2091" s="17" t="s">
        <v>3755</v>
      </c>
      <c r="G2091" s="17" t="s">
        <v>5244</v>
      </c>
      <c r="H2091" t="s">
        <v>7476</v>
      </c>
      <c r="I2091" s="1">
        <v>2</v>
      </c>
      <c r="J2091" s="1">
        <v>2</v>
      </c>
      <c r="K2091" t="s">
        <v>6640</v>
      </c>
      <c r="L2091" s="5">
        <f>VLOOKUP(D:D,[1]Munka2!$A:$B,2,FALSE)</f>
        <v>1</v>
      </c>
      <c r="M2091" s="5">
        <f>_xlfn.IFNA(Táblázat1[[#This Row],[Kész2020]],0)</f>
        <v>1</v>
      </c>
      <c r="N2091" s="5">
        <f>IF(Táblázat1[[#This Row],[Karb./akt.év]]-Táblázat1[[#This Row],[Kész2020_2]]&lt;0,0,Táblázat1[[#This Row],[Karb./akt.év]]-Táblázat1[[#This Row],[Kész2020_2]])</f>
        <v>1</v>
      </c>
    </row>
    <row r="2092" spans="1:14" hidden="1" x14ac:dyDescent="0.25">
      <c r="A2092" s="17" t="s">
        <v>12</v>
      </c>
      <c r="B2092" s="17" t="s">
        <v>578</v>
      </c>
      <c r="C2092" s="17" t="s">
        <v>1736</v>
      </c>
      <c r="D2092" s="17" t="s">
        <v>2351</v>
      </c>
      <c r="E2092" s="17" t="s">
        <v>3802</v>
      </c>
      <c r="F2092" s="17" t="s">
        <v>3803</v>
      </c>
      <c r="G2092" s="17" t="s">
        <v>5542</v>
      </c>
      <c r="H2092" t="s">
        <v>7476</v>
      </c>
      <c r="I2092" s="1">
        <v>2</v>
      </c>
      <c r="J2092" s="1">
        <v>2</v>
      </c>
      <c r="K2092" t="s">
        <v>6635</v>
      </c>
      <c r="L2092" s="5">
        <f>VLOOKUP(D:D,[1]Munka2!$A:$B,2,FALSE)</f>
        <v>1</v>
      </c>
      <c r="M2092" s="5">
        <f>_xlfn.IFNA(Táblázat1[[#This Row],[Kész2020]],0)</f>
        <v>1</v>
      </c>
      <c r="N2092" s="5">
        <f>IF(Táblázat1[[#This Row],[Karb./akt.év]]-Táblázat1[[#This Row],[Kész2020_2]]&lt;0,0,Táblázat1[[#This Row],[Karb./akt.év]]-Táblázat1[[#This Row],[Kész2020_2]])</f>
        <v>1</v>
      </c>
    </row>
    <row r="2093" spans="1:14" hidden="1" x14ac:dyDescent="0.25">
      <c r="A2093" s="17" t="s">
        <v>12</v>
      </c>
      <c r="B2093" s="17" t="s">
        <v>577</v>
      </c>
      <c r="C2093" s="17" t="s">
        <v>1743</v>
      </c>
      <c r="D2093" s="17" t="s">
        <v>2350</v>
      </c>
      <c r="E2093" s="17" t="s">
        <v>3802</v>
      </c>
      <c r="F2093" s="17" t="s">
        <v>3803</v>
      </c>
      <c r="G2093" s="17" t="s">
        <v>5542</v>
      </c>
      <c r="H2093" t="s">
        <v>7476</v>
      </c>
      <c r="I2093" s="1">
        <v>2</v>
      </c>
      <c r="J2093" s="1">
        <v>2</v>
      </c>
      <c r="K2093" t="s">
        <v>6635</v>
      </c>
      <c r="L2093" s="5">
        <f>VLOOKUP(D:D,[1]Munka2!$A:$B,2,FALSE)</f>
        <v>1</v>
      </c>
      <c r="M2093" s="5">
        <f>_xlfn.IFNA(Táblázat1[[#This Row],[Kész2020]],0)</f>
        <v>1</v>
      </c>
      <c r="N2093" s="5">
        <f>IF(Táblázat1[[#This Row],[Karb./akt.év]]-Táblázat1[[#This Row],[Kész2020_2]]&lt;0,0,Táblázat1[[#This Row],[Karb./akt.év]]-Táblázat1[[#This Row],[Kész2020_2]])</f>
        <v>1</v>
      </c>
    </row>
    <row r="2094" spans="1:14" hidden="1" x14ac:dyDescent="0.25">
      <c r="A2094" s="17" t="s">
        <v>12</v>
      </c>
      <c r="B2094" s="17" t="s">
        <v>188</v>
      </c>
      <c r="C2094" s="17" t="s">
        <v>1743</v>
      </c>
      <c r="D2094" s="17" t="s">
        <v>1929</v>
      </c>
      <c r="E2094" s="17" t="s">
        <v>3802</v>
      </c>
      <c r="F2094" s="17" t="s">
        <v>3803</v>
      </c>
      <c r="G2094" s="17" t="s">
        <v>5158</v>
      </c>
      <c r="H2094" t="s">
        <v>7476</v>
      </c>
      <c r="I2094" s="1">
        <v>2</v>
      </c>
      <c r="J2094" s="1">
        <v>2</v>
      </c>
      <c r="K2094" t="s">
        <v>6635</v>
      </c>
      <c r="L2094" s="5">
        <f>VLOOKUP(D:D,[1]Munka2!$A:$B,2,FALSE)</f>
        <v>1</v>
      </c>
      <c r="M2094" s="5">
        <f>_xlfn.IFNA(Táblázat1[[#This Row],[Kész2020]],0)</f>
        <v>1</v>
      </c>
      <c r="N2094" s="5">
        <f>IF(Táblázat1[[#This Row],[Karb./akt.év]]-Táblázat1[[#This Row],[Kész2020_2]]&lt;0,0,Táblázat1[[#This Row],[Karb./akt.év]]-Táblázat1[[#This Row],[Kész2020_2]])</f>
        <v>1</v>
      </c>
    </row>
    <row r="2095" spans="1:14" hidden="1" x14ac:dyDescent="0.25">
      <c r="A2095" s="17" t="s">
        <v>12</v>
      </c>
      <c r="B2095" s="17" t="s">
        <v>1083</v>
      </c>
      <c r="C2095" s="17" t="s">
        <v>1736</v>
      </c>
      <c r="D2095" s="17" t="s">
        <v>2874</v>
      </c>
      <c r="E2095" s="17" t="s">
        <v>4611</v>
      </c>
      <c r="F2095" s="17" t="s">
        <v>3598</v>
      </c>
      <c r="G2095" s="17" t="s">
        <v>6011</v>
      </c>
      <c r="H2095" t="s">
        <v>7476</v>
      </c>
      <c r="I2095" s="1">
        <v>2</v>
      </c>
      <c r="J2095" s="1">
        <v>2</v>
      </c>
      <c r="K2095" t="s">
        <v>7014</v>
      </c>
      <c r="L2095" s="5">
        <f>VLOOKUP(D:D,[1]Munka2!$A:$B,2,FALSE)</f>
        <v>1</v>
      </c>
      <c r="M2095" s="5">
        <f>_xlfn.IFNA(Táblázat1[[#This Row],[Kész2020]],0)</f>
        <v>1</v>
      </c>
      <c r="N2095" s="5">
        <f>IF(Táblázat1[[#This Row],[Karb./akt.év]]-Táblázat1[[#This Row],[Kész2020_2]]&lt;0,0,Táblázat1[[#This Row],[Karb./akt.év]]-Táblázat1[[#This Row],[Kész2020_2]])</f>
        <v>1</v>
      </c>
    </row>
    <row r="2096" spans="1:14" hidden="1" x14ac:dyDescent="0.25">
      <c r="A2096" s="17" t="s">
        <v>12</v>
      </c>
      <c r="B2096" s="17" t="s">
        <v>932</v>
      </c>
      <c r="C2096" s="17" t="s">
        <v>1735</v>
      </c>
      <c r="D2096" s="17" t="s">
        <v>2715</v>
      </c>
      <c r="E2096" s="17" t="s">
        <v>3788</v>
      </c>
      <c r="F2096" s="17" t="s">
        <v>3789</v>
      </c>
      <c r="G2096" s="17" t="s">
        <v>5857</v>
      </c>
      <c r="H2096" t="s">
        <v>7476</v>
      </c>
      <c r="I2096" s="1">
        <v>2</v>
      </c>
      <c r="J2096" s="1">
        <v>2</v>
      </c>
      <c r="K2096" t="s">
        <v>6634</v>
      </c>
      <c r="L2096" s="5">
        <f>VLOOKUP(D:D,[1]Munka2!$A:$B,2,FALSE)</f>
        <v>1</v>
      </c>
      <c r="M2096" s="5">
        <f>_xlfn.IFNA(Táblázat1[[#This Row],[Kész2020]],0)</f>
        <v>1</v>
      </c>
      <c r="N2096" s="5">
        <f>IF(Táblázat1[[#This Row],[Karb./akt.év]]-Táblázat1[[#This Row],[Kész2020_2]]&lt;0,0,Táblázat1[[#This Row],[Karb./akt.év]]-Táblázat1[[#This Row],[Kész2020_2]])</f>
        <v>1</v>
      </c>
    </row>
    <row r="2097" spans="1:14" hidden="1" x14ac:dyDescent="0.25">
      <c r="A2097" s="17" t="s">
        <v>12</v>
      </c>
      <c r="B2097" s="17" t="s">
        <v>1693</v>
      </c>
      <c r="C2097" s="17" t="s">
        <v>1737</v>
      </c>
      <c r="D2097" s="17" t="s">
        <v>3548</v>
      </c>
      <c r="E2097" s="17" t="s">
        <v>3682</v>
      </c>
      <c r="F2097" s="17" t="s">
        <v>3679</v>
      </c>
      <c r="G2097" s="17" t="s">
        <v>6589</v>
      </c>
      <c r="H2097" t="s">
        <v>7476</v>
      </c>
      <c r="I2097" s="1">
        <v>2</v>
      </c>
      <c r="J2097" s="1">
        <v>2</v>
      </c>
      <c r="K2097" t="s">
        <v>6635</v>
      </c>
      <c r="L2097" s="5">
        <f>VLOOKUP(D:D,[1]Munka2!$A:$B,2,FALSE)</f>
        <v>1</v>
      </c>
      <c r="M2097" s="5">
        <f>_xlfn.IFNA(Táblázat1[[#This Row],[Kész2020]],0)</f>
        <v>1</v>
      </c>
      <c r="N2097" s="5">
        <f>IF(Táblázat1[[#This Row],[Karb./akt.év]]-Táblázat1[[#This Row],[Kész2020_2]]&lt;0,0,Táblázat1[[#This Row],[Karb./akt.év]]-Táblázat1[[#This Row],[Kész2020_2]])</f>
        <v>1</v>
      </c>
    </row>
    <row r="2098" spans="1:14" hidden="1" x14ac:dyDescent="0.25">
      <c r="A2098" s="17" t="s">
        <v>12</v>
      </c>
      <c r="B2098" s="17" t="s">
        <v>493</v>
      </c>
      <c r="C2098" s="17" t="s">
        <v>1743</v>
      </c>
      <c r="D2098" s="17" t="s">
        <v>2252</v>
      </c>
      <c r="E2098" s="17" t="s">
        <v>4097</v>
      </c>
      <c r="F2098" s="17" t="s">
        <v>4098</v>
      </c>
      <c r="G2098" s="17" t="s">
        <v>5453</v>
      </c>
      <c r="H2098" t="s">
        <v>7476</v>
      </c>
      <c r="I2098" s="1">
        <v>2</v>
      </c>
      <c r="J2098" s="1">
        <v>2</v>
      </c>
      <c r="K2098" t="s">
        <v>6636</v>
      </c>
      <c r="L2098" s="5">
        <f>VLOOKUP(D:D,[1]Munka2!$A:$B,2,FALSE)</f>
        <v>1</v>
      </c>
      <c r="M2098" s="5">
        <f>_xlfn.IFNA(Táblázat1[[#This Row],[Kész2020]],0)</f>
        <v>1</v>
      </c>
      <c r="N2098" s="5">
        <f>IF(Táblázat1[[#This Row],[Karb./akt.év]]-Táblázat1[[#This Row],[Kész2020_2]]&lt;0,0,Táblázat1[[#This Row],[Karb./akt.év]]-Táblázat1[[#This Row],[Kész2020_2]])</f>
        <v>1</v>
      </c>
    </row>
    <row r="2099" spans="1:14" hidden="1" x14ac:dyDescent="0.25">
      <c r="A2099" s="17" t="s">
        <v>12</v>
      </c>
      <c r="B2099" s="17" t="s">
        <v>746</v>
      </c>
      <c r="C2099" s="17" t="s">
        <v>1743</v>
      </c>
      <c r="D2099" s="17" t="s">
        <v>2522</v>
      </c>
      <c r="E2099" s="17" t="s">
        <v>3736</v>
      </c>
      <c r="F2099" s="17" t="s">
        <v>3737</v>
      </c>
      <c r="G2099" s="17" t="s">
        <v>5691</v>
      </c>
      <c r="H2099" t="s">
        <v>7476</v>
      </c>
      <c r="I2099" s="1">
        <v>2</v>
      </c>
      <c r="J2099" s="1">
        <v>2</v>
      </c>
      <c r="K2099" t="s">
        <v>6638</v>
      </c>
      <c r="L2099" s="5">
        <f>VLOOKUP(D:D,[1]Munka2!$A:$B,2,FALSE)</f>
        <v>1</v>
      </c>
      <c r="M2099" s="5">
        <f>_xlfn.IFNA(Táblázat1[[#This Row],[Kész2020]],0)</f>
        <v>1</v>
      </c>
      <c r="N2099" s="5">
        <f>IF(Táblázat1[[#This Row],[Karb./akt.év]]-Táblázat1[[#This Row],[Kész2020_2]]&lt;0,0,Táblázat1[[#This Row],[Karb./akt.év]]-Táblázat1[[#This Row],[Kész2020_2]])</f>
        <v>1</v>
      </c>
    </row>
    <row r="2100" spans="1:14" hidden="1" x14ac:dyDescent="0.25">
      <c r="A2100" s="17" t="s">
        <v>12</v>
      </c>
      <c r="B2100" s="17" t="s">
        <v>1585</v>
      </c>
      <c r="C2100" s="17" t="s">
        <v>1743</v>
      </c>
      <c r="D2100" s="17" t="s">
        <v>3432</v>
      </c>
      <c r="E2100" s="17" t="s">
        <v>3736</v>
      </c>
      <c r="F2100" s="17" t="s">
        <v>3737</v>
      </c>
      <c r="G2100" s="17" t="s">
        <v>6486</v>
      </c>
      <c r="H2100" t="s">
        <v>7476</v>
      </c>
      <c r="I2100" s="1">
        <v>2</v>
      </c>
      <c r="J2100" s="1">
        <v>2</v>
      </c>
      <c r="K2100" t="s">
        <v>6638</v>
      </c>
      <c r="L2100" s="5">
        <f>VLOOKUP(D:D,[1]Munka2!$A:$B,2,FALSE)</f>
        <v>1</v>
      </c>
      <c r="M2100" s="5">
        <f>_xlfn.IFNA(Táblázat1[[#This Row],[Kész2020]],0)</f>
        <v>1</v>
      </c>
      <c r="N2100" s="5">
        <f>IF(Táblázat1[[#This Row],[Karb./akt.év]]-Táblázat1[[#This Row],[Kész2020_2]]&lt;0,0,Táblázat1[[#This Row],[Karb./akt.év]]-Táblázat1[[#This Row],[Kész2020_2]])</f>
        <v>1</v>
      </c>
    </row>
    <row r="2101" spans="1:14" hidden="1" x14ac:dyDescent="0.25">
      <c r="A2101" s="17" t="s">
        <v>12</v>
      </c>
      <c r="B2101" s="17" t="s">
        <v>488</v>
      </c>
      <c r="C2101" s="17" t="s">
        <v>1736</v>
      </c>
      <c r="D2101" s="17" t="s">
        <v>2248</v>
      </c>
      <c r="E2101" s="17" t="s">
        <v>4071</v>
      </c>
      <c r="F2101" s="17" t="s">
        <v>4072</v>
      </c>
      <c r="G2101" s="17" t="s">
        <v>5449</v>
      </c>
      <c r="H2101" t="s">
        <v>7476</v>
      </c>
      <c r="I2101" s="1">
        <v>2</v>
      </c>
      <c r="J2101" s="1">
        <v>2</v>
      </c>
      <c r="K2101" t="s">
        <v>6642</v>
      </c>
      <c r="L2101" s="5">
        <f>VLOOKUP(D:D,[1]Munka2!$A:$B,2,FALSE)</f>
        <v>1</v>
      </c>
      <c r="M2101" s="5">
        <f>_xlfn.IFNA(Táblázat1[[#This Row],[Kész2020]],0)</f>
        <v>1</v>
      </c>
      <c r="N2101" s="5">
        <f>IF(Táblázat1[[#This Row],[Karb./akt.év]]-Táblázat1[[#This Row],[Kész2020_2]]&lt;0,0,Táblázat1[[#This Row],[Karb./akt.év]]-Táblázat1[[#This Row],[Kész2020_2]])</f>
        <v>1</v>
      </c>
    </row>
    <row r="2102" spans="1:14" hidden="1" x14ac:dyDescent="0.25">
      <c r="A2102" s="17" t="s">
        <v>12</v>
      </c>
      <c r="B2102" s="17" t="s">
        <v>597</v>
      </c>
      <c r="C2102" s="17" t="s">
        <v>1736</v>
      </c>
      <c r="D2102" s="17" t="s">
        <v>2370</v>
      </c>
      <c r="E2102" s="17" t="s">
        <v>4214</v>
      </c>
      <c r="F2102" s="17" t="s">
        <v>3598</v>
      </c>
      <c r="G2102" s="17" t="s">
        <v>5559</v>
      </c>
      <c r="H2102" t="s">
        <v>7476</v>
      </c>
      <c r="I2102" s="1">
        <v>2</v>
      </c>
      <c r="J2102" s="1">
        <v>2</v>
      </c>
      <c r="K2102" t="s">
        <v>7017</v>
      </c>
      <c r="L2102" s="5">
        <f>VLOOKUP(D:D,[1]Munka2!$A:$B,2,FALSE)</f>
        <v>1</v>
      </c>
      <c r="M2102" s="5">
        <f>_xlfn.IFNA(Táblázat1[[#This Row],[Kész2020]],0)</f>
        <v>1</v>
      </c>
      <c r="N2102" s="5">
        <f>IF(Táblázat1[[#This Row],[Karb./akt.év]]-Táblázat1[[#This Row],[Kész2020_2]]&lt;0,0,Táblázat1[[#This Row],[Karb./akt.év]]-Táblázat1[[#This Row],[Kész2020_2]])</f>
        <v>1</v>
      </c>
    </row>
    <row r="2103" spans="1:14" hidden="1" x14ac:dyDescent="0.25">
      <c r="A2103" s="17" t="s">
        <v>12</v>
      </c>
      <c r="B2103" s="17" t="s">
        <v>1591</v>
      </c>
      <c r="C2103" s="17" t="s">
        <v>1743</v>
      </c>
      <c r="D2103" s="17" t="s">
        <v>3438</v>
      </c>
      <c r="E2103" s="17" t="s">
        <v>4071</v>
      </c>
      <c r="F2103" s="17" t="s">
        <v>4072</v>
      </c>
      <c r="G2103" s="17" t="s">
        <v>6491</v>
      </c>
      <c r="H2103" t="s">
        <v>7476</v>
      </c>
      <c r="I2103" s="1">
        <v>2</v>
      </c>
      <c r="J2103" s="1">
        <v>2</v>
      </c>
      <c r="K2103" t="s">
        <v>6642</v>
      </c>
      <c r="L2103" s="5">
        <f>VLOOKUP(D:D,[1]Munka2!$A:$B,2,FALSE)</f>
        <v>1</v>
      </c>
      <c r="M2103" s="5">
        <f>_xlfn.IFNA(Táblázat1[[#This Row],[Kész2020]],0)</f>
        <v>1</v>
      </c>
      <c r="N2103" s="5">
        <f>IF(Táblázat1[[#This Row],[Karb./akt.év]]-Táblázat1[[#This Row],[Kész2020_2]]&lt;0,0,Táblázat1[[#This Row],[Karb./akt.év]]-Táblázat1[[#This Row],[Kész2020_2]])</f>
        <v>1</v>
      </c>
    </row>
    <row r="2104" spans="1:14" hidden="1" x14ac:dyDescent="0.25">
      <c r="A2104" s="17" t="s">
        <v>12</v>
      </c>
      <c r="B2104" s="17" t="s">
        <v>103</v>
      </c>
      <c r="C2104" s="17" t="s">
        <v>1743</v>
      </c>
      <c r="D2104" s="17" t="s">
        <v>1842</v>
      </c>
      <c r="E2104" s="17" t="s">
        <v>3689</v>
      </c>
      <c r="F2104" s="17" t="s">
        <v>3690</v>
      </c>
      <c r="G2104" s="17" t="s">
        <v>5074</v>
      </c>
      <c r="H2104" t="s">
        <v>7476</v>
      </c>
      <c r="I2104" s="1">
        <v>2</v>
      </c>
      <c r="J2104" s="1">
        <v>2</v>
      </c>
      <c r="K2104" t="s">
        <v>6784</v>
      </c>
      <c r="L2104" s="5">
        <f>VLOOKUP(D:D,[1]Munka2!$A:$B,2,FALSE)</f>
        <v>1</v>
      </c>
      <c r="M2104" s="5">
        <f>_xlfn.IFNA(Táblázat1[[#This Row],[Kész2020]],0)</f>
        <v>1</v>
      </c>
      <c r="N2104" s="5">
        <f>IF(Táblázat1[[#This Row],[Karb./akt.év]]-Táblázat1[[#This Row],[Kész2020_2]]&lt;0,0,Táblázat1[[#This Row],[Karb./akt.év]]-Táblázat1[[#This Row],[Kész2020_2]])</f>
        <v>1</v>
      </c>
    </row>
    <row r="2105" spans="1:14" hidden="1" x14ac:dyDescent="0.25">
      <c r="A2105" s="17" t="s">
        <v>12</v>
      </c>
      <c r="B2105" s="17" t="s">
        <v>408</v>
      </c>
      <c r="C2105" s="17" t="s">
        <v>1743</v>
      </c>
      <c r="D2105" s="17" t="s">
        <v>2163</v>
      </c>
      <c r="E2105" s="17" t="s">
        <v>3797</v>
      </c>
      <c r="F2105" s="17" t="s">
        <v>3598</v>
      </c>
      <c r="G2105" s="17" t="s">
        <v>5375</v>
      </c>
      <c r="H2105" t="s">
        <v>7476</v>
      </c>
      <c r="I2105" s="1">
        <v>2</v>
      </c>
      <c r="J2105" s="1">
        <v>2</v>
      </c>
      <c r="K2105" t="s">
        <v>6641</v>
      </c>
      <c r="L2105" s="5">
        <f>VLOOKUP(D:D,[1]Munka2!$A:$B,2,FALSE)</f>
        <v>1</v>
      </c>
      <c r="M2105" s="5">
        <f>_xlfn.IFNA(Táblázat1[[#This Row],[Kész2020]],0)</f>
        <v>1</v>
      </c>
      <c r="N2105" s="5">
        <f>IF(Táblázat1[[#This Row],[Karb./akt.év]]-Táblázat1[[#This Row],[Kész2020_2]]&lt;0,0,Táblázat1[[#This Row],[Karb./akt.év]]-Táblázat1[[#This Row],[Kész2020_2]])</f>
        <v>1</v>
      </c>
    </row>
    <row r="2106" spans="1:14" hidden="1" x14ac:dyDescent="0.25">
      <c r="A2106" s="17" t="s">
        <v>12</v>
      </c>
      <c r="B2106" s="17" t="s">
        <v>546</v>
      </c>
      <c r="C2106" s="17" t="s">
        <v>1736</v>
      </c>
      <c r="D2106" s="17" t="s">
        <v>2311</v>
      </c>
      <c r="E2106" s="17" t="s">
        <v>3761</v>
      </c>
      <c r="F2106" s="17" t="s">
        <v>3762</v>
      </c>
      <c r="G2106" s="17" t="s">
        <v>5504</v>
      </c>
      <c r="H2106" t="s">
        <v>7476</v>
      </c>
      <c r="I2106" s="1">
        <v>2</v>
      </c>
      <c r="J2106" s="1">
        <v>2</v>
      </c>
      <c r="K2106" t="s">
        <v>6633</v>
      </c>
      <c r="L2106" s="5">
        <f>VLOOKUP(D:D,[1]Munka2!$A:$B,2,FALSE)</f>
        <v>1</v>
      </c>
      <c r="M2106" s="5">
        <f>_xlfn.IFNA(Táblázat1[[#This Row],[Kész2020]],0)</f>
        <v>1</v>
      </c>
      <c r="N2106" s="5">
        <f>IF(Táblázat1[[#This Row],[Karb./akt.év]]-Táblázat1[[#This Row],[Kész2020_2]]&lt;0,0,Táblázat1[[#This Row],[Karb./akt.év]]-Táblázat1[[#This Row],[Kész2020_2]])</f>
        <v>1</v>
      </c>
    </row>
    <row r="2107" spans="1:14" hidden="1" x14ac:dyDescent="0.25">
      <c r="A2107" s="17" t="s">
        <v>12</v>
      </c>
      <c r="B2107" s="17" t="s">
        <v>988</v>
      </c>
      <c r="C2107" s="17" t="s">
        <v>1736</v>
      </c>
      <c r="D2107" s="17" t="s">
        <v>2776</v>
      </c>
      <c r="E2107" s="17" t="s">
        <v>3845</v>
      </c>
      <c r="F2107" s="17" t="s">
        <v>3598</v>
      </c>
      <c r="G2107" s="17" t="s">
        <v>5917</v>
      </c>
      <c r="H2107" t="s">
        <v>7476</v>
      </c>
      <c r="I2107" s="1">
        <v>2</v>
      </c>
      <c r="J2107" s="1">
        <v>2</v>
      </c>
      <c r="K2107" t="s">
        <v>7017</v>
      </c>
      <c r="L2107" s="5">
        <f>VLOOKUP(D:D,[1]Munka2!$A:$B,2,FALSE)</f>
        <v>1</v>
      </c>
      <c r="M2107" s="5">
        <f>_xlfn.IFNA(Táblázat1[[#This Row],[Kész2020]],0)</f>
        <v>1</v>
      </c>
      <c r="N2107" s="5">
        <f>IF(Táblázat1[[#This Row],[Karb./akt.év]]-Táblázat1[[#This Row],[Kész2020_2]]&lt;0,0,Táblázat1[[#This Row],[Karb./akt.év]]-Táblázat1[[#This Row],[Kész2020_2]])</f>
        <v>1</v>
      </c>
    </row>
    <row r="2108" spans="1:14" hidden="1" x14ac:dyDescent="0.25">
      <c r="A2108" s="17" t="s">
        <v>12</v>
      </c>
      <c r="B2108" s="17" t="s">
        <v>1079</v>
      </c>
      <c r="C2108" s="17" t="s">
        <v>1736</v>
      </c>
      <c r="D2108" s="17" t="s">
        <v>2870</v>
      </c>
      <c r="E2108" s="17" t="s">
        <v>3792</v>
      </c>
      <c r="F2108" s="17" t="s">
        <v>3793</v>
      </c>
      <c r="G2108" s="17" t="s">
        <v>6007</v>
      </c>
      <c r="H2108" t="s">
        <v>7476</v>
      </c>
      <c r="I2108" s="1">
        <v>2</v>
      </c>
      <c r="J2108" s="1">
        <v>2</v>
      </c>
      <c r="K2108" t="s">
        <v>6639</v>
      </c>
      <c r="L2108" s="5">
        <f>VLOOKUP(D:D,[1]Munka2!$A:$B,2,FALSE)</f>
        <v>1</v>
      </c>
      <c r="M2108" s="5">
        <f>_xlfn.IFNA(Táblázat1[[#This Row],[Kész2020]],0)</f>
        <v>1</v>
      </c>
      <c r="N2108" s="5">
        <f>IF(Táblázat1[[#This Row],[Karb./akt.év]]-Táblázat1[[#This Row],[Kész2020_2]]&lt;0,0,Táblázat1[[#This Row],[Karb./akt.év]]-Táblázat1[[#This Row],[Kész2020_2]])</f>
        <v>1</v>
      </c>
    </row>
    <row r="2109" spans="1:14" hidden="1" x14ac:dyDescent="0.25">
      <c r="A2109" s="17" t="s">
        <v>12</v>
      </c>
      <c r="B2109" s="17" t="s">
        <v>1078</v>
      </c>
      <c r="C2109" s="17" t="s">
        <v>1743</v>
      </c>
      <c r="D2109" s="17" t="s">
        <v>2869</v>
      </c>
      <c r="E2109" s="17" t="s">
        <v>3792</v>
      </c>
      <c r="F2109" s="17" t="s">
        <v>3793</v>
      </c>
      <c r="G2109" s="17" t="s">
        <v>6007</v>
      </c>
      <c r="H2109" t="s">
        <v>7476</v>
      </c>
      <c r="I2109" s="1">
        <v>2</v>
      </c>
      <c r="J2109" s="1">
        <v>2</v>
      </c>
      <c r="K2109" t="s">
        <v>6639</v>
      </c>
      <c r="L2109" s="5">
        <f>VLOOKUP(D:D,[1]Munka2!$A:$B,2,FALSE)</f>
        <v>1</v>
      </c>
      <c r="M2109" s="5">
        <f>_xlfn.IFNA(Táblázat1[[#This Row],[Kész2020]],0)</f>
        <v>1</v>
      </c>
      <c r="N2109" s="5">
        <f>IF(Táblázat1[[#This Row],[Karb./akt.év]]-Táblázat1[[#This Row],[Kész2020_2]]&lt;0,0,Táblázat1[[#This Row],[Karb./akt.év]]-Táblázat1[[#This Row],[Kész2020_2]])</f>
        <v>1</v>
      </c>
    </row>
    <row r="2110" spans="1:14" hidden="1" x14ac:dyDescent="0.25">
      <c r="A2110" s="17" t="s">
        <v>12</v>
      </c>
      <c r="B2110" s="17" t="s">
        <v>1649</v>
      </c>
      <c r="C2110" s="17" t="s">
        <v>1737</v>
      </c>
      <c r="D2110" s="17" t="s">
        <v>3505</v>
      </c>
      <c r="E2110" s="17" t="s">
        <v>3811</v>
      </c>
      <c r="F2110" s="17" t="s">
        <v>3812</v>
      </c>
      <c r="G2110" s="17" t="s">
        <v>6544</v>
      </c>
      <c r="H2110" t="s">
        <v>7476</v>
      </c>
      <c r="I2110" s="1">
        <v>2</v>
      </c>
      <c r="J2110" s="1">
        <v>2</v>
      </c>
      <c r="K2110" t="s">
        <v>6637</v>
      </c>
      <c r="L2110" s="5">
        <f>VLOOKUP(D:D,[1]Munka2!$A:$B,2,FALSE)</f>
        <v>1</v>
      </c>
      <c r="M2110" s="5">
        <f>_xlfn.IFNA(Táblázat1[[#This Row],[Kész2020]],0)</f>
        <v>1</v>
      </c>
      <c r="N2110" s="5">
        <f>IF(Táblázat1[[#This Row],[Karb./akt.év]]-Táblázat1[[#This Row],[Kész2020_2]]&lt;0,0,Táblázat1[[#This Row],[Karb./akt.év]]-Táblázat1[[#This Row],[Kész2020_2]])</f>
        <v>1</v>
      </c>
    </row>
    <row r="2111" spans="1:14" hidden="1" x14ac:dyDescent="0.25">
      <c r="A2111" s="17" t="s">
        <v>12</v>
      </c>
      <c r="B2111" s="17" t="s">
        <v>1204</v>
      </c>
      <c r="C2111" s="17" t="s">
        <v>1743</v>
      </c>
      <c r="D2111" s="17" t="s">
        <v>3010</v>
      </c>
      <c r="E2111" s="17" t="s">
        <v>3951</v>
      </c>
      <c r="F2111" s="17" t="s">
        <v>3952</v>
      </c>
      <c r="G2111" s="17" t="s">
        <v>6133</v>
      </c>
      <c r="H2111" t="s">
        <v>7476</v>
      </c>
      <c r="I2111" s="1">
        <v>2</v>
      </c>
      <c r="J2111" s="1">
        <v>2</v>
      </c>
      <c r="K2111" t="s">
        <v>6641</v>
      </c>
      <c r="L2111" s="5">
        <f>VLOOKUP(D:D,[1]Munka2!$A:$B,2,FALSE)</f>
        <v>1</v>
      </c>
      <c r="M2111" s="5">
        <f>_xlfn.IFNA(Táblázat1[[#This Row],[Kész2020]],0)</f>
        <v>1</v>
      </c>
      <c r="N2111" s="5">
        <f>IF(Táblázat1[[#This Row],[Karb./akt.év]]-Táblázat1[[#This Row],[Kész2020_2]]&lt;0,0,Táblázat1[[#This Row],[Karb./akt.év]]-Táblázat1[[#This Row],[Kész2020_2]])</f>
        <v>1</v>
      </c>
    </row>
    <row r="2112" spans="1:14" hidden="1" x14ac:dyDescent="0.25">
      <c r="A2112" s="17" t="s">
        <v>12</v>
      </c>
      <c r="B2112" s="17" t="s">
        <v>573</v>
      </c>
      <c r="C2112" s="17" t="s">
        <v>1736</v>
      </c>
      <c r="D2112" s="17" t="s">
        <v>2346</v>
      </c>
      <c r="E2112" s="17" t="s">
        <v>4200</v>
      </c>
      <c r="F2112" s="17" t="s">
        <v>3598</v>
      </c>
      <c r="G2112" s="17" t="s">
        <v>5538</v>
      </c>
      <c r="H2112" t="s">
        <v>7476</v>
      </c>
      <c r="I2112" s="1">
        <v>2</v>
      </c>
      <c r="J2112" s="1">
        <v>2</v>
      </c>
      <c r="K2112" t="s">
        <v>6785</v>
      </c>
      <c r="L2112" s="5">
        <f>VLOOKUP(D:D,[1]Munka2!$A:$B,2,FALSE)</f>
        <v>1</v>
      </c>
      <c r="M2112" s="5">
        <f>_xlfn.IFNA(Táblázat1[[#This Row],[Kész2020]],0)</f>
        <v>1</v>
      </c>
      <c r="N2112" s="5">
        <f>IF(Táblázat1[[#This Row],[Karb./akt.év]]-Táblázat1[[#This Row],[Kész2020_2]]&lt;0,0,Táblázat1[[#This Row],[Karb./akt.év]]-Táblázat1[[#This Row],[Kész2020_2]])</f>
        <v>1</v>
      </c>
    </row>
    <row r="2113" spans="1:14" hidden="1" x14ac:dyDescent="0.25">
      <c r="A2113" s="17" t="s">
        <v>12</v>
      </c>
      <c r="B2113" s="17" t="s">
        <v>572</v>
      </c>
      <c r="C2113" s="17" t="s">
        <v>1743</v>
      </c>
      <c r="D2113" s="17" t="s">
        <v>2345</v>
      </c>
      <c r="E2113" s="17" t="s">
        <v>4200</v>
      </c>
      <c r="F2113" s="17" t="s">
        <v>3598</v>
      </c>
      <c r="G2113" s="17" t="s">
        <v>5537</v>
      </c>
      <c r="H2113" t="s">
        <v>7476</v>
      </c>
      <c r="I2113" s="1">
        <v>2</v>
      </c>
      <c r="J2113" s="1">
        <v>2</v>
      </c>
      <c r="K2113" t="s">
        <v>6785</v>
      </c>
      <c r="L2113" s="5">
        <f>VLOOKUP(D:D,[1]Munka2!$A:$B,2,FALSE)</f>
        <v>1</v>
      </c>
      <c r="M2113" s="5">
        <f>_xlfn.IFNA(Táblázat1[[#This Row],[Kész2020]],0)</f>
        <v>1</v>
      </c>
      <c r="N2113" s="5">
        <f>IF(Táblázat1[[#This Row],[Karb./akt.év]]-Táblázat1[[#This Row],[Kész2020_2]]&lt;0,0,Táblázat1[[#This Row],[Karb./akt.év]]-Táblázat1[[#This Row],[Kész2020_2]])</f>
        <v>1</v>
      </c>
    </row>
    <row r="2114" spans="1:14" hidden="1" x14ac:dyDescent="0.25">
      <c r="A2114" s="17" t="s">
        <v>12</v>
      </c>
      <c r="B2114" s="17" t="s">
        <v>402</v>
      </c>
      <c r="C2114" s="17" t="s">
        <v>1735</v>
      </c>
      <c r="D2114" s="17" t="s">
        <v>2157</v>
      </c>
      <c r="E2114" s="17" t="s">
        <v>3842</v>
      </c>
      <c r="F2114" s="17" t="s">
        <v>3843</v>
      </c>
      <c r="G2114" s="17" t="s">
        <v>5369</v>
      </c>
      <c r="H2114" t="s">
        <v>7476</v>
      </c>
      <c r="I2114" s="1">
        <v>2</v>
      </c>
      <c r="J2114" s="1">
        <v>2</v>
      </c>
      <c r="K2114" t="s">
        <v>6633</v>
      </c>
      <c r="L2114" s="5">
        <f>VLOOKUP(D:D,[1]Munka2!$A:$B,2,FALSE)</f>
        <v>1</v>
      </c>
      <c r="M2114" s="5">
        <f>_xlfn.IFNA(Táblázat1[[#This Row],[Kész2020]],0)</f>
        <v>1</v>
      </c>
      <c r="N2114" s="5">
        <f>IF(Táblázat1[[#This Row],[Karb./akt.év]]-Táblázat1[[#This Row],[Kész2020_2]]&lt;0,0,Táblázat1[[#This Row],[Karb./akt.év]]-Táblázat1[[#This Row],[Kész2020_2]])</f>
        <v>1</v>
      </c>
    </row>
    <row r="2115" spans="1:14" hidden="1" x14ac:dyDescent="0.25">
      <c r="A2115" s="17" t="s">
        <v>12</v>
      </c>
      <c r="B2115" s="17" t="s">
        <v>829</v>
      </c>
      <c r="C2115" s="17" t="s">
        <v>1736</v>
      </c>
      <c r="D2115" s="17" t="s">
        <v>2607</v>
      </c>
      <c r="E2115" s="17" t="s">
        <v>3775</v>
      </c>
      <c r="F2115" s="17" t="s">
        <v>3776</v>
      </c>
      <c r="G2115" s="17" t="s">
        <v>5769</v>
      </c>
      <c r="H2115" t="s">
        <v>7476</v>
      </c>
      <c r="I2115" s="1">
        <v>2</v>
      </c>
      <c r="J2115" s="1">
        <v>2</v>
      </c>
      <c r="K2115" t="s">
        <v>6634</v>
      </c>
      <c r="L2115" s="5">
        <f>VLOOKUP(D:D,[1]Munka2!$A:$B,2,FALSE)</f>
        <v>1</v>
      </c>
      <c r="M2115" s="5">
        <f>_xlfn.IFNA(Táblázat1[[#This Row],[Kész2020]],0)</f>
        <v>1</v>
      </c>
      <c r="N2115" s="5">
        <f>IF(Táblázat1[[#This Row],[Karb./akt.év]]-Táblázat1[[#This Row],[Kész2020_2]]&lt;0,0,Táblázat1[[#This Row],[Karb./akt.év]]-Táblázat1[[#This Row],[Kész2020_2]])</f>
        <v>1</v>
      </c>
    </row>
    <row r="2116" spans="1:14" x14ac:dyDescent="0.25">
      <c r="A2116" s="17" t="s">
        <v>12</v>
      </c>
      <c r="B2116" s="17" t="s">
        <v>495</v>
      </c>
      <c r="C2116" s="17" t="s">
        <v>1736</v>
      </c>
      <c r="D2116" s="17" t="s">
        <v>2254</v>
      </c>
      <c r="E2116" s="17" t="s">
        <v>3890</v>
      </c>
      <c r="F2116" s="17" t="s">
        <v>3891</v>
      </c>
      <c r="G2116" s="17" t="s">
        <v>5454</v>
      </c>
      <c r="H2116" t="s">
        <v>7476</v>
      </c>
      <c r="I2116" s="1">
        <v>2</v>
      </c>
      <c r="J2116" s="1">
        <v>2</v>
      </c>
      <c r="K2116" t="s">
        <v>8103</v>
      </c>
      <c r="L2116" s="5" t="e">
        <f>VLOOKUP(D:D,[1]Munka2!$A:$B,2,FALSE)</f>
        <v>#N/A</v>
      </c>
      <c r="M2116" s="5">
        <f>_xlfn.IFNA(Táblázat1[[#This Row],[Kész2020]],0)</f>
        <v>0</v>
      </c>
      <c r="N2116" s="5">
        <f>IF(Táblázat1[[#This Row],[Karb./akt.év]]-Táblázat1[[#This Row],[Kész2020_2]]&lt;0,0,Táblázat1[[#This Row],[Karb./akt.év]]-Táblázat1[[#This Row],[Kész2020_2]])</f>
        <v>2</v>
      </c>
    </row>
    <row r="2117" spans="1:14" hidden="1" x14ac:dyDescent="0.25">
      <c r="A2117" s="17" t="s">
        <v>12</v>
      </c>
      <c r="B2117" s="17" t="s">
        <v>632</v>
      </c>
      <c r="C2117" s="17" t="s">
        <v>1736</v>
      </c>
      <c r="D2117" s="17" t="s">
        <v>2407</v>
      </c>
      <c r="E2117" s="17" t="s">
        <v>3661</v>
      </c>
      <c r="F2117" s="17" t="s">
        <v>3662</v>
      </c>
      <c r="G2117" s="17" t="s">
        <v>5591</v>
      </c>
      <c r="H2117" t="s">
        <v>7476</v>
      </c>
      <c r="I2117" s="1">
        <v>2</v>
      </c>
      <c r="J2117" s="1">
        <v>2</v>
      </c>
      <c r="K2117" t="s">
        <v>6637</v>
      </c>
      <c r="L2117" s="5">
        <f>VLOOKUP(D:D,[1]Munka2!$A:$B,2,FALSE)</f>
        <v>1</v>
      </c>
      <c r="M2117" s="5">
        <f>_xlfn.IFNA(Táblázat1[[#This Row],[Kész2020]],0)</f>
        <v>1</v>
      </c>
      <c r="N2117" s="5">
        <f>IF(Táblázat1[[#This Row],[Karb./akt.év]]-Táblázat1[[#This Row],[Kész2020_2]]&lt;0,0,Táblázat1[[#This Row],[Karb./akt.év]]-Táblázat1[[#This Row],[Kész2020_2]])</f>
        <v>1</v>
      </c>
    </row>
    <row r="2118" spans="1:14" hidden="1" x14ac:dyDescent="0.25">
      <c r="A2118" s="17" t="s">
        <v>12</v>
      </c>
      <c r="B2118" s="17" t="s">
        <v>833</v>
      </c>
      <c r="C2118" s="17" t="s">
        <v>1736</v>
      </c>
      <c r="D2118" s="17" t="s">
        <v>2610</v>
      </c>
      <c r="E2118" s="17" t="s">
        <v>3659</v>
      </c>
      <c r="F2118" s="17" t="s">
        <v>3660</v>
      </c>
      <c r="G2118" s="17" t="s">
        <v>5773</v>
      </c>
      <c r="H2118" t="s">
        <v>7476</v>
      </c>
      <c r="I2118" s="1">
        <v>2</v>
      </c>
      <c r="J2118" s="1">
        <v>2</v>
      </c>
      <c r="K2118" t="s">
        <v>7354</v>
      </c>
      <c r="L2118" s="5">
        <f>VLOOKUP(D:D,[1]Munka2!$A:$B,2,FALSE)</f>
        <v>1</v>
      </c>
      <c r="M2118" s="5">
        <f>_xlfn.IFNA(Táblázat1[[#This Row],[Kész2020]],0)</f>
        <v>1</v>
      </c>
      <c r="N2118" s="5">
        <f>IF(Táblázat1[[#This Row],[Karb./akt.év]]-Táblázat1[[#This Row],[Kész2020_2]]&lt;0,0,Táblázat1[[#This Row],[Karb./akt.év]]-Táblázat1[[#This Row],[Kész2020_2]])</f>
        <v>1</v>
      </c>
    </row>
    <row r="2119" spans="1:14" hidden="1" x14ac:dyDescent="0.25">
      <c r="A2119" s="17" t="s">
        <v>12</v>
      </c>
      <c r="B2119" s="17" t="s">
        <v>713</v>
      </c>
      <c r="C2119" s="17" t="s">
        <v>1743</v>
      </c>
      <c r="D2119" s="17" t="s">
        <v>2490</v>
      </c>
      <c r="E2119" s="17" t="s">
        <v>4313</v>
      </c>
      <c r="F2119" s="17" t="s">
        <v>4314</v>
      </c>
      <c r="G2119" s="17" t="s">
        <v>5666</v>
      </c>
      <c r="H2119" t="s">
        <v>7476</v>
      </c>
      <c r="I2119" s="1">
        <v>2</v>
      </c>
      <c r="J2119" s="1">
        <v>2</v>
      </c>
      <c r="K2119" t="s">
        <v>6785</v>
      </c>
      <c r="L2119" s="5">
        <f>VLOOKUP(D:D,[1]Munka2!$A:$B,2,FALSE)</f>
        <v>1</v>
      </c>
      <c r="M2119" s="5">
        <f>_xlfn.IFNA(Táblázat1[[#This Row],[Kész2020]],0)</f>
        <v>1</v>
      </c>
      <c r="N2119" s="5">
        <f>IF(Táblázat1[[#This Row],[Karb./akt.év]]-Táblázat1[[#This Row],[Kész2020_2]]&lt;0,0,Táblázat1[[#This Row],[Karb./akt.év]]-Táblázat1[[#This Row],[Kész2020_2]])</f>
        <v>1</v>
      </c>
    </row>
    <row r="2120" spans="1:14" x14ac:dyDescent="0.25">
      <c r="A2120" s="17" t="s">
        <v>12</v>
      </c>
      <c r="B2120" s="17" t="s">
        <v>1464</v>
      </c>
      <c r="C2120" s="17" t="s">
        <v>1742</v>
      </c>
      <c r="D2120" s="17" t="s">
        <v>3297</v>
      </c>
      <c r="E2120" s="17" t="s">
        <v>4899</v>
      </c>
      <c r="F2120" s="17" t="s">
        <v>3598</v>
      </c>
      <c r="G2120" s="17" t="s">
        <v>6372</v>
      </c>
      <c r="H2120" t="s">
        <v>7476</v>
      </c>
      <c r="I2120" s="1">
        <v>2</v>
      </c>
      <c r="J2120" s="1">
        <v>2</v>
      </c>
      <c r="K2120" t="s">
        <v>6633</v>
      </c>
      <c r="L2120" s="5" t="e">
        <f>VLOOKUP(D:D,[1]Munka2!$A:$B,2,FALSE)</f>
        <v>#N/A</v>
      </c>
      <c r="M2120" s="5">
        <f>_xlfn.IFNA(Táblázat1[[#This Row],[Kész2020]],0)</f>
        <v>0</v>
      </c>
      <c r="N2120" s="5">
        <f>IF(Táblázat1[[#This Row],[Karb./akt.év]]-Táblázat1[[#This Row],[Kész2020_2]]&lt;0,0,Táblázat1[[#This Row],[Karb./akt.év]]-Táblázat1[[#This Row],[Kész2020_2]])</f>
        <v>2</v>
      </c>
    </row>
    <row r="2121" spans="1:14" hidden="1" x14ac:dyDescent="0.25">
      <c r="A2121" s="17" t="s">
        <v>12</v>
      </c>
      <c r="B2121" s="17" t="s">
        <v>1513</v>
      </c>
      <c r="C2121" s="17" t="s">
        <v>1743</v>
      </c>
      <c r="D2121" s="17" t="s">
        <v>3354</v>
      </c>
      <c r="E2121" s="17" t="s">
        <v>4308</v>
      </c>
      <c r="F2121" s="17" t="s">
        <v>3664</v>
      </c>
      <c r="G2121" s="17" t="s">
        <v>6419</v>
      </c>
      <c r="H2121" t="s">
        <v>7476</v>
      </c>
      <c r="I2121" s="1">
        <v>2</v>
      </c>
      <c r="J2121" s="1">
        <v>2</v>
      </c>
      <c r="K2121" t="s">
        <v>6638</v>
      </c>
      <c r="L2121" s="5">
        <f>VLOOKUP(D:D,[1]Munka2!$A:$B,2,FALSE)</f>
        <v>1</v>
      </c>
      <c r="M2121" s="5">
        <f>_xlfn.IFNA(Táblázat1[[#This Row],[Kész2020]],0)</f>
        <v>1</v>
      </c>
      <c r="N2121" s="5">
        <f>IF(Táblázat1[[#This Row],[Karb./akt.év]]-Táblázat1[[#This Row],[Kész2020_2]]&lt;0,0,Táblázat1[[#This Row],[Karb./akt.év]]-Táblázat1[[#This Row],[Kész2020_2]])</f>
        <v>1</v>
      </c>
    </row>
    <row r="2122" spans="1:14" hidden="1" x14ac:dyDescent="0.25">
      <c r="A2122" s="17" t="s">
        <v>12</v>
      </c>
      <c r="B2122" s="17" t="s">
        <v>44</v>
      </c>
      <c r="C2122" s="17" t="s">
        <v>1743</v>
      </c>
      <c r="D2122" s="17" t="s">
        <v>1782</v>
      </c>
      <c r="E2122" s="17" t="s">
        <v>3619</v>
      </c>
      <c r="F2122" s="17" t="s">
        <v>3620</v>
      </c>
      <c r="G2122" s="17" t="s">
        <v>5020</v>
      </c>
      <c r="H2122" t="s">
        <v>7476</v>
      </c>
      <c r="I2122" s="1">
        <v>2</v>
      </c>
      <c r="J2122" s="1">
        <v>2</v>
      </c>
      <c r="K2122" t="s">
        <v>6642</v>
      </c>
      <c r="L2122" s="5">
        <f>VLOOKUP(D:D,[1]Munka2!$A:$B,2,FALSE)</f>
        <v>1</v>
      </c>
      <c r="M2122" s="5">
        <f>_xlfn.IFNA(Táblázat1[[#This Row],[Kész2020]],0)</f>
        <v>1</v>
      </c>
      <c r="N2122" s="5">
        <f>IF(Táblázat1[[#This Row],[Karb./akt.év]]-Táblázat1[[#This Row],[Kész2020_2]]&lt;0,0,Táblázat1[[#This Row],[Karb./akt.év]]-Táblázat1[[#This Row],[Kész2020_2]])</f>
        <v>1</v>
      </c>
    </row>
    <row r="2123" spans="1:14" hidden="1" x14ac:dyDescent="0.25">
      <c r="A2123" s="17" t="s">
        <v>12</v>
      </c>
      <c r="B2123" s="17" t="s">
        <v>722</v>
      </c>
      <c r="C2123" s="17" t="s">
        <v>1743</v>
      </c>
      <c r="D2123" s="17" t="s">
        <v>2499</v>
      </c>
      <c r="E2123" s="17" t="s">
        <v>4187</v>
      </c>
      <c r="F2123" s="17" t="s">
        <v>4188</v>
      </c>
      <c r="G2123" s="17" t="s">
        <v>5673</v>
      </c>
      <c r="H2123" t="s">
        <v>7476</v>
      </c>
      <c r="I2123" s="1">
        <v>2</v>
      </c>
      <c r="J2123" s="1">
        <v>2</v>
      </c>
      <c r="K2123" t="s">
        <v>6785</v>
      </c>
      <c r="L2123" s="5">
        <f>VLOOKUP(D:D,[1]Munka2!$A:$B,2,FALSE)</f>
        <v>1</v>
      </c>
      <c r="M2123" s="5">
        <f>_xlfn.IFNA(Táblázat1[[#This Row],[Kész2020]],0)</f>
        <v>1</v>
      </c>
      <c r="N2123" s="5">
        <f>IF(Táblázat1[[#This Row],[Karb./akt.év]]-Táblázat1[[#This Row],[Kész2020_2]]&lt;0,0,Táblázat1[[#This Row],[Karb./akt.év]]-Táblázat1[[#This Row],[Kész2020_2]])</f>
        <v>1</v>
      </c>
    </row>
    <row r="2124" spans="1:14" hidden="1" x14ac:dyDescent="0.25">
      <c r="A2124" s="17" t="s">
        <v>12</v>
      </c>
      <c r="B2124" s="17" t="s">
        <v>772</v>
      </c>
      <c r="C2124" s="17" t="s">
        <v>1736</v>
      </c>
      <c r="D2124" s="17" t="s">
        <v>2548</v>
      </c>
      <c r="E2124" s="17" t="s">
        <v>4065</v>
      </c>
      <c r="F2124" s="17" t="s">
        <v>3681</v>
      </c>
      <c r="G2124" s="17" t="s">
        <v>5716</v>
      </c>
      <c r="H2124" t="s">
        <v>7476</v>
      </c>
      <c r="I2124" s="1">
        <v>2</v>
      </c>
      <c r="J2124" s="1">
        <v>2</v>
      </c>
      <c r="K2124" t="s">
        <v>6637</v>
      </c>
      <c r="L2124" s="5">
        <f>VLOOKUP(D:D,[1]Munka2!$A:$B,2,FALSE)</f>
        <v>1</v>
      </c>
      <c r="M2124" s="5">
        <f>_xlfn.IFNA(Táblázat1[[#This Row],[Kész2020]],0)</f>
        <v>1</v>
      </c>
      <c r="N2124" s="5">
        <f>IF(Táblázat1[[#This Row],[Karb./akt.év]]-Táblázat1[[#This Row],[Kész2020_2]]&lt;0,0,Táblázat1[[#This Row],[Karb./akt.év]]-Táblázat1[[#This Row],[Kész2020_2]])</f>
        <v>1</v>
      </c>
    </row>
    <row r="2125" spans="1:14" hidden="1" x14ac:dyDescent="0.25">
      <c r="A2125" s="17" t="s">
        <v>12</v>
      </c>
      <c r="B2125" s="17" t="s">
        <v>1605</v>
      </c>
      <c r="C2125" s="17" t="s">
        <v>1735</v>
      </c>
      <c r="D2125" s="17" t="s">
        <v>3455</v>
      </c>
      <c r="E2125" s="17" t="s">
        <v>3829</v>
      </c>
      <c r="F2125" s="17" t="s">
        <v>3830</v>
      </c>
      <c r="G2125" s="17" t="s">
        <v>6507</v>
      </c>
      <c r="H2125" t="s">
        <v>7476</v>
      </c>
      <c r="I2125" s="1">
        <v>2</v>
      </c>
      <c r="J2125" s="1">
        <v>2</v>
      </c>
      <c r="K2125" t="s">
        <v>6635</v>
      </c>
      <c r="L2125" s="5">
        <f>VLOOKUP(D:D,[1]Munka2!$A:$B,2,FALSE)</f>
        <v>1</v>
      </c>
      <c r="M2125" s="5">
        <f>_xlfn.IFNA(Táblázat1[[#This Row],[Kész2020]],0)</f>
        <v>1</v>
      </c>
      <c r="N2125" s="5">
        <f>IF(Táblázat1[[#This Row],[Karb./akt.év]]-Táblázat1[[#This Row],[Kész2020_2]]&lt;0,0,Táblázat1[[#This Row],[Karb./akt.év]]-Táblázat1[[#This Row],[Kész2020_2]])</f>
        <v>1</v>
      </c>
    </row>
    <row r="2126" spans="1:14" hidden="1" x14ac:dyDescent="0.25">
      <c r="A2126" s="17" t="s">
        <v>12</v>
      </c>
      <c r="B2126" s="17" t="s">
        <v>220</v>
      </c>
      <c r="C2126" s="17" t="s">
        <v>1743</v>
      </c>
      <c r="D2126" s="17" t="s">
        <v>1963</v>
      </c>
      <c r="E2126" s="17" t="s">
        <v>3829</v>
      </c>
      <c r="F2126" s="17" t="s">
        <v>3830</v>
      </c>
      <c r="G2126" s="17" t="s">
        <v>5188</v>
      </c>
      <c r="H2126" t="s">
        <v>7476</v>
      </c>
      <c r="I2126" s="1">
        <v>2</v>
      </c>
      <c r="J2126" s="1">
        <v>2</v>
      </c>
      <c r="K2126" t="s">
        <v>6635</v>
      </c>
      <c r="L2126" s="5">
        <f>VLOOKUP(D:D,[1]Munka2!$A:$B,2,FALSE)</f>
        <v>1</v>
      </c>
      <c r="M2126" s="5">
        <f>_xlfn.IFNA(Táblázat1[[#This Row],[Kész2020]],0)</f>
        <v>1</v>
      </c>
      <c r="N2126" s="5">
        <f>IF(Táblázat1[[#This Row],[Karb./akt.év]]-Táblázat1[[#This Row],[Kész2020_2]]&lt;0,0,Táblázat1[[#This Row],[Karb./akt.év]]-Táblázat1[[#This Row],[Kész2020_2]])</f>
        <v>1</v>
      </c>
    </row>
    <row r="2127" spans="1:14" x14ac:dyDescent="0.25">
      <c r="A2127" s="17" t="s">
        <v>12</v>
      </c>
      <c r="B2127" s="17" t="s">
        <v>1578</v>
      </c>
      <c r="C2127" s="17" t="s">
        <v>1743</v>
      </c>
      <c r="D2127" s="17" t="s">
        <v>3425</v>
      </c>
      <c r="E2127" s="17" t="s">
        <v>4955</v>
      </c>
      <c r="F2127" s="17" t="s">
        <v>3742</v>
      </c>
      <c r="G2127" s="17" t="s">
        <v>6480</v>
      </c>
      <c r="H2127" t="s">
        <v>7476</v>
      </c>
      <c r="I2127" s="1">
        <v>2</v>
      </c>
      <c r="J2127" s="1">
        <v>2</v>
      </c>
      <c r="K2127" t="s">
        <v>7354</v>
      </c>
      <c r="L2127" s="5" t="e">
        <f>VLOOKUP(D:D,[1]Munka2!$A:$B,2,FALSE)</f>
        <v>#N/A</v>
      </c>
      <c r="M2127" s="5">
        <f>_xlfn.IFNA(Táblázat1[[#This Row],[Kész2020]],0)</f>
        <v>0</v>
      </c>
      <c r="N2127" s="5">
        <f>IF(Táblázat1[[#This Row],[Karb./akt.év]]-Táblázat1[[#This Row],[Kész2020_2]]&lt;0,0,Táblázat1[[#This Row],[Karb./akt.év]]-Táblázat1[[#This Row],[Kész2020_2]])</f>
        <v>2</v>
      </c>
    </row>
    <row r="2128" spans="1:14" hidden="1" x14ac:dyDescent="0.25">
      <c r="A2128" s="17" t="s">
        <v>12</v>
      </c>
      <c r="B2128" s="17" t="s">
        <v>1005</v>
      </c>
      <c r="C2128" s="17" t="s">
        <v>1742</v>
      </c>
      <c r="D2128" s="17" t="s">
        <v>2795</v>
      </c>
      <c r="E2128" s="17" t="s">
        <v>4574</v>
      </c>
      <c r="F2128" s="17" t="s">
        <v>3681</v>
      </c>
      <c r="G2128" s="17" t="s">
        <v>5935</v>
      </c>
      <c r="H2128" t="s">
        <v>7476</v>
      </c>
      <c r="I2128" s="1">
        <v>2</v>
      </c>
      <c r="J2128" s="1">
        <v>2</v>
      </c>
      <c r="K2128" t="s">
        <v>6637</v>
      </c>
      <c r="L2128" s="5">
        <f>VLOOKUP(D:D,[1]Munka2!$A:$B,2,FALSE)</f>
        <v>1</v>
      </c>
      <c r="M2128" s="5">
        <f>_xlfn.IFNA(Táblázat1[[#This Row],[Kész2020]],0)</f>
        <v>1</v>
      </c>
      <c r="N2128" s="5">
        <f>IF(Táblázat1[[#This Row],[Karb./akt.év]]-Táblázat1[[#This Row],[Kész2020_2]]&lt;0,0,Táblázat1[[#This Row],[Karb./akt.év]]-Táblázat1[[#This Row],[Kész2020_2]])</f>
        <v>1</v>
      </c>
    </row>
    <row r="2129" spans="1:14" hidden="1" x14ac:dyDescent="0.25">
      <c r="A2129" s="17" t="s">
        <v>12</v>
      </c>
      <c r="B2129" s="17" t="s">
        <v>881</v>
      </c>
      <c r="C2129" s="17" t="s">
        <v>1735</v>
      </c>
      <c r="D2129" s="17" t="s">
        <v>2664</v>
      </c>
      <c r="E2129" s="17" t="s">
        <v>3741</v>
      </c>
      <c r="F2129" s="17" t="s">
        <v>3742</v>
      </c>
      <c r="G2129" s="17" t="s">
        <v>5815</v>
      </c>
      <c r="H2129" t="s">
        <v>7476</v>
      </c>
      <c r="I2129" s="1">
        <v>2</v>
      </c>
      <c r="J2129" s="1">
        <v>2</v>
      </c>
      <c r="K2129" t="s">
        <v>7354</v>
      </c>
      <c r="L2129" s="5">
        <f>VLOOKUP(D:D,[1]Munka2!$A:$B,2,FALSE)</f>
        <v>1</v>
      </c>
      <c r="M2129" s="5">
        <f>_xlfn.IFNA(Táblázat1[[#This Row],[Kész2020]],0)</f>
        <v>1</v>
      </c>
      <c r="N2129" s="5">
        <f>IF(Táblázat1[[#This Row],[Karb./akt.év]]-Táblázat1[[#This Row],[Kész2020_2]]&lt;0,0,Táblázat1[[#This Row],[Karb./akt.év]]-Táblázat1[[#This Row],[Kész2020_2]])</f>
        <v>1</v>
      </c>
    </row>
    <row r="2130" spans="1:14" hidden="1" x14ac:dyDescent="0.25">
      <c r="A2130" s="17" t="s">
        <v>12</v>
      </c>
      <c r="B2130" s="17" t="s">
        <v>436</v>
      </c>
      <c r="C2130" s="17" t="s">
        <v>1735</v>
      </c>
      <c r="D2130" s="17" t="s">
        <v>2193</v>
      </c>
      <c r="E2130" s="17" t="s">
        <v>3836</v>
      </c>
      <c r="F2130" s="17" t="s">
        <v>3837</v>
      </c>
      <c r="G2130" s="17" t="s">
        <v>5402</v>
      </c>
      <c r="H2130" t="s">
        <v>7476</v>
      </c>
      <c r="I2130" s="1">
        <v>2</v>
      </c>
      <c r="J2130" s="1">
        <v>2</v>
      </c>
      <c r="K2130" t="s">
        <v>8103</v>
      </c>
      <c r="L2130" s="5">
        <f>VLOOKUP(D:D,[1]Munka2!$A:$B,2,FALSE)</f>
        <v>1</v>
      </c>
      <c r="M2130" s="5">
        <f>_xlfn.IFNA(Táblázat1[[#This Row],[Kész2020]],0)</f>
        <v>1</v>
      </c>
      <c r="N2130" s="5">
        <f>IF(Táblázat1[[#This Row],[Karb./akt.év]]-Táblázat1[[#This Row],[Kész2020_2]]&lt;0,0,Táblázat1[[#This Row],[Karb./akt.év]]-Táblázat1[[#This Row],[Kész2020_2]])</f>
        <v>1</v>
      </c>
    </row>
    <row r="2131" spans="1:14" hidden="1" x14ac:dyDescent="0.25">
      <c r="A2131" s="17" t="s">
        <v>12</v>
      </c>
      <c r="B2131" s="17" t="s">
        <v>1675</v>
      </c>
      <c r="C2131" s="17" t="s">
        <v>1743</v>
      </c>
      <c r="D2131" s="17" t="s">
        <v>3532</v>
      </c>
      <c r="E2131" s="17" t="s">
        <v>3782</v>
      </c>
      <c r="F2131" s="17" t="s">
        <v>3783</v>
      </c>
      <c r="G2131" s="17" t="s">
        <v>6571</v>
      </c>
      <c r="H2131" t="s">
        <v>7476</v>
      </c>
      <c r="I2131" s="1">
        <v>2</v>
      </c>
      <c r="J2131" s="1">
        <v>2</v>
      </c>
      <c r="K2131" t="s">
        <v>8103</v>
      </c>
      <c r="L2131" s="5">
        <f>VLOOKUP(D:D,[1]Munka2!$A:$B,2,FALSE)</f>
        <v>1</v>
      </c>
      <c r="M2131" s="5">
        <f>_xlfn.IFNA(Táblázat1[[#This Row],[Kész2020]],0)</f>
        <v>1</v>
      </c>
      <c r="N2131" s="5">
        <f>IF(Táblázat1[[#This Row],[Karb./akt.év]]-Táblázat1[[#This Row],[Kész2020_2]]&lt;0,0,Táblázat1[[#This Row],[Karb./akt.év]]-Táblázat1[[#This Row],[Kész2020_2]])</f>
        <v>1</v>
      </c>
    </row>
    <row r="2132" spans="1:14" hidden="1" x14ac:dyDescent="0.25">
      <c r="A2132" s="17" t="s">
        <v>12</v>
      </c>
      <c r="B2132" s="17" t="s">
        <v>984</v>
      </c>
      <c r="C2132" s="17" t="s">
        <v>1743</v>
      </c>
      <c r="D2132" s="17" t="s">
        <v>2772</v>
      </c>
      <c r="E2132" s="17" t="s">
        <v>3782</v>
      </c>
      <c r="F2132" s="17" t="s">
        <v>3783</v>
      </c>
      <c r="G2132" s="17" t="s">
        <v>5913</v>
      </c>
      <c r="H2132" t="s">
        <v>7476</v>
      </c>
      <c r="I2132" s="1">
        <v>2</v>
      </c>
      <c r="J2132" s="1">
        <v>2</v>
      </c>
      <c r="K2132" t="s">
        <v>8103</v>
      </c>
      <c r="L2132" s="5">
        <f>VLOOKUP(D:D,[1]Munka2!$A:$B,2,FALSE)</f>
        <v>1</v>
      </c>
      <c r="M2132" s="5">
        <f>_xlfn.IFNA(Táblázat1[[#This Row],[Kész2020]],0)</f>
        <v>1</v>
      </c>
      <c r="N2132" s="5">
        <f>IF(Táblázat1[[#This Row],[Karb./akt.év]]-Táblázat1[[#This Row],[Kész2020_2]]&lt;0,0,Táblázat1[[#This Row],[Karb./akt.év]]-Táblázat1[[#This Row],[Kész2020_2]])</f>
        <v>1</v>
      </c>
    </row>
    <row r="2133" spans="1:14" hidden="1" x14ac:dyDescent="0.25">
      <c r="A2133" s="17" t="s">
        <v>12</v>
      </c>
      <c r="B2133" s="17" t="s">
        <v>1262</v>
      </c>
      <c r="C2133" s="17" t="s">
        <v>1743</v>
      </c>
      <c r="D2133" s="17" t="s">
        <v>3074</v>
      </c>
      <c r="E2133" s="17" t="s">
        <v>3763</v>
      </c>
      <c r="F2133" s="17" t="s">
        <v>3764</v>
      </c>
      <c r="G2133" s="17" t="s">
        <v>6188</v>
      </c>
      <c r="H2133" t="s">
        <v>7476</v>
      </c>
      <c r="I2133" s="1">
        <v>2</v>
      </c>
      <c r="J2133" s="1">
        <v>2</v>
      </c>
      <c r="K2133" t="s">
        <v>8103</v>
      </c>
      <c r="L2133" s="5">
        <f>VLOOKUP(D:D,[1]Munka2!$A:$B,2,FALSE)</f>
        <v>1</v>
      </c>
      <c r="M2133" s="5">
        <f>_xlfn.IFNA(Táblázat1[[#This Row],[Kész2020]],0)</f>
        <v>1</v>
      </c>
      <c r="N2133" s="5">
        <f>IF(Táblázat1[[#This Row],[Karb./akt.év]]-Táblázat1[[#This Row],[Kész2020_2]]&lt;0,0,Táblázat1[[#This Row],[Karb./akt.év]]-Táblázat1[[#This Row],[Kész2020_2]])</f>
        <v>1</v>
      </c>
    </row>
    <row r="2134" spans="1:14" hidden="1" x14ac:dyDescent="0.25">
      <c r="A2134" s="17" t="s">
        <v>12</v>
      </c>
      <c r="B2134" s="17" t="s">
        <v>983</v>
      </c>
      <c r="C2134" s="17" t="s">
        <v>1736</v>
      </c>
      <c r="D2134" s="17" t="s">
        <v>2771</v>
      </c>
      <c r="E2134" s="17" t="s">
        <v>4564</v>
      </c>
      <c r="F2134" s="17" t="s">
        <v>3783</v>
      </c>
      <c r="G2134" s="17" t="s">
        <v>5912</v>
      </c>
      <c r="H2134" t="s">
        <v>7476</v>
      </c>
      <c r="I2134" s="1">
        <v>2</v>
      </c>
      <c r="J2134" s="1">
        <v>2</v>
      </c>
      <c r="K2134" t="s">
        <v>8103</v>
      </c>
      <c r="L2134" s="5">
        <f>VLOOKUP(D:D,[1]Munka2!$A:$B,2,FALSE)</f>
        <v>1</v>
      </c>
      <c r="M2134" s="5">
        <f>_xlfn.IFNA(Táblázat1[[#This Row],[Kész2020]],0)</f>
        <v>1</v>
      </c>
      <c r="N2134" s="5">
        <f>IF(Táblázat1[[#This Row],[Karb./akt.év]]-Táblázat1[[#This Row],[Kész2020_2]]&lt;0,0,Táblázat1[[#This Row],[Karb./akt.év]]-Táblázat1[[#This Row],[Kész2020_2]])</f>
        <v>1</v>
      </c>
    </row>
    <row r="2135" spans="1:14" hidden="1" x14ac:dyDescent="0.25">
      <c r="A2135" s="17" t="s">
        <v>12</v>
      </c>
      <c r="B2135" s="17" t="s">
        <v>712</v>
      </c>
      <c r="C2135" s="17" t="s">
        <v>1743</v>
      </c>
      <c r="D2135" s="17" t="s">
        <v>2489</v>
      </c>
      <c r="E2135" s="17" t="s">
        <v>4299</v>
      </c>
      <c r="F2135" s="17" t="s">
        <v>3598</v>
      </c>
      <c r="G2135" s="17" t="s">
        <v>5665</v>
      </c>
      <c r="H2135" t="s">
        <v>7476</v>
      </c>
      <c r="I2135" s="1">
        <v>2</v>
      </c>
      <c r="J2135" s="1">
        <v>2</v>
      </c>
      <c r="K2135" t="s">
        <v>8101</v>
      </c>
      <c r="L2135" s="5">
        <f>VLOOKUP(D:D,[1]Munka2!$A:$B,2,FALSE)</f>
        <v>1</v>
      </c>
      <c r="M2135" s="5">
        <f>_xlfn.IFNA(Táblázat1[[#This Row],[Kész2020]],0)</f>
        <v>1</v>
      </c>
      <c r="N2135" s="5">
        <f>IF(Táblázat1[[#This Row],[Karb./akt.év]]-Táblázat1[[#This Row],[Kész2020_2]]&lt;0,0,Táblázat1[[#This Row],[Karb./akt.év]]-Táblázat1[[#This Row],[Kész2020_2]])</f>
        <v>1</v>
      </c>
    </row>
    <row r="2136" spans="1:14" hidden="1" x14ac:dyDescent="0.25">
      <c r="A2136" s="17" t="s">
        <v>12</v>
      </c>
      <c r="B2136" s="17" t="s">
        <v>1331</v>
      </c>
      <c r="C2136" s="17" t="s">
        <v>1736</v>
      </c>
      <c r="D2136" s="17" t="s">
        <v>3146</v>
      </c>
      <c r="E2136" s="17" t="s">
        <v>3745</v>
      </c>
      <c r="F2136" s="17" t="s">
        <v>3598</v>
      </c>
      <c r="G2136" s="17" t="s">
        <v>6251</v>
      </c>
      <c r="H2136" t="s">
        <v>7476</v>
      </c>
      <c r="I2136" s="1">
        <v>2</v>
      </c>
      <c r="J2136" s="1">
        <v>2</v>
      </c>
      <c r="K2136" t="s">
        <v>8101</v>
      </c>
      <c r="L2136" s="5">
        <f>VLOOKUP(D:D,[1]Munka2!$A:$B,2,FALSE)</f>
        <v>1</v>
      </c>
      <c r="M2136" s="5">
        <f>_xlfn.IFNA(Táblázat1[[#This Row],[Kész2020]],0)</f>
        <v>1</v>
      </c>
      <c r="N2136" s="5">
        <f>IF(Táblázat1[[#This Row],[Karb./akt.év]]-Táblázat1[[#This Row],[Kész2020_2]]&lt;0,0,Táblázat1[[#This Row],[Karb./akt.év]]-Táblázat1[[#This Row],[Kész2020_2]])</f>
        <v>1</v>
      </c>
    </row>
    <row r="2137" spans="1:14" hidden="1" x14ac:dyDescent="0.25">
      <c r="A2137" s="17" t="s">
        <v>12</v>
      </c>
      <c r="B2137" s="17" t="s">
        <v>6760</v>
      </c>
      <c r="C2137" s="17" t="s">
        <v>1736</v>
      </c>
      <c r="D2137" s="17" t="s">
        <v>6771</v>
      </c>
      <c r="E2137" s="17" t="s">
        <v>4248</v>
      </c>
      <c r="F2137" s="17" t="s">
        <v>4249</v>
      </c>
      <c r="G2137" s="17" t="s">
        <v>6779</v>
      </c>
      <c r="H2137" t="s">
        <v>7476</v>
      </c>
      <c r="I2137" s="1">
        <v>2</v>
      </c>
      <c r="J2137" s="1">
        <v>2</v>
      </c>
      <c r="K2137" t="s">
        <v>6640</v>
      </c>
      <c r="L2137" s="5">
        <f>VLOOKUP(D:D,[1]Munka2!$A:$B,2,FALSE)</f>
        <v>1</v>
      </c>
      <c r="M2137" s="5">
        <f>_xlfn.IFNA(Táblázat1[[#This Row],[Kész2020]],0)</f>
        <v>1</v>
      </c>
      <c r="N2137" s="5">
        <f>IF(Táblázat1[[#This Row],[Karb./akt.év]]-Táblázat1[[#This Row],[Kész2020_2]]&lt;0,0,Táblázat1[[#This Row],[Karb./akt.év]]-Táblázat1[[#This Row],[Kész2020_2]])</f>
        <v>1</v>
      </c>
    </row>
    <row r="2138" spans="1:14" hidden="1" x14ac:dyDescent="0.25">
      <c r="A2138" s="17" t="s">
        <v>12</v>
      </c>
      <c r="B2138" s="17" t="s">
        <v>1345</v>
      </c>
      <c r="C2138" s="17" t="s">
        <v>1735</v>
      </c>
      <c r="D2138" s="17" t="s">
        <v>3164</v>
      </c>
      <c r="E2138" s="17" t="s">
        <v>4159</v>
      </c>
      <c r="F2138" s="17" t="s">
        <v>4160</v>
      </c>
      <c r="G2138" s="17" t="s">
        <v>6260</v>
      </c>
      <c r="H2138" t="s">
        <v>7476</v>
      </c>
      <c r="I2138" s="1">
        <v>2</v>
      </c>
      <c r="J2138" s="1">
        <v>2</v>
      </c>
      <c r="K2138" t="s">
        <v>6642</v>
      </c>
      <c r="L2138" s="5">
        <f>VLOOKUP(D:D,[1]Munka2!$A:$B,2,FALSE)</f>
        <v>1</v>
      </c>
      <c r="M2138" s="5">
        <f>_xlfn.IFNA(Táblázat1[[#This Row],[Kész2020]],0)</f>
        <v>1</v>
      </c>
      <c r="N2138" s="5">
        <f>IF(Táblázat1[[#This Row],[Karb./akt.év]]-Táblázat1[[#This Row],[Kész2020_2]]&lt;0,0,Táblázat1[[#This Row],[Karb./akt.év]]-Táblázat1[[#This Row],[Kész2020_2]])</f>
        <v>1</v>
      </c>
    </row>
    <row r="2139" spans="1:14" hidden="1" x14ac:dyDescent="0.25">
      <c r="A2139" s="17" t="s">
        <v>12</v>
      </c>
      <c r="B2139" s="17" t="s">
        <v>7194</v>
      </c>
      <c r="C2139" s="17" t="s">
        <v>1743</v>
      </c>
      <c r="D2139" s="17" t="s">
        <v>7202</v>
      </c>
      <c r="E2139" s="17" t="s">
        <v>3814</v>
      </c>
      <c r="F2139" s="17" t="s">
        <v>3815</v>
      </c>
      <c r="G2139" s="17" t="s">
        <v>7208</v>
      </c>
      <c r="H2139" t="s">
        <v>7476</v>
      </c>
      <c r="I2139" s="1">
        <v>2</v>
      </c>
      <c r="J2139" s="1">
        <v>2</v>
      </c>
      <c r="K2139" t="s">
        <v>6638</v>
      </c>
      <c r="L2139" s="5">
        <f>VLOOKUP(D:D,[1]Munka2!$A:$B,2,FALSE)</f>
        <v>1</v>
      </c>
      <c r="M2139" s="5">
        <f>_xlfn.IFNA(Táblázat1[[#This Row],[Kész2020]],0)</f>
        <v>1</v>
      </c>
      <c r="N2139" s="5">
        <f>IF(Táblázat1[[#This Row],[Karb./akt.év]]-Táblázat1[[#This Row],[Kész2020_2]]&lt;0,0,Táblázat1[[#This Row],[Karb./akt.év]]-Táblázat1[[#This Row],[Kész2020_2]])</f>
        <v>1</v>
      </c>
    </row>
    <row r="2140" spans="1:14" hidden="1" x14ac:dyDescent="0.25">
      <c r="A2140" s="17" t="s">
        <v>12</v>
      </c>
      <c r="B2140" s="17" t="s">
        <v>259</v>
      </c>
      <c r="C2140" s="17" t="s">
        <v>1742</v>
      </c>
      <c r="D2140" s="17" t="s">
        <v>2005</v>
      </c>
      <c r="E2140" s="17" t="s">
        <v>3885</v>
      </c>
      <c r="F2140" s="17" t="s">
        <v>3664</v>
      </c>
      <c r="G2140" s="17" t="s">
        <v>5225</v>
      </c>
      <c r="H2140" t="s">
        <v>7476</v>
      </c>
      <c r="I2140" s="1">
        <v>2</v>
      </c>
      <c r="J2140" s="1">
        <v>2</v>
      </c>
      <c r="K2140" t="s">
        <v>6638</v>
      </c>
      <c r="L2140" s="5">
        <f>VLOOKUP(D:D,[1]Munka2!$A:$B,2,FALSE)</f>
        <v>1</v>
      </c>
      <c r="M2140" s="5">
        <f>_xlfn.IFNA(Táblázat1[[#This Row],[Kész2020]],0)</f>
        <v>1</v>
      </c>
      <c r="N2140" s="5">
        <f>IF(Táblázat1[[#This Row],[Karb./akt.év]]-Táblázat1[[#This Row],[Kész2020_2]]&lt;0,0,Táblázat1[[#This Row],[Karb./akt.év]]-Táblázat1[[#This Row],[Kész2020_2]])</f>
        <v>1</v>
      </c>
    </row>
    <row r="2141" spans="1:14" hidden="1" x14ac:dyDescent="0.25">
      <c r="A2141" s="17" t="s">
        <v>12</v>
      </c>
      <c r="B2141" s="17" t="s">
        <v>1188</v>
      </c>
      <c r="C2141" s="17" t="s">
        <v>1743</v>
      </c>
      <c r="D2141" s="17" t="s">
        <v>2993</v>
      </c>
      <c r="E2141" s="17" t="s">
        <v>4712</v>
      </c>
      <c r="F2141" s="17" t="s">
        <v>3600</v>
      </c>
      <c r="G2141" s="17" t="s">
        <v>6116</v>
      </c>
      <c r="H2141" t="s">
        <v>7476</v>
      </c>
      <c r="I2141" s="1">
        <v>2</v>
      </c>
      <c r="J2141" s="1">
        <v>2</v>
      </c>
      <c r="K2141" t="s">
        <v>6784</v>
      </c>
      <c r="L2141" s="5">
        <f>VLOOKUP(D:D,[1]Munka2!$A:$B,2,FALSE)</f>
        <v>1</v>
      </c>
      <c r="M2141" s="5">
        <f>_xlfn.IFNA(Táblázat1[[#This Row],[Kész2020]],0)</f>
        <v>1</v>
      </c>
      <c r="N2141" s="5">
        <f>IF(Táblázat1[[#This Row],[Karb./akt.év]]-Táblázat1[[#This Row],[Kész2020_2]]&lt;0,0,Táblázat1[[#This Row],[Karb./akt.év]]-Táblázat1[[#This Row],[Kész2020_2]])</f>
        <v>1</v>
      </c>
    </row>
    <row r="2142" spans="1:14" hidden="1" x14ac:dyDescent="0.25">
      <c r="A2142" s="17" t="s">
        <v>12</v>
      </c>
      <c r="B2142" s="17" t="s">
        <v>207</v>
      </c>
      <c r="C2142" s="17" t="s">
        <v>1736</v>
      </c>
      <c r="D2142" s="17" t="s">
        <v>1948</v>
      </c>
      <c r="E2142" s="17" t="s">
        <v>3625</v>
      </c>
      <c r="F2142" s="17" t="s">
        <v>3626</v>
      </c>
      <c r="G2142" s="17" t="s">
        <v>5177</v>
      </c>
      <c r="H2142" t="s">
        <v>7476</v>
      </c>
      <c r="I2142" s="1">
        <v>2</v>
      </c>
      <c r="J2142" s="1">
        <v>2</v>
      </c>
      <c r="K2142" t="s">
        <v>6642</v>
      </c>
      <c r="L2142" s="5">
        <f>VLOOKUP(D:D,[1]Munka2!$A:$B,2,FALSE)</f>
        <v>1</v>
      </c>
      <c r="M2142" s="5">
        <f>_xlfn.IFNA(Táblázat1[[#This Row],[Kész2020]],0)</f>
        <v>1</v>
      </c>
      <c r="N2142" s="5">
        <f>IF(Táblázat1[[#This Row],[Karb./akt.év]]-Táblázat1[[#This Row],[Kész2020_2]]&lt;0,0,Táblázat1[[#This Row],[Karb./akt.év]]-Táblázat1[[#This Row],[Kész2020_2]])</f>
        <v>1</v>
      </c>
    </row>
    <row r="2143" spans="1:14" x14ac:dyDescent="0.25">
      <c r="A2143" s="17" t="s">
        <v>12</v>
      </c>
      <c r="B2143" s="17" t="s">
        <v>1092</v>
      </c>
      <c r="C2143" s="17" t="s">
        <v>1743</v>
      </c>
      <c r="D2143" s="17" t="s">
        <v>2883</v>
      </c>
      <c r="E2143" s="17" t="s">
        <v>4189</v>
      </c>
      <c r="F2143" s="17" t="s">
        <v>3679</v>
      </c>
      <c r="G2143" s="17" t="s">
        <v>6021</v>
      </c>
      <c r="H2143" t="s">
        <v>7476</v>
      </c>
      <c r="I2143" s="1">
        <v>2</v>
      </c>
      <c r="J2143" s="1">
        <v>2</v>
      </c>
      <c r="K2143" t="s">
        <v>6635</v>
      </c>
      <c r="L2143" s="5" t="e">
        <f>VLOOKUP(D:D,[1]Munka2!$A:$B,2,FALSE)</f>
        <v>#N/A</v>
      </c>
      <c r="M2143" s="5">
        <f>_xlfn.IFNA(Táblázat1[[#This Row],[Kész2020]],0)</f>
        <v>0</v>
      </c>
      <c r="N2143" s="5">
        <f>IF(Táblázat1[[#This Row],[Karb./akt.év]]-Táblázat1[[#This Row],[Kész2020_2]]&lt;0,0,Táblázat1[[#This Row],[Karb./akt.év]]-Táblázat1[[#This Row],[Kész2020_2]])</f>
        <v>2</v>
      </c>
    </row>
    <row r="2144" spans="1:14" hidden="1" x14ac:dyDescent="0.25">
      <c r="A2144" s="17" t="s">
        <v>12</v>
      </c>
      <c r="B2144" s="17" t="s">
        <v>1469</v>
      </c>
      <c r="C2144" s="17" t="s">
        <v>1742</v>
      </c>
      <c r="D2144" s="17" t="s">
        <v>3302</v>
      </c>
      <c r="E2144" s="17" t="s">
        <v>3756</v>
      </c>
      <c r="F2144" s="17" t="s">
        <v>3679</v>
      </c>
      <c r="G2144" s="17" t="s">
        <v>6377</v>
      </c>
      <c r="H2144" t="s">
        <v>7476</v>
      </c>
      <c r="I2144" s="1">
        <v>2</v>
      </c>
      <c r="J2144" s="1">
        <v>2</v>
      </c>
      <c r="K2144" t="s">
        <v>6635</v>
      </c>
      <c r="L2144" s="5">
        <f>VLOOKUP(D:D,[1]Munka2!$A:$B,2,FALSE)</f>
        <v>1</v>
      </c>
      <c r="M2144" s="5">
        <f>_xlfn.IFNA(Táblázat1[[#This Row],[Kész2020]],0)</f>
        <v>1</v>
      </c>
      <c r="N2144" s="5">
        <f>IF(Táblázat1[[#This Row],[Karb./akt.év]]-Táblázat1[[#This Row],[Kész2020_2]]&lt;0,0,Táblázat1[[#This Row],[Karb./akt.év]]-Táblázat1[[#This Row],[Kész2020_2]])</f>
        <v>1</v>
      </c>
    </row>
    <row r="2145" spans="1:14" hidden="1" x14ac:dyDescent="0.25">
      <c r="A2145" s="17" t="s">
        <v>12</v>
      </c>
      <c r="B2145" s="17" t="s">
        <v>1572</v>
      </c>
      <c r="C2145" s="17" t="s">
        <v>1736</v>
      </c>
      <c r="D2145" s="17" t="s">
        <v>3417</v>
      </c>
      <c r="E2145" s="17" t="s">
        <v>3599</v>
      </c>
      <c r="F2145" s="17" t="s">
        <v>3600</v>
      </c>
      <c r="G2145" s="17" t="s">
        <v>6473</v>
      </c>
      <c r="H2145" t="s">
        <v>7476</v>
      </c>
      <c r="I2145" s="1">
        <v>2</v>
      </c>
      <c r="J2145" s="1">
        <v>2</v>
      </c>
      <c r="K2145" t="s">
        <v>6784</v>
      </c>
      <c r="L2145" s="5">
        <f>VLOOKUP(D:D,[1]Munka2!$A:$B,2,FALSE)</f>
        <v>1</v>
      </c>
      <c r="M2145" s="5">
        <f>_xlfn.IFNA(Táblázat1[[#This Row],[Kész2020]],0)</f>
        <v>1</v>
      </c>
      <c r="N2145" s="5">
        <f>IF(Táblázat1[[#This Row],[Karb./akt.év]]-Táblázat1[[#This Row],[Kész2020_2]]&lt;0,0,Táblázat1[[#This Row],[Karb./akt.év]]-Táblázat1[[#This Row],[Kész2020_2]])</f>
        <v>1</v>
      </c>
    </row>
    <row r="2146" spans="1:14" hidden="1" x14ac:dyDescent="0.25">
      <c r="A2146" s="17" t="s">
        <v>12</v>
      </c>
      <c r="B2146" s="17" t="s">
        <v>821</v>
      </c>
      <c r="C2146" s="17" t="s">
        <v>1737</v>
      </c>
      <c r="D2146" s="17" t="s">
        <v>2598</v>
      </c>
      <c r="E2146" s="17" t="s">
        <v>4190</v>
      </c>
      <c r="F2146" s="17" t="s">
        <v>4191</v>
      </c>
      <c r="G2146" s="17" t="s">
        <v>5759</v>
      </c>
      <c r="H2146" t="s">
        <v>7476</v>
      </c>
      <c r="I2146" s="1">
        <v>2</v>
      </c>
      <c r="J2146" s="1">
        <v>2</v>
      </c>
      <c r="K2146" t="s">
        <v>7354</v>
      </c>
      <c r="L2146" s="5">
        <f>VLOOKUP(D:D,[1]Munka2!$A:$B,2,FALSE)</f>
        <v>1</v>
      </c>
      <c r="M2146" s="5">
        <f>_xlfn.IFNA(Táblázat1[[#This Row],[Kész2020]],0)</f>
        <v>1</v>
      </c>
      <c r="N2146" s="5">
        <f>IF(Táblázat1[[#This Row],[Karb./akt.év]]-Táblázat1[[#This Row],[Kész2020_2]]&lt;0,0,Táblázat1[[#This Row],[Karb./akt.év]]-Táblázat1[[#This Row],[Kész2020_2]])</f>
        <v>1</v>
      </c>
    </row>
    <row r="2147" spans="1:14" hidden="1" x14ac:dyDescent="0.25">
      <c r="A2147" s="17" t="s">
        <v>12</v>
      </c>
      <c r="B2147" s="17" t="s">
        <v>1065</v>
      </c>
      <c r="C2147" s="17" t="s">
        <v>1736</v>
      </c>
      <c r="D2147" s="17" t="s">
        <v>2853</v>
      </c>
      <c r="E2147" s="17" t="s">
        <v>3794</v>
      </c>
      <c r="F2147" s="17" t="s">
        <v>3795</v>
      </c>
      <c r="G2147" s="17" t="s">
        <v>5994</v>
      </c>
      <c r="H2147" t="s">
        <v>7476</v>
      </c>
      <c r="I2147" s="1">
        <v>2</v>
      </c>
      <c r="J2147" s="1">
        <v>2</v>
      </c>
      <c r="K2147" t="s">
        <v>6638</v>
      </c>
      <c r="L2147" s="5">
        <f>VLOOKUP(D:D,[1]Munka2!$A:$B,2,FALSE)</f>
        <v>1</v>
      </c>
      <c r="M2147" s="5">
        <f>_xlfn.IFNA(Táblázat1[[#This Row],[Kész2020]],0)</f>
        <v>1</v>
      </c>
      <c r="N2147" s="5">
        <f>IF(Táblázat1[[#This Row],[Karb./akt.év]]-Táblázat1[[#This Row],[Kész2020_2]]&lt;0,0,Táblázat1[[#This Row],[Karb./akt.év]]-Táblázat1[[#This Row],[Kész2020_2]])</f>
        <v>1</v>
      </c>
    </row>
    <row r="2148" spans="1:14" hidden="1" x14ac:dyDescent="0.25">
      <c r="A2148" s="17" t="s">
        <v>12</v>
      </c>
      <c r="B2148" s="17" t="s">
        <v>451</v>
      </c>
      <c r="C2148" s="17" t="s">
        <v>1735</v>
      </c>
      <c r="D2148" s="17" t="s">
        <v>2209</v>
      </c>
      <c r="E2148" s="17" t="s">
        <v>4061</v>
      </c>
      <c r="F2148" s="17" t="s">
        <v>4062</v>
      </c>
      <c r="G2148" s="17" t="s">
        <v>5416</v>
      </c>
      <c r="H2148" t="s">
        <v>7476</v>
      </c>
      <c r="I2148" s="1">
        <v>2</v>
      </c>
      <c r="J2148" s="1">
        <v>2</v>
      </c>
      <c r="K2148" t="s">
        <v>6636</v>
      </c>
      <c r="L2148" s="5">
        <f>VLOOKUP(D:D,[1]Munka2!$A:$B,2,FALSE)</f>
        <v>1</v>
      </c>
      <c r="M2148" s="5">
        <f>_xlfn.IFNA(Táblázat1[[#This Row],[Kész2020]],0)</f>
        <v>1</v>
      </c>
      <c r="N2148" s="5">
        <f>IF(Táblázat1[[#This Row],[Karb./akt.év]]-Táblázat1[[#This Row],[Kész2020_2]]&lt;0,0,Táblázat1[[#This Row],[Karb./akt.év]]-Táblázat1[[#This Row],[Kész2020_2]])</f>
        <v>1</v>
      </c>
    </row>
    <row r="2149" spans="1:14" hidden="1" x14ac:dyDescent="0.25">
      <c r="A2149" s="17" t="s">
        <v>12</v>
      </c>
      <c r="B2149" s="17" t="s">
        <v>1474</v>
      </c>
      <c r="C2149" s="17" t="s">
        <v>1735</v>
      </c>
      <c r="D2149" s="17" t="s">
        <v>3309</v>
      </c>
      <c r="E2149" s="17" t="s">
        <v>4294</v>
      </c>
      <c r="F2149" s="17" t="s">
        <v>3664</v>
      </c>
      <c r="G2149" s="17" t="s">
        <v>6383</v>
      </c>
      <c r="H2149" t="s">
        <v>7476</v>
      </c>
      <c r="I2149" s="1">
        <v>2</v>
      </c>
      <c r="J2149" s="1">
        <v>2</v>
      </c>
      <c r="K2149" t="s">
        <v>6638</v>
      </c>
      <c r="L2149" s="5">
        <f>VLOOKUP(D:D,[1]Munka2!$A:$B,2,FALSE)</f>
        <v>1</v>
      </c>
      <c r="M2149" s="5">
        <f>_xlfn.IFNA(Táblázat1[[#This Row],[Kész2020]],0)</f>
        <v>1</v>
      </c>
      <c r="N2149" s="5">
        <f>IF(Táblázat1[[#This Row],[Karb./akt.év]]-Táblázat1[[#This Row],[Kész2020_2]]&lt;0,0,Táblázat1[[#This Row],[Karb./akt.év]]-Táblázat1[[#This Row],[Kész2020_2]])</f>
        <v>1</v>
      </c>
    </row>
    <row r="2150" spans="1:14" hidden="1" x14ac:dyDescent="0.25">
      <c r="A2150" s="17" t="s">
        <v>12</v>
      </c>
      <c r="B2150" s="17" t="s">
        <v>372</v>
      </c>
      <c r="C2150" s="17" t="s">
        <v>1743</v>
      </c>
      <c r="D2150" s="17" t="s">
        <v>2126</v>
      </c>
      <c r="E2150" s="17" t="s">
        <v>3695</v>
      </c>
      <c r="F2150" s="17" t="s">
        <v>3696</v>
      </c>
      <c r="G2150" s="17" t="s">
        <v>5340</v>
      </c>
      <c r="H2150" t="s">
        <v>7476</v>
      </c>
      <c r="I2150" s="1">
        <v>2</v>
      </c>
      <c r="J2150" s="1">
        <v>2</v>
      </c>
      <c r="K2150" t="s">
        <v>6638</v>
      </c>
      <c r="L2150" s="5">
        <f>VLOOKUP(D:D,[1]Munka2!$A:$B,2,FALSE)</f>
        <v>1</v>
      </c>
      <c r="M2150" s="5">
        <f>_xlfn.IFNA(Táblázat1[[#This Row],[Kész2020]],0)</f>
        <v>1</v>
      </c>
      <c r="N2150" s="5">
        <f>IF(Táblázat1[[#This Row],[Karb./akt.év]]-Táblázat1[[#This Row],[Kész2020_2]]&lt;0,0,Táblázat1[[#This Row],[Karb./akt.év]]-Táblázat1[[#This Row],[Kész2020_2]])</f>
        <v>1</v>
      </c>
    </row>
    <row r="2151" spans="1:14" hidden="1" x14ac:dyDescent="0.25">
      <c r="A2151" s="17" t="s">
        <v>12</v>
      </c>
      <c r="B2151" s="17" t="s">
        <v>1433</v>
      </c>
      <c r="C2151" s="17" t="s">
        <v>1737</v>
      </c>
      <c r="D2151" s="17" t="s">
        <v>3264</v>
      </c>
      <c r="E2151" s="17" t="s">
        <v>3918</v>
      </c>
      <c r="F2151" s="17" t="s">
        <v>3919</v>
      </c>
      <c r="G2151" s="17" t="s">
        <v>6338</v>
      </c>
      <c r="H2151" t="s">
        <v>7476</v>
      </c>
      <c r="I2151" s="1">
        <v>2</v>
      </c>
      <c r="J2151" s="1">
        <v>2</v>
      </c>
      <c r="K2151" t="s">
        <v>7014</v>
      </c>
      <c r="L2151" s="5">
        <f>VLOOKUP(D:D,[1]Munka2!$A:$B,2,FALSE)</f>
        <v>2</v>
      </c>
      <c r="M2151" s="5">
        <f>_xlfn.IFNA(Táblázat1[[#This Row],[Kész2020]],0)</f>
        <v>2</v>
      </c>
      <c r="N2151" s="5">
        <f>IF(Táblázat1[[#This Row],[Karb./akt.év]]-Táblázat1[[#This Row],[Kész2020_2]]&lt;0,0,Táblázat1[[#This Row],[Karb./akt.év]]-Táblázat1[[#This Row],[Kész2020_2]])</f>
        <v>0</v>
      </c>
    </row>
    <row r="2152" spans="1:14" hidden="1" x14ac:dyDescent="0.25">
      <c r="A2152" s="17" t="s">
        <v>12</v>
      </c>
      <c r="B2152" s="17" t="s">
        <v>1008</v>
      </c>
      <c r="C2152" s="17" t="s">
        <v>1737</v>
      </c>
      <c r="D2152" s="17" t="s">
        <v>2799</v>
      </c>
      <c r="E2152" s="17" t="s">
        <v>3757</v>
      </c>
      <c r="F2152" s="17" t="s">
        <v>3598</v>
      </c>
      <c r="G2152" s="17" t="s">
        <v>5938</v>
      </c>
      <c r="H2152" t="s">
        <v>7476</v>
      </c>
      <c r="I2152" s="1">
        <v>2</v>
      </c>
      <c r="J2152" s="1">
        <v>2</v>
      </c>
      <c r="K2152" t="s">
        <v>6785</v>
      </c>
      <c r="L2152" s="5">
        <f>VLOOKUP(D:D,[1]Munka2!$A:$B,2,FALSE)</f>
        <v>1</v>
      </c>
      <c r="M2152" s="5">
        <f>_xlfn.IFNA(Táblázat1[[#This Row],[Kész2020]],0)</f>
        <v>1</v>
      </c>
      <c r="N2152" s="5">
        <f>IF(Táblázat1[[#This Row],[Karb./akt.év]]-Táblázat1[[#This Row],[Kész2020_2]]&lt;0,0,Táblázat1[[#This Row],[Karb./akt.év]]-Táblázat1[[#This Row],[Kész2020_2]])</f>
        <v>1</v>
      </c>
    </row>
    <row r="2153" spans="1:14" hidden="1" x14ac:dyDescent="0.25">
      <c r="A2153" s="17" t="s">
        <v>12</v>
      </c>
      <c r="B2153" s="17" t="s">
        <v>195</v>
      </c>
      <c r="C2153" s="17" t="s">
        <v>1743</v>
      </c>
      <c r="D2153" s="17" t="s">
        <v>1936</v>
      </c>
      <c r="E2153" s="17" t="s">
        <v>3816</v>
      </c>
      <c r="F2153" s="17" t="s">
        <v>3598</v>
      </c>
      <c r="G2153" s="17" t="s">
        <v>5165</v>
      </c>
      <c r="H2153" t="s">
        <v>7476</v>
      </c>
      <c r="I2153" s="1">
        <v>2</v>
      </c>
      <c r="J2153" s="1">
        <v>2</v>
      </c>
      <c r="K2153" t="s">
        <v>6785</v>
      </c>
      <c r="L2153" s="5">
        <f>VLOOKUP(D:D,[1]Munka2!$A:$B,2,FALSE)</f>
        <v>1</v>
      </c>
      <c r="M2153" s="5">
        <f>_xlfn.IFNA(Táblázat1[[#This Row],[Kész2020]],0)</f>
        <v>1</v>
      </c>
      <c r="N2153" s="5">
        <f>IF(Táblázat1[[#This Row],[Karb./akt.év]]-Táblázat1[[#This Row],[Kész2020_2]]&lt;0,0,Táblázat1[[#This Row],[Karb./akt.év]]-Táblázat1[[#This Row],[Kész2020_2]])</f>
        <v>1</v>
      </c>
    </row>
    <row r="2154" spans="1:14" hidden="1" x14ac:dyDescent="0.25">
      <c r="A2154" s="17" t="s">
        <v>12</v>
      </c>
      <c r="B2154" s="17" t="s">
        <v>1590</v>
      </c>
      <c r="C2154" s="17" t="s">
        <v>1742</v>
      </c>
      <c r="D2154" s="17" t="s">
        <v>3437</v>
      </c>
      <c r="E2154" s="17" t="s">
        <v>4958</v>
      </c>
      <c r="F2154" s="17" t="s">
        <v>3598</v>
      </c>
      <c r="G2154" s="17" t="s">
        <v>6490</v>
      </c>
      <c r="H2154" t="s">
        <v>7476</v>
      </c>
      <c r="I2154" s="1">
        <v>2</v>
      </c>
      <c r="J2154" s="1">
        <v>2</v>
      </c>
      <c r="K2154" t="s">
        <v>6633</v>
      </c>
      <c r="L2154" s="5">
        <f>VLOOKUP(D:D,[1]Munka2!$A:$B,2,FALSE)</f>
        <v>1</v>
      </c>
      <c r="M2154" s="5">
        <f>_xlfn.IFNA(Táblázat1[[#This Row],[Kész2020]],0)</f>
        <v>1</v>
      </c>
      <c r="N2154" s="5">
        <f>IF(Táblázat1[[#This Row],[Karb./akt.év]]-Táblázat1[[#This Row],[Kész2020_2]]&lt;0,0,Táblázat1[[#This Row],[Karb./akt.év]]-Táblázat1[[#This Row],[Kész2020_2]])</f>
        <v>1</v>
      </c>
    </row>
    <row r="2155" spans="1:14" hidden="1" x14ac:dyDescent="0.25">
      <c r="A2155" s="17" t="s">
        <v>12</v>
      </c>
      <c r="B2155" s="17" t="s">
        <v>964</v>
      </c>
      <c r="C2155" s="17" t="s">
        <v>1743</v>
      </c>
      <c r="D2155" s="17" t="s">
        <v>2750</v>
      </c>
      <c r="E2155" s="17" t="s">
        <v>4359</v>
      </c>
      <c r="F2155" s="17" t="s">
        <v>3598</v>
      </c>
      <c r="G2155" s="17" t="s">
        <v>5893</v>
      </c>
      <c r="H2155" t="s">
        <v>7476</v>
      </c>
      <c r="I2155" s="1">
        <v>2</v>
      </c>
      <c r="J2155" s="1">
        <v>2</v>
      </c>
      <c r="K2155" t="s">
        <v>6641</v>
      </c>
      <c r="L2155" s="5">
        <f>VLOOKUP(D:D,[1]Munka2!$A:$B,2,FALSE)</f>
        <v>1</v>
      </c>
      <c r="M2155" s="5">
        <f>_xlfn.IFNA(Táblázat1[[#This Row],[Kész2020]],0)</f>
        <v>1</v>
      </c>
      <c r="N2155" s="5">
        <f>IF(Táblázat1[[#This Row],[Karb./akt.év]]-Táblázat1[[#This Row],[Kész2020_2]]&lt;0,0,Táblázat1[[#This Row],[Karb./akt.év]]-Táblázat1[[#This Row],[Kész2020_2]])</f>
        <v>1</v>
      </c>
    </row>
    <row r="2156" spans="1:14" hidden="1" x14ac:dyDescent="0.25">
      <c r="A2156" s="17" t="s">
        <v>12</v>
      </c>
      <c r="B2156" s="17" t="s">
        <v>121</v>
      </c>
      <c r="C2156" s="17" t="s">
        <v>1736</v>
      </c>
      <c r="D2156" s="17" t="s">
        <v>1861</v>
      </c>
      <c r="E2156" s="17" t="s">
        <v>3707</v>
      </c>
      <c r="F2156" s="17" t="s">
        <v>3708</v>
      </c>
      <c r="G2156" s="17" t="s">
        <v>5092</v>
      </c>
      <c r="H2156" t="s">
        <v>7476</v>
      </c>
      <c r="I2156" s="1">
        <v>2</v>
      </c>
      <c r="J2156" s="1">
        <v>2</v>
      </c>
      <c r="K2156" t="s">
        <v>6641</v>
      </c>
      <c r="L2156" s="5">
        <f>VLOOKUP(D:D,[1]Munka2!$A:$B,2,FALSE)</f>
        <v>1</v>
      </c>
      <c r="M2156" s="5">
        <f>_xlfn.IFNA(Táblázat1[[#This Row],[Kész2020]],0)</f>
        <v>1</v>
      </c>
      <c r="N2156" s="5">
        <f>IF(Táblázat1[[#This Row],[Karb./akt.év]]-Táblázat1[[#This Row],[Kész2020_2]]&lt;0,0,Táblázat1[[#This Row],[Karb./akt.év]]-Táblázat1[[#This Row],[Kész2020_2]])</f>
        <v>1</v>
      </c>
    </row>
    <row r="2157" spans="1:14" hidden="1" x14ac:dyDescent="0.25">
      <c r="A2157" s="17" t="s">
        <v>12</v>
      </c>
      <c r="B2157" s="17" t="s">
        <v>687</v>
      </c>
      <c r="C2157" s="17" t="s">
        <v>1735</v>
      </c>
      <c r="D2157" s="17" t="s">
        <v>2462</v>
      </c>
      <c r="E2157" s="17" t="s">
        <v>3840</v>
      </c>
      <c r="F2157" s="17" t="s">
        <v>3841</v>
      </c>
      <c r="G2157" s="17" t="s">
        <v>5641</v>
      </c>
      <c r="H2157" t="s">
        <v>7476</v>
      </c>
      <c r="I2157" s="1">
        <v>2</v>
      </c>
      <c r="J2157" s="1">
        <v>2</v>
      </c>
      <c r="K2157" t="s">
        <v>6635</v>
      </c>
      <c r="L2157" s="5">
        <f>VLOOKUP(D:D,[1]Munka2!$A:$B,2,FALSE)</f>
        <v>1</v>
      </c>
      <c r="M2157" s="5">
        <f>_xlfn.IFNA(Táblázat1[[#This Row],[Kész2020]],0)</f>
        <v>1</v>
      </c>
      <c r="N2157" s="5">
        <f>IF(Táblázat1[[#This Row],[Karb./akt.év]]-Táblázat1[[#This Row],[Kész2020_2]]&lt;0,0,Táblázat1[[#This Row],[Karb./akt.év]]-Táblázat1[[#This Row],[Kész2020_2]])</f>
        <v>1</v>
      </c>
    </row>
    <row r="2158" spans="1:14" hidden="1" x14ac:dyDescent="0.25">
      <c r="A2158" s="17" t="s">
        <v>12</v>
      </c>
      <c r="B2158" s="17" t="s">
        <v>571</v>
      </c>
      <c r="C2158" s="17" t="s">
        <v>1742</v>
      </c>
      <c r="D2158" s="17" t="s">
        <v>2344</v>
      </c>
      <c r="E2158" s="17" t="s">
        <v>4200</v>
      </c>
      <c r="F2158" s="17" t="s">
        <v>3598</v>
      </c>
      <c r="G2158" s="17" t="s">
        <v>5536</v>
      </c>
      <c r="H2158" t="s">
        <v>7476</v>
      </c>
      <c r="I2158" s="1">
        <v>2</v>
      </c>
      <c r="J2158" s="1">
        <v>2</v>
      </c>
      <c r="K2158" s="5" t="s">
        <v>6785</v>
      </c>
      <c r="L2158" s="5">
        <f>VLOOKUP(D:D,[1]Munka2!$A:$B,2,FALSE)</f>
        <v>1</v>
      </c>
      <c r="M2158" s="5">
        <f>_xlfn.IFNA(Táblázat1[[#This Row],[Kész2020]],0)</f>
        <v>1</v>
      </c>
      <c r="N2158" s="5">
        <f>IF(Táblázat1[[#This Row],[Karb./akt.év]]-Táblázat1[[#This Row],[Kész2020_2]]&lt;0,0,Táblázat1[[#This Row],[Karb./akt.év]]-Táblázat1[[#This Row],[Kész2020_2]])</f>
        <v>1</v>
      </c>
    </row>
    <row r="2159" spans="1:14" hidden="1" x14ac:dyDescent="0.25">
      <c r="A2159" s="17" t="s">
        <v>12</v>
      </c>
      <c r="B2159" s="17" t="s">
        <v>1124</v>
      </c>
      <c r="C2159" s="17" t="s">
        <v>1742</v>
      </c>
      <c r="D2159" s="17" t="s">
        <v>2919</v>
      </c>
      <c r="E2159" s="17" t="s">
        <v>3824</v>
      </c>
      <c r="F2159" s="17" t="s">
        <v>3598</v>
      </c>
      <c r="G2159" s="17" t="s">
        <v>6052</v>
      </c>
      <c r="H2159" t="s">
        <v>7476</v>
      </c>
      <c r="I2159" s="1">
        <v>2</v>
      </c>
      <c r="J2159" s="1">
        <v>2</v>
      </c>
      <c r="K2159" s="5" t="s">
        <v>6785</v>
      </c>
      <c r="L2159" s="5">
        <f>VLOOKUP(D:D,[1]Munka2!$A:$B,2,FALSE)</f>
        <v>1</v>
      </c>
      <c r="M2159" s="5">
        <f>_xlfn.IFNA(Táblázat1[[#This Row],[Kész2020]],0)</f>
        <v>1</v>
      </c>
      <c r="N2159" s="5">
        <f>IF(Táblázat1[[#This Row],[Karb./akt.év]]-Táblázat1[[#This Row],[Kész2020_2]]&lt;0,0,Táblázat1[[#This Row],[Karb./akt.év]]-Táblázat1[[#This Row],[Kész2020_2]])</f>
        <v>1</v>
      </c>
    </row>
    <row r="2160" spans="1:14" hidden="1" x14ac:dyDescent="0.25">
      <c r="A2160" s="17" t="s">
        <v>12</v>
      </c>
      <c r="B2160" s="17" t="s">
        <v>1567</v>
      </c>
      <c r="C2160" s="17" t="s">
        <v>1743</v>
      </c>
      <c r="D2160" s="17" t="s">
        <v>3412</v>
      </c>
      <c r="E2160" s="17" t="s">
        <v>3818</v>
      </c>
      <c r="F2160" s="17" t="s">
        <v>3819</v>
      </c>
      <c r="G2160" s="17" t="s">
        <v>6471</v>
      </c>
      <c r="H2160" t="s">
        <v>7476</v>
      </c>
      <c r="I2160" s="1">
        <v>2</v>
      </c>
      <c r="J2160" s="1">
        <v>2</v>
      </c>
      <c r="K2160" s="5" t="s">
        <v>6634</v>
      </c>
      <c r="L2160" s="5">
        <f>VLOOKUP(D:D,[1]Munka2!$A:$B,2,FALSE)</f>
        <v>1</v>
      </c>
      <c r="M2160" s="5">
        <f>_xlfn.IFNA(Táblázat1[[#This Row],[Kész2020]],0)</f>
        <v>1</v>
      </c>
      <c r="N2160" s="5">
        <f>IF(Táblázat1[[#This Row],[Karb./akt.év]]-Táblázat1[[#This Row],[Kész2020_2]]&lt;0,0,Táblázat1[[#This Row],[Karb./akt.év]]-Táblázat1[[#This Row],[Kész2020_2]])</f>
        <v>1</v>
      </c>
    </row>
    <row r="2161" spans="1:14" hidden="1" x14ac:dyDescent="0.25">
      <c r="A2161" s="17" t="s">
        <v>12</v>
      </c>
      <c r="B2161" s="17" t="s">
        <v>716</v>
      </c>
      <c r="C2161" s="17" t="s">
        <v>1743</v>
      </c>
      <c r="D2161" s="17" t="s">
        <v>2493</v>
      </c>
      <c r="E2161" s="17" t="s">
        <v>3840</v>
      </c>
      <c r="F2161" s="17" t="s">
        <v>3841</v>
      </c>
      <c r="G2161" s="17" t="s">
        <v>5669</v>
      </c>
      <c r="H2161" t="s">
        <v>7476</v>
      </c>
      <c r="I2161" s="1">
        <v>2</v>
      </c>
      <c r="J2161" s="1">
        <v>2</v>
      </c>
      <c r="K2161" s="5" t="s">
        <v>6635</v>
      </c>
      <c r="L2161" s="5">
        <f>VLOOKUP(D:D,[1]Munka2!$A:$B,2,FALSE)</f>
        <v>1</v>
      </c>
      <c r="M2161" s="5">
        <f>_xlfn.IFNA(Táblázat1[[#This Row],[Kész2020]],0)</f>
        <v>1</v>
      </c>
      <c r="N2161" s="5">
        <f>IF(Táblázat1[[#This Row],[Karb./akt.év]]-Táblázat1[[#This Row],[Kész2020_2]]&lt;0,0,Táblázat1[[#This Row],[Karb./akt.év]]-Táblázat1[[#This Row],[Kész2020_2]])</f>
        <v>1</v>
      </c>
    </row>
    <row r="2162" spans="1:14" hidden="1" x14ac:dyDescent="0.25">
      <c r="A2162" s="17" t="s">
        <v>12</v>
      </c>
      <c r="B2162" s="17" t="s">
        <v>738</v>
      </c>
      <c r="C2162" s="17" t="s">
        <v>1737</v>
      </c>
      <c r="D2162" s="17" t="s">
        <v>2515</v>
      </c>
      <c r="E2162" s="17" t="s">
        <v>3641</v>
      </c>
      <c r="F2162" s="17" t="s">
        <v>3642</v>
      </c>
      <c r="G2162" s="17" t="s">
        <v>5684</v>
      </c>
      <c r="H2162" t="s">
        <v>7476</v>
      </c>
      <c r="I2162" s="1">
        <v>2</v>
      </c>
      <c r="J2162" s="1">
        <v>2</v>
      </c>
      <c r="K2162" s="5" t="s">
        <v>7354</v>
      </c>
      <c r="L2162" s="5">
        <f>VLOOKUP(D:D,[1]Munka2!$A:$B,2,FALSE)</f>
        <v>1</v>
      </c>
      <c r="M2162" s="5">
        <f>_xlfn.IFNA(Táblázat1[[#This Row],[Kész2020]],0)</f>
        <v>1</v>
      </c>
      <c r="N2162" s="5">
        <f>IF(Táblázat1[[#This Row],[Karb./akt.év]]-Táblázat1[[#This Row],[Kész2020_2]]&lt;0,0,Táblázat1[[#This Row],[Karb./akt.év]]-Táblázat1[[#This Row],[Kész2020_2]])</f>
        <v>1</v>
      </c>
    </row>
    <row r="2163" spans="1:14" hidden="1" x14ac:dyDescent="0.25">
      <c r="A2163" s="17" t="s">
        <v>12</v>
      </c>
      <c r="B2163" s="17" t="s">
        <v>737</v>
      </c>
      <c r="C2163" s="17" t="s">
        <v>1735</v>
      </c>
      <c r="D2163" s="17" t="s">
        <v>2514</v>
      </c>
      <c r="E2163" s="17" t="s">
        <v>3641</v>
      </c>
      <c r="F2163" s="17" t="s">
        <v>3642</v>
      </c>
      <c r="G2163" s="17" t="s">
        <v>5684</v>
      </c>
      <c r="H2163" t="s">
        <v>7476</v>
      </c>
      <c r="I2163" s="1">
        <v>2</v>
      </c>
      <c r="J2163" s="1">
        <v>2</v>
      </c>
      <c r="K2163" s="5" t="s">
        <v>7354</v>
      </c>
      <c r="L2163" s="5">
        <f>VLOOKUP(D:D,[1]Munka2!$A:$B,2,FALSE)</f>
        <v>1</v>
      </c>
      <c r="M2163" s="5">
        <f>_xlfn.IFNA(Táblázat1[[#This Row],[Kész2020]],0)</f>
        <v>1</v>
      </c>
      <c r="N2163" s="5">
        <f>IF(Táblázat1[[#This Row],[Karb./akt.év]]-Táblázat1[[#This Row],[Kész2020_2]]&lt;0,0,Táblázat1[[#This Row],[Karb./akt.év]]-Táblázat1[[#This Row],[Kész2020_2]])</f>
        <v>1</v>
      </c>
    </row>
    <row r="2164" spans="1:14" hidden="1" x14ac:dyDescent="0.25">
      <c r="A2164" s="17" t="s">
        <v>12</v>
      </c>
      <c r="B2164" s="17" t="s">
        <v>765</v>
      </c>
      <c r="C2164" s="17" t="s">
        <v>1742</v>
      </c>
      <c r="D2164" s="17" t="s">
        <v>2540</v>
      </c>
      <c r="E2164" s="17" t="s">
        <v>3641</v>
      </c>
      <c r="F2164" s="17" t="s">
        <v>3642</v>
      </c>
      <c r="G2164" s="17" t="s">
        <v>5709</v>
      </c>
      <c r="H2164" t="s">
        <v>7476</v>
      </c>
      <c r="I2164" s="1">
        <v>2</v>
      </c>
      <c r="J2164" s="1">
        <v>2</v>
      </c>
      <c r="K2164" s="5" t="s">
        <v>7354</v>
      </c>
      <c r="L2164" s="5">
        <f>VLOOKUP(D:D,[1]Munka2!$A:$B,2,FALSE)</f>
        <v>1</v>
      </c>
      <c r="M2164" s="5">
        <f>_xlfn.IFNA(Táblázat1[[#This Row],[Kész2020]],0)</f>
        <v>1</v>
      </c>
      <c r="N2164" s="5">
        <f>IF(Táblázat1[[#This Row],[Karb./akt.év]]-Táblázat1[[#This Row],[Kész2020_2]]&lt;0,0,Táblázat1[[#This Row],[Karb./akt.év]]-Táblázat1[[#This Row],[Kész2020_2]])</f>
        <v>1</v>
      </c>
    </row>
    <row r="2165" spans="1:14" hidden="1" x14ac:dyDescent="0.25">
      <c r="A2165" s="17" t="s">
        <v>12</v>
      </c>
      <c r="B2165" s="17" t="s">
        <v>290</v>
      </c>
      <c r="C2165" s="17" t="s">
        <v>1743</v>
      </c>
      <c r="D2165" s="17" t="s">
        <v>2039</v>
      </c>
      <c r="E2165" s="17" t="s">
        <v>3641</v>
      </c>
      <c r="F2165" s="17" t="s">
        <v>3642</v>
      </c>
      <c r="G2165" s="17" t="s">
        <v>5258</v>
      </c>
      <c r="H2165" t="s">
        <v>7476</v>
      </c>
      <c r="I2165" s="1">
        <v>2</v>
      </c>
      <c r="J2165" s="1">
        <v>2</v>
      </c>
      <c r="K2165" s="5" t="s">
        <v>7354</v>
      </c>
      <c r="L2165" s="5">
        <f>VLOOKUP(D:D,[1]Munka2!$A:$B,2,FALSE)</f>
        <v>1</v>
      </c>
      <c r="M2165" s="5">
        <f>_xlfn.IFNA(Táblázat1[[#This Row],[Kész2020]],0)</f>
        <v>1</v>
      </c>
      <c r="N2165" s="5">
        <f>IF(Táblázat1[[#This Row],[Karb./akt.év]]-Táblázat1[[#This Row],[Kész2020_2]]&lt;0,0,Táblázat1[[#This Row],[Karb./akt.év]]-Táblázat1[[#This Row],[Kész2020_2]])</f>
        <v>1</v>
      </c>
    </row>
    <row r="2166" spans="1:14" hidden="1" x14ac:dyDescent="0.25">
      <c r="A2166" s="17" t="s">
        <v>12</v>
      </c>
      <c r="B2166" s="17" t="s">
        <v>1309</v>
      </c>
      <c r="C2166" s="17" t="s">
        <v>1736</v>
      </c>
      <c r="D2166" s="17" t="s">
        <v>3124</v>
      </c>
      <c r="E2166" s="17" t="s">
        <v>4809</v>
      </c>
      <c r="F2166" s="17" t="s">
        <v>3598</v>
      </c>
      <c r="G2166" s="17" t="s">
        <v>6228</v>
      </c>
      <c r="H2166" t="s">
        <v>7476</v>
      </c>
      <c r="I2166" s="1">
        <v>2</v>
      </c>
      <c r="J2166" s="1">
        <v>2</v>
      </c>
      <c r="K2166" s="5" t="s">
        <v>6633</v>
      </c>
      <c r="L2166" s="5">
        <f>VLOOKUP(D:D,[1]Munka2!$A:$B,2,FALSE)</f>
        <v>1</v>
      </c>
      <c r="M2166" s="5">
        <f>_xlfn.IFNA(Táblázat1[[#This Row],[Kész2020]],0)</f>
        <v>1</v>
      </c>
      <c r="N2166" s="5">
        <f>IF(Táblázat1[[#This Row],[Karb./akt.év]]-Táblázat1[[#This Row],[Kész2020_2]]&lt;0,0,Táblázat1[[#This Row],[Karb./akt.év]]-Táblázat1[[#This Row],[Kész2020_2]])</f>
        <v>1</v>
      </c>
    </row>
    <row r="2167" spans="1:14" hidden="1" x14ac:dyDescent="0.25">
      <c r="A2167" s="17" t="s">
        <v>12</v>
      </c>
      <c r="B2167" s="17" t="s">
        <v>1089</v>
      </c>
      <c r="C2167" s="17" t="s">
        <v>1743</v>
      </c>
      <c r="D2167" s="17" t="s">
        <v>2879</v>
      </c>
      <c r="E2167" s="17" t="s">
        <v>3797</v>
      </c>
      <c r="F2167" s="17" t="s">
        <v>3598</v>
      </c>
      <c r="G2167" s="17" t="s">
        <v>6017</v>
      </c>
      <c r="H2167" t="s">
        <v>7476</v>
      </c>
      <c r="I2167" s="1">
        <v>2</v>
      </c>
      <c r="J2167" s="1">
        <v>2</v>
      </c>
      <c r="K2167" s="5" t="s">
        <v>6641</v>
      </c>
      <c r="L2167" s="5">
        <f>VLOOKUP(D:D,[1]Munka2!$A:$B,2,FALSE)</f>
        <v>1</v>
      </c>
      <c r="M2167" s="5">
        <f>_xlfn.IFNA(Táblázat1[[#This Row],[Kész2020]],0)</f>
        <v>1</v>
      </c>
      <c r="N2167" s="5">
        <f>IF(Táblázat1[[#This Row],[Karb./akt.év]]-Táblázat1[[#This Row],[Kész2020_2]]&lt;0,0,Táblázat1[[#This Row],[Karb./akt.év]]-Táblázat1[[#This Row],[Kész2020_2]])</f>
        <v>1</v>
      </c>
    </row>
    <row r="2168" spans="1:14" hidden="1" x14ac:dyDescent="0.25">
      <c r="A2168" s="17" t="s">
        <v>12</v>
      </c>
      <c r="B2168" s="17" t="s">
        <v>1732</v>
      </c>
      <c r="C2168" s="17" t="s">
        <v>1735</v>
      </c>
      <c r="D2168" s="17" t="s">
        <v>3592</v>
      </c>
      <c r="E2168" s="17" t="s">
        <v>5008</v>
      </c>
      <c r="F2168" s="17" t="s">
        <v>3598</v>
      </c>
      <c r="G2168" s="17" t="s">
        <v>6627</v>
      </c>
      <c r="H2168" t="s">
        <v>7476</v>
      </c>
      <c r="I2168" s="1">
        <v>2</v>
      </c>
      <c r="J2168" s="1">
        <v>2</v>
      </c>
      <c r="K2168" s="5" t="s">
        <v>8101</v>
      </c>
      <c r="L2168" s="5">
        <f>VLOOKUP(D:D,[1]Munka2!$A:$B,2,FALSE)</f>
        <v>1</v>
      </c>
      <c r="M2168" s="5">
        <f>_xlfn.IFNA(Táblázat1[[#This Row],[Kész2020]],0)</f>
        <v>1</v>
      </c>
      <c r="N2168" s="5">
        <f>IF(Táblázat1[[#This Row],[Karb./akt.év]]-Táblázat1[[#This Row],[Kész2020_2]]&lt;0,0,Táblázat1[[#This Row],[Karb./akt.év]]-Táblázat1[[#This Row],[Kész2020_2]])</f>
        <v>1</v>
      </c>
    </row>
    <row r="2169" spans="1:14" hidden="1" x14ac:dyDescent="0.25">
      <c r="A2169" s="17" t="s">
        <v>12</v>
      </c>
      <c r="B2169" s="17" t="s">
        <v>173</v>
      </c>
      <c r="C2169" s="17" t="s">
        <v>1743</v>
      </c>
      <c r="D2169" s="17" t="s">
        <v>1914</v>
      </c>
      <c r="E2169" s="17" t="s">
        <v>3743</v>
      </c>
      <c r="F2169" s="17" t="s">
        <v>3744</v>
      </c>
      <c r="G2169" s="17" t="s">
        <v>5144</v>
      </c>
      <c r="H2169" t="s">
        <v>7476</v>
      </c>
      <c r="I2169" s="1">
        <v>2</v>
      </c>
      <c r="J2169" s="1">
        <v>2</v>
      </c>
      <c r="K2169" s="5" t="s">
        <v>8102</v>
      </c>
      <c r="L2169" s="5">
        <f>VLOOKUP(D:D,[1]Munka2!$A:$B,2,FALSE)</f>
        <v>1</v>
      </c>
      <c r="M2169" s="5">
        <f>_xlfn.IFNA(Táblázat1[[#This Row],[Kész2020]],0)</f>
        <v>1</v>
      </c>
      <c r="N2169" s="5">
        <f>IF(Táblázat1[[#This Row],[Karb./akt.év]]-Táblázat1[[#This Row],[Kész2020_2]]&lt;0,0,Táblázat1[[#This Row],[Karb./akt.év]]-Táblázat1[[#This Row],[Kész2020_2]])</f>
        <v>1</v>
      </c>
    </row>
    <row r="2170" spans="1:14" hidden="1" x14ac:dyDescent="0.25">
      <c r="A2170" s="17" t="s">
        <v>12</v>
      </c>
      <c r="B2170" s="17" t="s">
        <v>221</v>
      </c>
      <c r="C2170" s="17" t="s">
        <v>1735</v>
      </c>
      <c r="D2170" s="17" t="s">
        <v>1964</v>
      </c>
      <c r="E2170" s="17" t="s">
        <v>3831</v>
      </c>
      <c r="F2170" s="17" t="s">
        <v>3598</v>
      </c>
      <c r="G2170" s="17" t="s">
        <v>5189</v>
      </c>
      <c r="H2170" t="s">
        <v>7476</v>
      </c>
      <c r="I2170" s="1">
        <v>2</v>
      </c>
      <c r="J2170" s="1">
        <v>2</v>
      </c>
      <c r="K2170" s="5" t="s">
        <v>6785</v>
      </c>
      <c r="L2170" s="5">
        <f>VLOOKUP(D:D,[1]Munka2!$A:$B,2,FALSE)</f>
        <v>1</v>
      </c>
      <c r="M2170" s="5">
        <f>_xlfn.IFNA(Táblázat1[[#This Row],[Kész2020]],0)</f>
        <v>1</v>
      </c>
      <c r="N2170" s="5">
        <f>IF(Táblázat1[[#This Row],[Karb./akt.év]]-Táblázat1[[#This Row],[Kész2020_2]]&lt;0,0,Táblázat1[[#This Row],[Karb./akt.év]]-Táblázat1[[#This Row],[Kész2020_2]])</f>
        <v>1</v>
      </c>
    </row>
    <row r="2171" spans="1:14" hidden="1" x14ac:dyDescent="0.25">
      <c r="A2171" s="17" t="s">
        <v>12</v>
      </c>
      <c r="B2171" s="17" t="s">
        <v>446</v>
      </c>
      <c r="C2171" s="17" t="s">
        <v>1737</v>
      </c>
      <c r="D2171" s="17" t="s">
        <v>2204</v>
      </c>
      <c r="E2171" s="17" t="s">
        <v>3817</v>
      </c>
      <c r="F2171" s="17" t="s">
        <v>3598</v>
      </c>
      <c r="G2171" s="17" t="s">
        <v>5411</v>
      </c>
      <c r="H2171" t="s">
        <v>7476</v>
      </c>
      <c r="I2171" s="1">
        <v>2</v>
      </c>
      <c r="J2171" s="1">
        <v>2</v>
      </c>
      <c r="K2171" s="5" t="s">
        <v>6633</v>
      </c>
      <c r="L2171" s="5">
        <f>VLOOKUP(D:D,[1]Munka2!$A:$B,2,FALSE)</f>
        <v>1</v>
      </c>
      <c r="M2171" s="5">
        <f>_xlfn.IFNA(Táblázat1[[#This Row],[Kész2020]],0)</f>
        <v>1</v>
      </c>
      <c r="N2171" s="5">
        <f>IF(Táblázat1[[#This Row],[Karb./akt.év]]-Táblázat1[[#This Row],[Kész2020_2]]&lt;0,0,Táblázat1[[#This Row],[Karb./akt.év]]-Táblázat1[[#This Row],[Kész2020_2]])</f>
        <v>1</v>
      </c>
    </row>
    <row r="2172" spans="1:14" hidden="1" x14ac:dyDescent="0.25">
      <c r="A2172" s="17" t="s">
        <v>12</v>
      </c>
      <c r="B2172" s="17" t="s">
        <v>1549</v>
      </c>
      <c r="C2172" s="17" t="s">
        <v>1736</v>
      </c>
      <c r="D2172" s="17" t="s">
        <v>7209</v>
      </c>
      <c r="E2172" s="17" t="s">
        <v>4280</v>
      </c>
      <c r="F2172" s="17" t="s">
        <v>3598</v>
      </c>
      <c r="G2172" s="17" t="s">
        <v>7210</v>
      </c>
      <c r="H2172" t="s">
        <v>7476</v>
      </c>
      <c r="I2172" s="1">
        <v>2</v>
      </c>
      <c r="J2172" s="1">
        <v>2</v>
      </c>
      <c r="K2172" s="5" t="s">
        <v>6633</v>
      </c>
      <c r="L2172" s="5">
        <f>VLOOKUP(D:D,[1]Munka2!$A:$B,2,FALSE)</f>
        <v>1</v>
      </c>
      <c r="M2172" s="5">
        <f>_xlfn.IFNA(Táblázat1[[#This Row],[Kész2020]],0)</f>
        <v>1</v>
      </c>
      <c r="N2172" s="5">
        <f>IF(Táblázat1[[#This Row],[Karb./akt.év]]-Táblázat1[[#This Row],[Kész2020_2]]&lt;0,0,Táblázat1[[#This Row],[Karb./akt.év]]-Táblázat1[[#This Row],[Kész2020_2]])</f>
        <v>1</v>
      </c>
    </row>
    <row r="2173" spans="1:14" hidden="1" x14ac:dyDescent="0.25">
      <c r="A2173" s="17" t="s">
        <v>12</v>
      </c>
      <c r="B2173" s="17" t="s">
        <v>931</v>
      </c>
      <c r="C2173" s="17" t="s">
        <v>1736</v>
      </c>
      <c r="D2173" s="17" t="s">
        <v>2714</v>
      </c>
      <c r="E2173" s="17" t="s">
        <v>3788</v>
      </c>
      <c r="F2173" s="17" t="s">
        <v>3789</v>
      </c>
      <c r="G2173" s="17" t="s">
        <v>5856</v>
      </c>
      <c r="H2173" t="s">
        <v>7476</v>
      </c>
      <c r="I2173" s="1">
        <v>2</v>
      </c>
      <c r="J2173" s="1">
        <v>2</v>
      </c>
      <c r="K2173" s="5" t="s">
        <v>6634</v>
      </c>
      <c r="L2173" s="5">
        <f>VLOOKUP(D:D,[1]Munka2!$A:$B,2,FALSE)</f>
        <v>1</v>
      </c>
      <c r="M2173" s="5">
        <f>_xlfn.IFNA(Táblázat1[[#This Row],[Kész2020]],0)</f>
        <v>1</v>
      </c>
      <c r="N2173" s="5">
        <f>IF(Táblázat1[[#This Row],[Karb./akt.év]]-Táblázat1[[#This Row],[Kész2020_2]]&lt;0,0,Táblázat1[[#This Row],[Karb./akt.év]]-Táblázat1[[#This Row],[Kész2020_2]])</f>
        <v>1</v>
      </c>
    </row>
    <row r="2174" spans="1:14" hidden="1" x14ac:dyDescent="0.25">
      <c r="A2174" s="17" t="s">
        <v>12</v>
      </c>
      <c r="B2174" s="17" t="s">
        <v>1594</v>
      </c>
      <c r="C2174" s="17" t="s">
        <v>1736</v>
      </c>
      <c r="D2174" s="17" t="s">
        <v>3441</v>
      </c>
      <c r="E2174" s="17" t="s">
        <v>4421</v>
      </c>
      <c r="F2174" s="17" t="s">
        <v>3598</v>
      </c>
      <c r="G2174" s="17" t="s">
        <v>6493</v>
      </c>
      <c r="H2174" t="s">
        <v>7476</v>
      </c>
      <c r="I2174" s="1">
        <v>2</v>
      </c>
      <c r="J2174" s="1">
        <v>2</v>
      </c>
      <c r="K2174" s="5" t="s">
        <v>6636</v>
      </c>
      <c r="L2174" s="5">
        <f>VLOOKUP(D:D,[1]Munka2!$A:$B,2,FALSE)</f>
        <v>1</v>
      </c>
      <c r="M2174" s="5">
        <f>_xlfn.IFNA(Táblázat1[[#This Row],[Kész2020]],0)</f>
        <v>1</v>
      </c>
      <c r="N2174" s="5">
        <f>IF(Táblázat1[[#This Row],[Karb./akt.év]]-Táblázat1[[#This Row],[Kész2020_2]]&lt;0,0,Táblázat1[[#This Row],[Karb./akt.év]]-Táblázat1[[#This Row],[Kész2020_2]])</f>
        <v>1</v>
      </c>
    </row>
    <row r="2175" spans="1:14" hidden="1" x14ac:dyDescent="0.25">
      <c r="A2175" s="17" t="s">
        <v>12</v>
      </c>
      <c r="B2175" s="17" t="s">
        <v>7051</v>
      </c>
      <c r="C2175" s="17" t="s">
        <v>1736</v>
      </c>
      <c r="D2175" s="17" t="s">
        <v>3394</v>
      </c>
      <c r="E2175" s="17" t="s">
        <v>3597</v>
      </c>
      <c r="F2175" s="17" t="s">
        <v>3598</v>
      </c>
      <c r="G2175" s="17" t="s">
        <v>7116</v>
      </c>
      <c r="H2175" t="s">
        <v>7476</v>
      </c>
      <c r="I2175" s="1">
        <v>2</v>
      </c>
      <c r="J2175" s="1">
        <v>2</v>
      </c>
      <c r="K2175" s="5" t="s">
        <v>6633</v>
      </c>
      <c r="L2175" s="5">
        <f>VLOOKUP(D:D,[1]Munka2!$A:$B,2,FALSE)</f>
        <v>1</v>
      </c>
      <c r="M2175" s="5">
        <f>_xlfn.IFNA(Táblázat1[[#This Row],[Kész2020]],0)</f>
        <v>1</v>
      </c>
      <c r="N2175" s="5">
        <f>IF(Táblázat1[[#This Row],[Karb./akt.év]]-Táblázat1[[#This Row],[Kész2020_2]]&lt;0,0,Táblázat1[[#This Row],[Karb./akt.év]]-Táblázat1[[#This Row],[Kész2020_2]])</f>
        <v>1</v>
      </c>
    </row>
    <row r="2176" spans="1:14" hidden="1" x14ac:dyDescent="0.25">
      <c r="A2176" s="17" t="s">
        <v>12</v>
      </c>
      <c r="B2176" s="17" t="s">
        <v>7052</v>
      </c>
      <c r="C2176" s="17" t="s">
        <v>1743</v>
      </c>
      <c r="D2176" s="17" t="s">
        <v>7088</v>
      </c>
      <c r="E2176" s="17" t="s">
        <v>3597</v>
      </c>
      <c r="F2176" s="17" t="s">
        <v>3598</v>
      </c>
      <c r="G2176" s="17" t="s">
        <v>7116</v>
      </c>
      <c r="H2176" t="s">
        <v>7476</v>
      </c>
      <c r="I2176" s="1">
        <v>2</v>
      </c>
      <c r="J2176" s="1">
        <v>2</v>
      </c>
      <c r="K2176" s="5" t="s">
        <v>6633</v>
      </c>
      <c r="L2176" s="5">
        <f>VLOOKUP(D:D,[1]Munka2!$A:$B,2,FALSE)</f>
        <v>1</v>
      </c>
      <c r="M2176" s="5">
        <f>_xlfn.IFNA(Táblázat1[[#This Row],[Kész2020]],0)</f>
        <v>1</v>
      </c>
      <c r="N2176" s="5">
        <f>IF(Táblázat1[[#This Row],[Karb./akt.év]]-Táblázat1[[#This Row],[Kész2020_2]]&lt;0,0,Táblázat1[[#This Row],[Karb./akt.év]]-Táblázat1[[#This Row],[Kész2020_2]])</f>
        <v>1</v>
      </c>
    </row>
    <row r="2177" spans="1:14" hidden="1" x14ac:dyDescent="0.25">
      <c r="A2177" s="17" t="s">
        <v>12</v>
      </c>
      <c r="B2177" s="17" t="s">
        <v>7053</v>
      </c>
      <c r="C2177" s="17" t="s">
        <v>1736</v>
      </c>
      <c r="D2177" s="17" t="s">
        <v>7089</v>
      </c>
      <c r="E2177" s="17" t="s">
        <v>3824</v>
      </c>
      <c r="F2177" s="17" t="s">
        <v>3598</v>
      </c>
      <c r="G2177" s="17" t="s">
        <v>7117</v>
      </c>
      <c r="H2177" t="s">
        <v>7476</v>
      </c>
      <c r="I2177" s="1">
        <v>2</v>
      </c>
      <c r="J2177" s="1">
        <v>2</v>
      </c>
      <c r="K2177" s="5" t="s">
        <v>6785</v>
      </c>
      <c r="L2177" s="5">
        <f>VLOOKUP(D:D,[1]Munka2!$A:$B,2,FALSE)</f>
        <v>1</v>
      </c>
      <c r="M2177" s="5">
        <f>_xlfn.IFNA(Táblázat1[[#This Row],[Kész2020]],0)</f>
        <v>1</v>
      </c>
      <c r="N2177" s="5">
        <f>IF(Táblázat1[[#This Row],[Karb./akt.év]]-Táblázat1[[#This Row],[Kész2020_2]]&lt;0,0,Táblázat1[[#This Row],[Karb./akt.év]]-Táblázat1[[#This Row],[Kész2020_2]])</f>
        <v>1</v>
      </c>
    </row>
    <row r="2178" spans="1:14" hidden="1" x14ac:dyDescent="0.25">
      <c r="A2178" s="17" t="s">
        <v>12</v>
      </c>
      <c r="B2178" s="17" t="s">
        <v>7054</v>
      </c>
      <c r="C2178" s="17" t="s">
        <v>1743</v>
      </c>
      <c r="D2178" s="17" t="s">
        <v>7090</v>
      </c>
      <c r="E2178" s="17" t="s">
        <v>3824</v>
      </c>
      <c r="F2178" s="17" t="s">
        <v>3598</v>
      </c>
      <c r="G2178" s="17" t="s">
        <v>7117</v>
      </c>
      <c r="H2178" t="s">
        <v>7476</v>
      </c>
      <c r="I2178" s="1">
        <v>2</v>
      </c>
      <c r="J2178" s="1">
        <v>2</v>
      </c>
      <c r="K2178" s="5" t="s">
        <v>6785</v>
      </c>
      <c r="L2178" s="5">
        <f>VLOOKUP(D:D,[1]Munka2!$A:$B,2,FALSE)</f>
        <v>1</v>
      </c>
      <c r="M2178" s="5">
        <f>_xlfn.IFNA(Táblázat1[[#This Row],[Kész2020]],0)</f>
        <v>1</v>
      </c>
      <c r="N2178" s="5">
        <f>IF(Táblázat1[[#This Row],[Karb./akt.év]]-Táblázat1[[#This Row],[Kész2020_2]]&lt;0,0,Táblázat1[[#This Row],[Karb./akt.év]]-Táblázat1[[#This Row],[Kész2020_2]])</f>
        <v>1</v>
      </c>
    </row>
    <row r="2179" spans="1:14" hidden="1" x14ac:dyDescent="0.25">
      <c r="A2179" s="17" t="s">
        <v>12</v>
      </c>
      <c r="B2179" s="17" t="s">
        <v>1721</v>
      </c>
      <c r="C2179" s="17" t="s">
        <v>1743</v>
      </c>
      <c r="D2179" s="17" t="s">
        <v>3579</v>
      </c>
      <c r="E2179" s="17" t="s">
        <v>4421</v>
      </c>
      <c r="F2179" s="17" t="s">
        <v>3598</v>
      </c>
      <c r="G2179" s="17" t="s">
        <v>6615</v>
      </c>
      <c r="H2179" t="s">
        <v>7476</v>
      </c>
      <c r="I2179" s="1">
        <v>2</v>
      </c>
      <c r="J2179" s="1">
        <v>2</v>
      </c>
      <c r="K2179" s="5" t="s">
        <v>6636</v>
      </c>
      <c r="L2179" s="5">
        <f>VLOOKUP(D:D,[1]Munka2!$A:$B,2,FALSE)</f>
        <v>1</v>
      </c>
      <c r="M2179" s="5">
        <f>_xlfn.IFNA(Táblázat1[[#This Row],[Kész2020]],0)</f>
        <v>1</v>
      </c>
      <c r="N2179" s="5">
        <f>IF(Táblázat1[[#This Row],[Karb./akt.év]]-Táblázat1[[#This Row],[Kész2020_2]]&lt;0,0,Táblázat1[[#This Row],[Karb./akt.év]]-Táblázat1[[#This Row],[Kész2020_2]])</f>
        <v>1</v>
      </c>
    </row>
    <row r="2180" spans="1:14" hidden="1" x14ac:dyDescent="0.25">
      <c r="A2180" s="17" t="s">
        <v>12</v>
      </c>
      <c r="B2180" s="17" t="s">
        <v>1564</v>
      </c>
      <c r="C2180" s="17" t="s">
        <v>1742</v>
      </c>
      <c r="D2180" s="17" t="s">
        <v>3409</v>
      </c>
      <c r="E2180" s="17" t="s">
        <v>3709</v>
      </c>
      <c r="F2180" s="17" t="s">
        <v>3710</v>
      </c>
      <c r="G2180" s="17" t="s">
        <v>6468</v>
      </c>
      <c r="H2180" t="s">
        <v>7476</v>
      </c>
      <c r="I2180" s="1">
        <v>2</v>
      </c>
      <c r="J2180" s="1">
        <v>2</v>
      </c>
      <c r="K2180" s="5" t="s">
        <v>6785</v>
      </c>
      <c r="L2180" s="5">
        <f>VLOOKUP(D:D,[1]Munka2!$A:$B,2,FALSE)</f>
        <v>1</v>
      </c>
      <c r="M2180" s="5">
        <f>_xlfn.IFNA(Táblázat1[[#This Row],[Kész2020]],0)</f>
        <v>1</v>
      </c>
      <c r="N2180" s="5">
        <f>IF(Táblázat1[[#This Row],[Karb./akt.év]]-Táblázat1[[#This Row],[Kész2020_2]]&lt;0,0,Táblázat1[[#This Row],[Karb./akt.év]]-Táblázat1[[#This Row],[Kész2020_2]])</f>
        <v>1</v>
      </c>
    </row>
    <row r="2181" spans="1:14" hidden="1" x14ac:dyDescent="0.25">
      <c r="A2181" s="17" t="s">
        <v>12</v>
      </c>
      <c r="B2181" s="17" t="s">
        <v>1327</v>
      </c>
      <c r="C2181" s="17" t="s">
        <v>1743</v>
      </c>
      <c r="D2181" s="17" t="s">
        <v>7446</v>
      </c>
      <c r="E2181" s="17" t="s">
        <v>4187</v>
      </c>
      <c r="F2181" s="17" t="s">
        <v>4188</v>
      </c>
      <c r="G2181" s="17" t="s">
        <v>6247</v>
      </c>
      <c r="H2181" t="s">
        <v>7476</v>
      </c>
      <c r="I2181" s="1">
        <v>2</v>
      </c>
      <c r="J2181" s="1">
        <v>2</v>
      </c>
      <c r="K2181" s="5" t="s">
        <v>6785</v>
      </c>
      <c r="L2181" s="5">
        <f>VLOOKUP(D:D,[1]Munka2!$A:$B,2,FALSE)</f>
        <v>1</v>
      </c>
      <c r="M2181" s="5">
        <f>_xlfn.IFNA(Táblázat1[[#This Row],[Kész2020]],0)</f>
        <v>1</v>
      </c>
      <c r="N2181" s="5">
        <f>IF(Táblázat1[[#This Row],[Karb./akt.év]]-Táblázat1[[#This Row],[Kész2020_2]]&lt;0,0,Táblázat1[[#This Row],[Karb./akt.év]]-Táblázat1[[#This Row],[Kész2020_2]])</f>
        <v>1</v>
      </c>
    </row>
    <row r="2182" spans="1:14" hidden="1" x14ac:dyDescent="0.25">
      <c r="A2182" s="17" t="s">
        <v>12</v>
      </c>
      <c r="B2182" s="17" t="s">
        <v>1110</v>
      </c>
      <c r="C2182" s="17" t="s">
        <v>1743</v>
      </c>
      <c r="D2182" s="17" t="s">
        <v>2904</v>
      </c>
      <c r="E2182" s="17" t="s">
        <v>3761</v>
      </c>
      <c r="F2182" s="17" t="s">
        <v>3762</v>
      </c>
      <c r="G2182" s="17" t="s">
        <v>6039</v>
      </c>
      <c r="H2182" t="s">
        <v>7476</v>
      </c>
      <c r="I2182" s="1">
        <v>2</v>
      </c>
      <c r="J2182" s="1">
        <v>2</v>
      </c>
      <c r="K2182" s="5" t="s">
        <v>6633</v>
      </c>
      <c r="L2182" s="5">
        <f>VLOOKUP(D:D,[1]Munka2!$A:$B,2,FALSE)</f>
        <v>1</v>
      </c>
      <c r="M2182" s="5">
        <f>_xlfn.IFNA(Táblázat1[[#This Row],[Kész2020]],0)</f>
        <v>1</v>
      </c>
      <c r="N2182" s="5">
        <f>IF(Táblázat1[[#This Row],[Karb./akt.év]]-Táblázat1[[#This Row],[Kész2020_2]]&lt;0,0,Táblázat1[[#This Row],[Karb./akt.év]]-Táblázat1[[#This Row],[Kész2020_2]])</f>
        <v>1</v>
      </c>
    </row>
    <row r="2183" spans="1:14" hidden="1" x14ac:dyDescent="0.25">
      <c r="A2183" s="17" t="s">
        <v>12</v>
      </c>
      <c r="B2183" s="17" t="s">
        <v>184</v>
      </c>
      <c r="C2183" s="17" t="s">
        <v>1743</v>
      </c>
      <c r="D2183" s="17" t="s">
        <v>1925</v>
      </c>
      <c r="E2183" s="17" t="s">
        <v>3797</v>
      </c>
      <c r="F2183" s="17" t="s">
        <v>3598</v>
      </c>
      <c r="G2183" s="17" t="s">
        <v>5154</v>
      </c>
      <c r="H2183" t="s">
        <v>7476</v>
      </c>
      <c r="I2183" s="1">
        <v>2</v>
      </c>
      <c r="J2183" s="1">
        <v>2</v>
      </c>
      <c r="K2183" s="5" t="s">
        <v>6641</v>
      </c>
      <c r="L2183" s="5">
        <f>VLOOKUP(D:D,[1]Munka2!$A:$B,2,FALSE)</f>
        <v>1</v>
      </c>
      <c r="M2183" s="5">
        <f>_xlfn.IFNA(Táblázat1[[#This Row],[Kész2020]],0)</f>
        <v>1</v>
      </c>
      <c r="N2183" s="5">
        <f>IF(Táblázat1[[#This Row],[Karb./akt.év]]-Táblázat1[[#This Row],[Kész2020_2]]&lt;0,0,Táblázat1[[#This Row],[Karb./akt.év]]-Táblázat1[[#This Row],[Kész2020_2]])</f>
        <v>1</v>
      </c>
    </row>
    <row r="2184" spans="1:14" hidden="1" x14ac:dyDescent="0.25">
      <c r="A2184" s="17" t="s">
        <v>12</v>
      </c>
      <c r="B2184" s="17" t="s">
        <v>591</v>
      </c>
      <c r="C2184" s="17" t="s">
        <v>1743</v>
      </c>
      <c r="D2184" s="17" t="s">
        <v>2365</v>
      </c>
      <c r="E2184" s="17" t="s">
        <v>4212</v>
      </c>
      <c r="F2184" s="17" t="s">
        <v>4213</v>
      </c>
      <c r="G2184" s="17" t="s">
        <v>5554</v>
      </c>
      <c r="H2184" t="s">
        <v>7476</v>
      </c>
      <c r="I2184" s="1">
        <v>2</v>
      </c>
      <c r="J2184" s="1">
        <v>2</v>
      </c>
      <c r="K2184" s="5" t="s">
        <v>6636</v>
      </c>
      <c r="L2184" s="5">
        <f>VLOOKUP(D:D,[1]Munka2!$A:$B,2,FALSE)</f>
        <v>1</v>
      </c>
      <c r="M2184" s="5">
        <f>_xlfn.IFNA(Táblázat1[[#This Row],[Kész2020]],0)</f>
        <v>1</v>
      </c>
      <c r="N2184" s="5">
        <f>IF(Táblázat1[[#This Row],[Karb./akt.év]]-Táblázat1[[#This Row],[Kész2020_2]]&lt;0,0,Táblázat1[[#This Row],[Karb./akt.év]]-Táblázat1[[#This Row],[Kész2020_2]])</f>
        <v>1</v>
      </c>
    </row>
    <row r="2185" spans="1:14" hidden="1" x14ac:dyDescent="0.25">
      <c r="A2185" s="17" t="s">
        <v>12</v>
      </c>
      <c r="B2185" s="17" t="s">
        <v>607</v>
      </c>
      <c r="C2185" s="17" t="s">
        <v>1736</v>
      </c>
      <c r="D2185" s="17" t="s">
        <v>2380</v>
      </c>
      <c r="E2185" s="17" t="s">
        <v>3625</v>
      </c>
      <c r="F2185" s="17" t="s">
        <v>3626</v>
      </c>
      <c r="G2185" s="17" t="s">
        <v>5567</v>
      </c>
      <c r="H2185" t="s">
        <v>7476</v>
      </c>
      <c r="I2185" s="1">
        <v>2</v>
      </c>
      <c r="J2185" s="1">
        <v>2</v>
      </c>
      <c r="K2185" s="5" t="s">
        <v>6642</v>
      </c>
      <c r="L2185" s="5">
        <f>VLOOKUP(D:D,[1]Munka2!$A:$B,2,FALSE)</f>
        <v>1</v>
      </c>
      <c r="M2185" s="5">
        <f>_xlfn.IFNA(Táblázat1[[#This Row],[Kész2020]],0)</f>
        <v>1</v>
      </c>
      <c r="N2185" s="5">
        <f>IF(Táblázat1[[#This Row],[Karb./akt.év]]-Táblázat1[[#This Row],[Kész2020_2]]&lt;0,0,Táblázat1[[#This Row],[Karb./akt.év]]-Táblázat1[[#This Row],[Kész2020_2]])</f>
        <v>1</v>
      </c>
    </row>
    <row r="2186" spans="1:14" hidden="1" x14ac:dyDescent="0.25">
      <c r="A2186" s="17" t="s">
        <v>12</v>
      </c>
      <c r="B2186" s="17" t="s">
        <v>325</v>
      </c>
      <c r="C2186" s="17" t="s">
        <v>1742</v>
      </c>
      <c r="D2186" s="17" t="s">
        <v>2074</v>
      </c>
      <c r="E2186" s="17" t="s">
        <v>3641</v>
      </c>
      <c r="F2186" s="17" t="s">
        <v>3642</v>
      </c>
      <c r="G2186" s="17" t="s">
        <v>5292</v>
      </c>
      <c r="H2186" t="s">
        <v>7476</v>
      </c>
      <c r="I2186" s="1">
        <v>2</v>
      </c>
      <c r="J2186" s="1">
        <v>2</v>
      </c>
      <c r="K2186" s="5" t="s">
        <v>7354</v>
      </c>
      <c r="L2186" s="5">
        <f>VLOOKUP(D:D,[1]Munka2!$A:$B,2,FALSE)</f>
        <v>1</v>
      </c>
      <c r="M2186" s="5">
        <f>_xlfn.IFNA(Táblázat1[[#This Row],[Kész2020]],0)</f>
        <v>1</v>
      </c>
      <c r="N2186" s="5">
        <f>IF(Táblázat1[[#This Row],[Karb./akt.év]]-Táblázat1[[#This Row],[Kész2020_2]]&lt;0,0,Táblázat1[[#This Row],[Karb./akt.év]]-Táblázat1[[#This Row],[Kész2020_2]])</f>
        <v>1</v>
      </c>
    </row>
    <row r="2187" spans="1:14" hidden="1" x14ac:dyDescent="0.25">
      <c r="A2187" s="17" t="s">
        <v>12</v>
      </c>
      <c r="B2187" s="17" t="s">
        <v>1455</v>
      </c>
      <c r="C2187" s="17" t="s">
        <v>1743</v>
      </c>
      <c r="D2187" s="17" t="s">
        <v>3286</v>
      </c>
      <c r="E2187" s="17" t="s">
        <v>4052</v>
      </c>
      <c r="F2187" s="17" t="s">
        <v>3598</v>
      </c>
      <c r="G2187" s="17" t="s">
        <v>6361</v>
      </c>
      <c r="H2187" t="s">
        <v>7476</v>
      </c>
      <c r="I2187" s="1">
        <v>2</v>
      </c>
      <c r="J2187" s="1">
        <v>2</v>
      </c>
      <c r="K2187" s="5" t="s">
        <v>7017</v>
      </c>
      <c r="L2187" s="5">
        <f>VLOOKUP(D:D,[1]Munka2!$A:$B,2,FALSE)</f>
        <v>1</v>
      </c>
      <c r="M2187" s="5">
        <f>_xlfn.IFNA(Táblázat1[[#This Row],[Kész2020]],0)</f>
        <v>1</v>
      </c>
      <c r="N2187" s="5">
        <f>IF(Táblázat1[[#This Row],[Karb./akt.év]]-Táblázat1[[#This Row],[Kész2020_2]]&lt;0,0,Táblázat1[[#This Row],[Karb./akt.év]]-Táblázat1[[#This Row],[Kész2020_2]])</f>
        <v>1</v>
      </c>
    </row>
    <row r="2188" spans="1:14" hidden="1" x14ac:dyDescent="0.25">
      <c r="A2188" s="17" t="s">
        <v>12</v>
      </c>
      <c r="B2188" s="17" t="s">
        <v>404</v>
      </c>
      <c r="C2188" s="17" t="s">
        <v>1742</v>
      </c>
      <c r="D2188" s="17" t="s">
        <v>2159</v>
      </c>
      <c r="E2188" s="17" t="s">
        <v>4022</v>
      </c>
      <c r="F2188" s="17" t="s">
        <v>4023</v>
      </c>
      <c r="G2188" s="17" t="s">
        <v>5371</v>
      </c>
      <c r="H2188" t="s">
        <v>7476</v>
      </c>
      <c r="I2188" s="1">
        <v>2</v>
      </c>
      <c r="J2188" s="1">
        <v>2</v>
      </c>
      <c r="K2188" s="5" t="s">
        <v>6636</v>
      </c>
      <c r="L2188" s="5">
        <f>VLOOKUP(D:D,[1]Munka2!$A:$B,2,FALSE)</f>
        <v>1</v>
      </c>
      <c r="M2188" s="5">
        <f>_xlfn.IFNA(Táblázat1[[#This Row],[Kész2020]],0)</f>
        <v>1</v>
      </c>
      <c r="N2188" s="5">
        <f>IF(Táblázat1[[#This Row],[Karb./akt.év]]-Táblázat1[[#This Row],[Kész2020_2]]&lt;0,0,Táblázat1[[#This Row],[Karb./akt.év]]-Táblázat1[[#This Row],[Kész2020_2]])</f>
        <v>1</v>
      </c>
    </row>
    <row r="2189" spans="1:14" hidden="1" x14ac:dyDescent="0.25">
      <c r="A2189" s="17" t="s">
        <v>12</v>
      </c>
      <c r="B2189" s="17" t="s">
        <v>417</v>
      </c>
      <c r="C2189" s="17" t="s">
        <v>1743</v>
      </c>
      <c r="D2189" s="17" t="s">
        <v>2173</v>
      </c>
      <c r="E2189" s="17" t="s">
        <v>3957</v>
      </c>
      <c r="F2189" s="17" t="s">
        <v>3958</v>
      </c>
      <c r="G2189" s="17" t="s">
        <v>5382</v>
      </c>
      <c r="H2189" t="s">
        <v>7476</v>
      </c>
      <c r="I2189" s="1">
        <v>2</v>
      </c>
      <c r="J2189" s="1">
        <v>2</v>
      </c>
      <c r="K2189" s="5" t="s">
        <v>7014</v>
      </c>
      <c r="L2189" s="5">
        <f>VLOOKUP(D:D,[1]Munka2!$A:$B,2,FALSE)</f>
        <v>1</v>
      </c>
      <c r="M2189" s="5">
        <f>_xlfn.IFNA(Táblázat1[[#This Row],[Kész2020]],0)</f>
        <v>1</v>
      </c>
      <c r="N2189" s="5">
        <f>IF(Táblázat1[[#This Row],[Karb./akt.év]]-Táblázat1[[#This Row],[Kész2020_2]]&lt;0,0,Táblázat1[[#This Row],[Karb./akt.év]]-Táblázat1[[#This Row],[Kész2020_2]])</f>
        <v>1</v>
      </c>
    </row>
    <row r="2190" spans="1:14" hidden="1" x14ac:dyDescent="0.25">
      <c r="A2190" s="17" t="s">
        <v>12</v>
      </c>
      <c r="B2190" s="17" t="s">
        <v>7055</v>
      </c>
      <c r="C2190" s="17" t="s">
        <v>1743</v>
      </c>
      <c r="D2190" s="17" t="s">
        <v>7091</v>
      </c>
      <c r="E2190" s="17" t="s">
        <v>4421</v>
      </c>
      <c r="F2190" s="17" t="s">
        <v>3598</v>
      </c>
      <c r="G2190" s="17" t="s">
        <v>6615</v>
      </c>
      <c r="H2190" t="s">
        <v>7476</v>
      </c>
      <c r="I2190" s="1">
        <v>2</v>
      </c>
      <c r="J2190" s="1">
        <v>2</v>
      </c>
      <c r="K2190" s="5" t="s">
        <v>6636</v>
      </c>
      <c r="L2190" s="5">
        <f>VLOOKUP(D:D,[1]Munka2!$A:$B,2,FALSE)</f>
        <v>1</v>
      </c>
      <c r="M2190" s="5">
        <f>_xlfn.IFNA(Táblázat1[[#This Row],[Kész2020]],0)</f>
        <v>1</v>
      </c>
      <c r="N2190" s="5">
        <f>IF(Táblázat1[[#This Row],[Karb./akt.év]]-Táblázat1[[#This Row],[Kész2020_2]]&lt;0,0,Táblázat1[[#This Row],[Karb./akt.év]]-Táblázat1[[#This Row],[Kész2020_2]])</f>
        <v>1</v>
      </c>
    </row>
    <row r="2191" spans="1:14" hidden="1" x14ac:dyDescent="0.25">
      <c r="A2191" s="17" t="s">
        <v>12</v>
      </c>
      <c r="B2191" s="17" t="s">
        <v>1413</v>
      </c>
      <c r="C2191" s="17" t="s">
        <v>1743</v>
      </c>
      <c r="D2191" s="17" t="s">
        <v>3241</v>
      </c>
      <c r="E2191" s="17" t="s">
        <v>4602</v>
      </c>
      <c r="F2191" s="17" t="s">
        <v>4603</v>
      </c>
      <c r="G2191" s="17" t="s">
        <v>6316</v>
      </c>
      <c r="H2191" t="s">
        <v>7476</v>
      </c>
      <c r="I2191" s="1">
        <v>2</v>
      </c>
      <c r="J2191" s="1">
        <v>2</v>
      </c>
      <c r="K2191" s="5" t="s">
        <v>7017</v>
      </c>
      <c r="L2191" s="5">
        <f>VLOOKUP(D:D,[1]Munka2!$A:$B,2,FALSE)</f>
        <v>1</v>
      </c>
      <c r="M2191" s="5">
        <f>_xlfn.IFNA(Táblázat1[[#This Row],[Kész2020]],0)</f>
        <v>1</v>
      </c>
      <c r="N2191" s="5">
        <f>IF(Táblázat1[[#This Row],[Karb./akt.év]]-Táblázat1[[#This Row],[Kész2020_2]]&lt;0,0,Táblázat1[[#This Row],[Karb./akt.év]]-Táblázat1[[#This Row],[Kész2020_2]])</f>
        <v>1</v>
      </c>
    </row>
    <row r="2192" spans="1:14" hidden="1" x14ac:dyDescent="0.25">
      <c r="A2192" s="17" t="s">
        <v>12</v>
      </c>
      <c r="B2192" s="17" t="s">
        <v>1126</v>
      </c>
      <c r="C2192" s="17" t="s">
        <v>1742</v>
      </c>
      <c r="D2192" s="17" t="s">
        <v>2921</v>
      </c>
      <c r="E2192" s="17" t="s">
        <v>4632</v>
      </c>
      <c r="F2192" s="17" t="s">
        <v>4633</v>
      </c>
      <c r="G2192" s="17" t="s">
        <v>6054</v>
      </c>
      <c r="H2192" t="s">
        <v>7476</v>
      </c>
      <c r="I2192" s="1">
        <v>2</v>
      </c>
      <c r="J2192" s="1">
        <v>2</v>
      </c>
      <c r="K2192" s="5" t="s">
        <v>6633</v>
      </c>
      <c r="L2192" s="5">
        <f>VLOOKUP(D:D,[1]Munka2!$A:$B,2,FALSE)</f>
        <v>1</v>
      </c>
      <c r="M2192" s="5">
        <f>_xlfn.IFNA(Táblázat1[[#This Row],[Kész2020]],0)</f>
        <v>1</v>
      </c>
      <c r="N2192" s="5">
        <f>IF(Táblázat1[[#This Row],[Karb./akt.év]]-Táblázat1[[#This Row],[Kész2020_2]]&lt;0,0,Táblázat1[[#This Row],[Karb./akt.év]]-Táblázat1[[#This Row],[Kész2020_2]])</f>
        <v>1</v>
      </c>
    </row>
    <row r="2193" spans="1:14" hidden="1" x14ac:dyDescent="0.25">
      <c r="A2193" s="17" t="s">
        <v>12</v>
      </c>
      <c r="B2193" s="17" t="s">
        <v>739</v>
      </c>
      <c r="C2193" s="17" t="s">
        <v>1743</v>
      </c>
      <c r="D2193" s="17" t="s">
        <v>2516</v>
      </c>
      <c r="E2193" s="17" t="s">
        <v>3754</v>
      </c>
      <c r="F2193" s="17" t="s">
        <v>3755</v>
      </c>
      <c r="G2193" s="17" t="s">
        <v>5685</v>
      </c>
      <c r="H2193" t="s">
        <v>7476</v>
      </c>
      <c r="I2193" s="1">
        <v>2</v>
      </c>
      <c r="J2193" s="1">
        <v>2</v>
      </c>
      <c r="K2193" s="5" t="s">
        <v>6640</v>
      </c>
      <c r="L2193" s="5">
        <f>VLOOKUP(D:D,[1]Munka2!$A:$B,2,FALSE)</f>
        <v>1</v>
      </c>
      <c r="M2193" s="5">
        <f>_xlfn.IFNA(Táblázat1[[#This Row],[Kész2020]],0)</f>
        <v>1</v>
      </c>
      <c r="N2193" s="5">
        <f>IF(Táblázat1[[#This Row],[Karb./akt.év]]-Táblázat1[[#This Row],[Kész2020_2]]&lt;0,0,Táblázat1[[#This Row],[Karb./akt.év]]-Táblázat1[[#This Row],[Kész2020_2]])</f>
        <v>1</v>
      </c>
    </row>
    <row r="2194" spans="1:14" hidden="1" x14ac:dyDescent="0.25">
      <c r="A2194" s="17" t="s">
        <v>12</v>
      </c>
      <c r="B2194" s="17" t="s">
        <v>686</v>
      </c>
      <c r="C2194" s="17" t="s">
        <v>1742</v>
      </c>
      <c r="D2194" s="17" t="s">
        <v>2461</v>
      </c>
      <c r="E2194" s="17" t="s">
        <v>4294</v>
      </c>
      <c r="F2194" s="17" t="s">
        <v>3664</v>
      </c>
      <c r="G2194" s="17" t="s">
        <v>5640</v>
      </c>
      <c r="H2194" t="s">
        <v>7476</v>
      </c>
      <c r="I2194" s="1">
        <v>2</v>
      </c>
      <c r="J2194" s="1">
        <v>2</v>
      </c>
      <c r="K2194" s="5" t="s">
        <v>6638</v>
      </c>
      <c r="L2194" s="5">
        <f>VLOOKUP(D:D,[1]Munka2!$A:$B,2,FALSE)</f>
        <v>1</v>
      </c>
      <c r="M2194" s="5">
        <f>_xlfn.IFNA(Táblázat1[[#This Row],[Kész2020]],0)</f>
        <v>1</v>
      </c>
      <c r="N2194" s="5">
        <f>IF(Táblázat1[[#This Row],[Karb./akt.év]]-Táblázat1[[#This Row],[Kész2020_2]]&lt;0,0,Táblázat1[[#This Row],[Karb./akt.év]]-Táblázat1[[#This Row],[Kész2020_2]])</f>
        <v>1</v>
      </c>
    </row>
    <row r="2195" spans="1:14" hidden="1" x14ac:dyDescent="0.25">
      <c r="A2195" s="17" t="s">
        <v>12</v>
      </c>
      <c r="B2195" s="17" t="s">
        <v>1138</v>
      </c>
      <c r="C2195" s="17" t="s">
        <v>1743</v>
      </c>
      <c r="D2195" s="17" t="s">
        <v>2936</v>
      </c>
      <c r="E2195" s="17" t="s">
        <v>4643</v>
      </c>
      <c r="F2195" s="17" t="s">
        <v>3664</v>
      </c>
      <c r="G2195" s="17" t="s">
        <v>6069</v>
      </c>
      <c r="H2195" t="s">
        <v>7476</v>
      </c>
      <c r="I2195" s="1">
        <v>2</v>
      </c>
      <c r="J2195" s="1">
        <v>2</v>
      </c>
      <c r="K2195" s="5" t="s">
        <v>6638</v>
      </c>
      <c r="L2195" s="5">
        <f>VLOOKUP(D:D,[1]Munka2!$A:$B,2,FALSE)</f>
        <v>1</v>
      </c>
      <c r="M2195" s="5">
        <f>_xlfn.IFNA(Táblázat1[[#This Row],[Kész2020]],0)</f>
        <v>1</v>
      </c>
      <c r="N2195" s="5">
        <f>IF(Táblázat1[[#This Row],[Karb./akt.év]]-Táblázat1[[#This Row],[Kész2020_2]]&lt;0,0,Táblázat1[[#This Row],[Karb./akt.év]]-Táblázat1[[#This Row],[Kész2020_2]])</f>
        <v>1</v>
      </c>
    </row>
    <row r="2196" spans="1:14" hidden="1" x14ac:dyDescent="0.25">
      <c r="A2196" s="17" t="s">
        <v>12</v>
      </c>
      <c r="B2196" s="17" t="s">
        <v>1724</v>
      </c>
      <c r="C2196" s="17" t="s">
        <v>1736</v>
      </c>
      <c r="D2196" s="17" t="s">
        <v>3583</v>
      </c>
      <c r="E2196" s="17" t="s">
        <v>4421</v>
      </c>
      <c r="F2196" s="17" t="s">
        <v>3598</v>
      </c>
      <c r="G2196" s="17" t="s">
        <v>6619</v>
      </c>
      <c r="H2196" t="s">
        <v>7476</v>
      </c>
      <c r="I2196" s="1">
        <v>2</v>
      </c>
      <c r="J2196" s="1">
        <v>2</v>
      </c>
      <c r="K2196" s="5" t="s">
        <v>6636</v>
      </c>
      <c r="L2196" s="5">
        <f>VLOOKUP(D:D,[1]Munka2!$A:$B,2,FALSE)</f>
        <v>1</v>
      </c>
      <c r="M2196" s="5">
        <f>_xlfn.IFNA(Táblázat1[[#This Row],[Kész2020]],0)</f>
        <v>1</v>
      </c>
      <c r="N2196" s="5">
        <f>IF(Táblázat1[[#This Row],[Karb./akt.év]]-Táblázat1[[#This Row],[Kész2020_2]]&lt;0,0,Táblázat1[[#This Row],[Karb./akt.év]]-Táblázat1[[#This Row],[Kész2020_2]])</f>
        <v>1</v>
      </c>
    </row>
    <row r="2197" spans="1:14" hidden="1" x14ac:dyDescent="0.25">
      <c r="A2197" s="17" t="s">
        <v>12</v>
      </c>
      <c r="B2197" s="17" t="s">
        <v>623</v>
      </c>
      <c r="C2197" s="17" t="s">
        <v>1737</v>
      </c>
      <c r="D2197" s="17" t="s">
        <v>2396</v>
      </c>
      <c r="E2197" s="17" t="s">
        <v>3893</v>
      </c>
      <c r="F2197" s="17" t="s">
        <v>3664</v>
      </c>
      <c r="G2197" s="17" t="s">
        <v>5582</v>
      </c>
      <c r="H2197" t="s">
        <v>7476</v>
      </c>
      <c r="I2197" s="1">
        <v>2</v>
      </c>
      <c r="J2197" s="1">
        <v>2</v>
      </c>
      <c r="K2197" s="5" t="s">
        <v>6638</v>
      </c>
      <c r="L2197" s="5">
        <f>VLOOKUP(D:D,[1]Munka2!$A:$B,2,FALSE)</f>
        <v>1</v>
      </c>
      <c r="M2197" s="5">
        <f>_xlfn.IFNA(Táblázat1[[#This Row],[Kész2020]],0)</f>
        <v>1</v>
      </c>
      <c r="N2197" s="5">
        <f>IF(Táblázat1[[#This Row],[Karb./akt.év]]-Táblázat1[[#This Row],[Kész2020_2]]&lt;0,0,Táblázat1[[#This Row],[Karb./akt.év]]-Táblázat1[[#This Row],[Kész2020_2]])</f>
        <v>1</v>
      </c>
    </row>
    <row r="2198" spans="1:14" x14ac:dyDescent="0.25">
      <c r="A2198" s="17" t="s">
        <v>12</v>
      </c>
      <c r="B2198" s="17" t="s">
        <v>560</v>
      </c>
      <c r="C2198" s="17" t="s">
        <v>1735</v>
      </c>
      <c r="D2198" s="17" t="s">
        <v>2331</v>
      </c>
      <c r="E2198" s="17" t="s">
        <v>4189</v>
      </c>
      <c r="F2198" s="17" t="s">
        <v>3679</v>
      </c>
      <c r="G2198" s="17" t="s">
        <v>5522</v>
      </c>
      <c r="H2198" t="s">
        <v>7476</v>
      </c>
      <c r="I2198" s="1">
        <v>2</v>
      </c>
      <c r="J2198" s="1">
        <v>2</v>
      </c>
      <c r="K2198" s="5" t="s">
        <v>6635</v>
      </c>
      <c r="L2198" s="5" t="e">
        <f>VLOOKUP(D:D,[1]Munka2!$A:$B,2,FALSE)</f>
        <v>#N/A</v>
      </c>
      <c r="M2198" s="5">
        <f>_xlfn.IFNA(Táblázat1[[#This Row],[Kész2020]],0)</f>
        <v>0</v>
      </c>
      <c r="N2198" s="5">
        <f>IF(Táblázat1[[#This Row],[Karb./akt.év]]-Táblázat1[[#This Row],[Kész2020_2]]&lt;0,0,Táblázat1[[#This Row],[Karb./akt.év]]-Táblázat1[[#This Row],[Kész2020_2]])</f>
        <v>2</v>
      </c>
    </row>
    <row r="2199" spans="1:14" hidden="1" x14ac:dyDescent="0.25">
      <c r="A2199" s="17" t="s">
        <v>12</v>
      </c>
      <c r="B2199" s="17" t="s">
        <v>824</v>
      </c>
      <c r="C2199" s="17" t="s">
        <v>1737</v>
      </c>
      <c r="D2199" s="17" t="s">
        <v>2602</v>
      </c>
      <c r="E2199" s="17" t="s">
        <v>3881</v>
      </c>
      <c r="F2199" s="17" t="s">
        <v>3755</v>
      </c>
      <c r="G2199" s="17" t="s">
        <v>5763</v>
      </c>
      <c r="H2199" t="s">
        <v>7476</v>
      </c>
      <c r="I2199" s="1">
        <v>2</v>
      </c>
      <c r="J2199" s="1">
        <v>2</v>
      </c>
      <c r="K2199" s="5" t="s">
        <v>6640</v>
      </c>
      <c r="L2199" s="5">
        <f>VLOOKUP(D:D,[1]Munka2!$A:$B,2,FALSE)</f>
        <v>1</v>
      </c>
      <c r="M2199" s="5">
        <f>_xlfn.IFNA(Táblázat1[[#This Row],[Kész2020]],0)</f>
        <v>1</v>
      </c>
      <c r="N2199" s="5">
        <f>IF(Táblázat1[[#This Row],[Karb./akt.év]]-Táblázat1[[#This Row],[Kész2020_2]]&lt;0,0,Táblázat1[[#This Row],[Karb./akt.év]]-Táblázat1[[#This Row],[Kész2020_2]])</f>
        <v>1</v>
      </c>
    </row>
    <row r="2200" spans="1:14" hidden="1" x14ac:dyDescent="0.25">
      <c r="A2200" s="17" t="s">
        <v>12</v>
      </c>
      <c r="B2200" s="17" t="s">
        <v>335</v>
      </c>
      <c r="C2200" s="17" t="s">
        <v>1737</v>
      </c>
      <c r="D2200" s="17" t="s">
        <v>2084</v>
      </c>
      <c r="E2200" s="17" t="s">
        <v>3792</v>
      </c>
      <c r="F2200" s="17" t="s">
        <v>3793</v>
      </c>
      <c r="G2200" s="17" t="s">
        <v>5299</v>
      </c>
      <c r="H2200" t="s">
        <v>7476</v>
      </c>
      <c r="I2200" s="1">
        <v>2</v>
      </c>
      <c r="J2200" s="1">
        <v>2</v>
      </c>
      <c r="K2200" s="5" t="s">
        <v>6639</v>
      </c>
      <c r="L2200" s="5">
        <f>VLOOKUP(D:D,[1]Munka2!$A:$B,2,FALSE)</f>
        <v>1</v>
      </c>
      <c r="M2200" s="5">
        <f>_xlfn.IFNA(Táblázat1[[#This Row],[Kész2020]],0)</f>
        <v>1</v>
      </c>
      <c r="N2200" s="5">
        <f>IF(Táblázat1[[#This Row],[Karb./akt.év]]-Táblázat1[[#This Row],[Kész2020_2]]&lt;0,0,Táblázat1[[#This Row],[Karb./akt.év]]-Táblázat1[[#This Row],[Kész2020_2]])</f>
        <v>1</v>
      </c>
    </row>
    <row r="2201" spans="1:14" hidden="1" x14ac:dyDescent="0.25">
      <c r="A2201" s="17" t="s">
        <v>12</v>
      </c>
      <c r="B2201" s="17" t="s">
        <v>501</v>
      </c>
      <c r="C2201" s="17" t="s">
        <v>1736</v>
      </c>
      <c r="D2201" s="17" t="s">
        <v>2263</v>
      </c>
      <c r="E2201" s="17" t="s">
        <v>3840</v>
      </c>
      <c r="F2201" s="17" t="s">
        <v>3841</v>
      </c>
      <c r="G2201" s="17" t="s">
        <v>5463</v>
      </c>
      <c r="H2201" t="s">
        <v>7476</v>
      </c>
      <c r="I2201" s="1">
        <v>2</v>
      </c>
      <c r="J2201" s="1">
        <v>2</v>
      </c>
      <c r="K2201" s="5" t="s">
        <v>6635</v>
      </c>
      <c r="L2201" s="5">
        <f>VLOOKUP(D:D,[1]Munka2!$A:$B,2,FALSE)</f>
        <v>1</v>
      </c>
      <c r="M2201" s="5">
        <f>_xlfn.IFNA(Táblázat1[[#This Row],[Kész2020]],0)</f>
        <v>1</v>
      </c>
      <c r="N2201" s="5">
        <f>IF(Táblázat1[[#This Row],[Karb./akt.év]]-Táblázat1[[#This Row],[Kész2020_2]]&lt;0,0,Táblázat1[[#This Row],[Karb./akt.év]]-Táblázat1[[#This Row],[Kész2020_2]])</f>
        <v>1</v>
      </c>
    </row>
    <row r="2202" spans="1:14" hidden="1" x14ac:dyDescent="0.25">
      <c r="A2202" s="17" t="s">
        <v>12</v>
      </c>
      <c r="B2202" s="17" t="s">
        <v>141</v>
      </c>
      <c r="C2202" s="17" t="s">
        <v>1736</v>
      </c>
      <c r="D2202" s="17" t="s">
        <v>1881</v>
      </c>
      <c r="E2202" s="17" t="s">
        <v>3741</v>
      </c>
      <c r="F2202" s="17" t="s">
        <v>3742</v>
      </c>
      <c r="G2202" s="17" t="s">
        <v>5114</v>
      </c>
      <c r="H2202" t="s">
        <v>7476</v>
      </c>
      <c r="I2202" s="1">
        <v>2</v>
      </c>
      <c r="J2202" s="1">
        <v>2</v>
      </c>
      <c r="K2202" s="5" t="s">
        <v>7354</v>
      </c>
      <c r="L2202" s="5">
        <f>VLOOKUP(D:D,[1]Munka2!$A:$B,2,FALSE)</f>
        <v>1</v>
      </c>
      <c r="M2202" s="5">
        <f>_xlfn.IFNA(Táblázat1[[#This Row],[Kész2020]],0)</f>
        <v>1</v>
      </c>
      <c r="N2202" s="5">
        <f>IF(Táblázat1[[#This Row],[Karb./akt.év]]-Táblázat1[[#This Row],[Kész2020_2]]&lt;0,0,Táblázat1[[#This Row],[Karb./akt.év]]-Táblázat1[[#This Row],[Kész2020_2]])</f>
        <v>1</v>
      </c>
    </row>
    <row r="2203" spans="1:14" hidden="1" x14ac:dyDescent="0.25">
      <c r="A2203" s="17" t="s">
        <v>12</v>
      </c>
      <c r="B2203" s="17" t="s">
        <v>1365</v>
      </c>
      <c r="C2203" s="17" t="s">
        <v>1737</v>
      </c>
      <c r="D2203" s="17" t="s">
        <v>3184</v>
      </c>
      <c r="E2203" s="17" t="s">
        <v>3888</v>
      </c>
      <c r="F2203" s="17" t="s">
        <v>3889</v>
      </c>
      <c r="G2203" s="17" t="s">
        <v>6273</v>
      </c>
      <c r="H2203" t="s">
        <v>7476</v>
      </c>
      <c r="I2203" s="1">
        <v>2</v>
      </c>
      <c r="J2203" s="1">
        <v>2</v>
      </c>
      <c r="K2203" s="5" t="s">
        <v>7354</v>
      </c>
      <c r="L2203" s="5">
        <f>VLOOKUP(D:D,[1]Munka2!$A:$B,2,FALSE)</f>
        <v>1</v>
      </c>
      <c r="M2203" s="5">
        <f>_xlfn.IFNA(Táblázat1[[#This Row],[Kész2020]],0)</f>
        <v>1</v>
      </c>
      <c r="N2203" s="5">
        <f>IF(Táblázat1[[#This Row],[Karb./akt.év]]-Táblázat1[[#This Row],[Kész2020_2]]&lt;0,0,Táblázat1[[#This Row],[Karb./akt.év]]-Táblázat1[[#This Row],[Kész2020_2]])</f>
        <v>1</v>
      </c>
    </row>
    <row r="2204" spans="1:14" hidden="1" x14ac:dyDescent="0.25">
      <c r="A2204" s="17" t="s">
        <v>12</v>
      </c>
      <c r="B2204" s="17" t="s">
        <v>1113</v>
      </c>
      <c r="C2204" s="17" t="s">
        <v>1743</v>
      </c>
      <c r="D2204" s="17" t="s">
        <v>2907</v>
      </c>
      <c r="E2204" s="17" t="s">
        <v>4628</v>
      </c>
      <c r="F2204" s="17" t="s">
        <v>4629</v>
      </c>
      <c r="G2204" s="17" t="s">
        <v>6042</v>
      </c>
      <c r="H2204" t="s">
        <v>7476</v>
      </c>
      <c r="I2204" s="1">
        <v>2</v>
      </c>
      <c r="J2204" s="1">
        <v>2</v>
      </c>
      <c r="K2204" s="5" t="s">
        <v>6640</v>
      </c>
      <c r="L2204" s="5">
        <f>VLOOKUP(D:D,[1]Munka2!$A:$B,2,FALSE)</f>
        <v>1</v>
      </c>
      <c r="M2204" s="5">
        <f>_xlfn.IFNA(Táblázat1[[#This Row],[Kész2020]],0)</f>
        <v>1</v>
      </c>
      <c r="N2204" s="5">
        <f>IF(Táblázat1[[#This Row],[Karb./akt.év]]-Táblázat1[[#This Row],[Kész2020_2]]&lt;0,0,Táblázat1[[#This Row],[Karb./akt.év]]-Táblázat1[[#This Row],[Kész2020_2]])</f>
        <v>1</v>
      </c>
    </row>
    <row r="2205" spans="1:14" x14ac:dyDescent="0.25">
      <c r="A2205" s="17" t="s">
        <v>12</v>
      </c>
      <c r="B2205" s="17" t="s">
        <v>261</v>
      </c>
      <c r="C2205" s="17" t="s">
        <v>1735</v>
      </c>
      <c r="D2205" s="17" t="s">
        <v>2008</v>
      </c>
      <c r="E2205" s="17" t="s">
        <v>3802</v>
      </c>
      <c r="F2205" s="17" t="s">
        <v>3803</v>
      </c>
      <c r="G2205" s="17" t="s">
        <v>5228</v>
      </c>
      <c r="H2205" t="s">
        <v>7476</v>
      </c>
      <c r="I2205" s="1">
        <v>2</v>
      </c>
      <c r="J2205" s="1">
        <v>2</v>
      </c>
      <c r="K2205" s="5" t="s">
        <v>6635</v>
      </c>
      <c r="L2205" s="5" t="e">
        <f>VLOOKUP(D:D,[1]Munka2!$A:$B,2,FALSE)</f>
        <v>#N/A</v>
      </c>
      <c r="M2205" s="5">
        <f>_xlfn.IFNA(Táblázat1[[#This Row],[Kész2020]],0)</f>
        <v>0</v>
      </c>
      <c r="N2205" s="5">
        <f>IF(Táblázat1[[#This Row],[Karb./akt.év]]-Táblázat1[[#This Row],[Kész2020_2]]&lt;0,0,Táblázat1[[#This Row],[Karb./akt.év]]-Táblázat1[[#This Row],[Kész2020_2]])</f>
        <v>2</v>
      </c>
    </row>
    <row r="2206" spans="1:14" hidden="1" x14ac:dyDescent="0.25">
      <c r="A2206" s="17" t="s">
        <v>12</v>
      </c>
      <c r="B2206" s="17" t="s">
        <v>963</v>
      </c>
      <c r="C2206" s="17" t="s">
        <v>1743</v>
      </c>
      <c r="D2206" s="17" t="s">
        <v>2749</v>
      </c>
      <c r="E2206" s="17" t="s">
        <v>4545</v>
      </c>
      <c r="F2206" s="17" t="s">
        <v>3598</v>
      </c>
      <c r="G2206" s="17" t="s">
        <v>5892</v>
      </c>
      <c r="H2206" t="s">
        <v>7476</v>
      </c>
      <c r="I2206" s="1">
        <v>2</v>
      </c>
      <c r="J2206" s="1">
        <v>2</v>
      </c>
      <c r="K2206" s="5" t="s">
        <v>7014</v>
      </c>
      <c r="L2206" s="5">
        <f>VLOOKUP(D:D,[1]Munka2!$A:$B,2,FALSE)</f>
        <v>1</v>
      </c>
      <c r="M2206" s="5">
        <f>_xlfn.IFNA(Táblázat1[[#This Row],[Kész2020]],0)</f>
        <v>1</v>
      </c>
      <c r="N2206" s="5">
        <f>IF(Táblázat1[[#This Row],[Karb./akt.év]]-Táblázat1[[#This Row],[Kész2020_2]]&lt;0,0,Táblázat1[[#This Row],[Karb./akt.év]]-Táblázat1[[#This Row],[Kész2020_2]])</f>
        <v>1</v>
      </c>
    </row>
    <row r="2207" spans="1:14" x14ac:dyDescent="0.25">
      <c r="A2207" s="17" t="s">
        <v>12</v>
      </c>
      <c r="B2207" s="17" t="s">
        <v>414</v>
      </c>
      <c r="C2207" s="17" t="s">
        <v>1743</v>
      </c>
      <c r="D2207" s="17" t="s">
        <v>2170</v>
      </c>
      <c r="E2207" s="17" t="s">
        <v>3802</v>
      </c>
      <c r="F2207" s="17" t="s">
        <v>3803</v>
      </c>
      <c r="G2207" s="17" t="s">
        <v>5380</v>
      </c>
      <c r="H2207" t="s">
        <v>7476</v>
      </c>
      <c r="I2207" s="1">
        <v>2</v>
      </c>
      <c r="J2207" s="1">
        <v>2</v>
      </c>
      <c r="K2207" s="5" t="s">
        <v>6635</v>
      </c>
      <c r="L2207" s="5" t="e">
        <f>VLOOKUP(D:D,[1]Munka2!$A:$B,2,FALSE)</f>
        <v>#N/A</v>
      </c>
      <c r="M2207" s="5">
        <f>_xlfn.IFNA(Táblázat1[[#This Row],[Kész2020]],0)</f>
        <v>0</v>
      </c>
      <c r="N2207" s="5">
        <f>IF(Táblázat1[[#This Row],[Karb./akt.év]]-Táblázat1[[#This Row],[Kész2020_2]]&lt;0,0,Táblázat1[[#This Row],[Karb./akt.év]]-Táblázat1[[#This Row],[Kész2020_2]])</f>
        <v>2</v>
      </c>
    </row>
    <row r="2208" spans="1:14" hidden="1" x14ac:dyDescent="0.25">
      <c r="A2208" s="17" t="s">
        <v>12</v>
      </c>
      <c r="B2208" s="17" t="s">
        <v>1201</v>
      </c>
      <c r="C2208" s="17" t="s">
        <v>1743</v>
      </c>
      <c r="D2208" s="17" t="s">
        <v>3007</v>
      </c>
      <c r="E2208" s="17" t="s">
        <v>3788</v>
      </c>
      <c r="F2208" s="17" t="s">
        <v>3789</v>
      </c>
      <c r="G2208" s="17" t="s">
        <v>6130</v>
      </c>
      <c r="H2208" t="s">
        <v>7476</v>
      </c>
      <c r="I2208" s="1">
        <v>2</v>
      </c>
      <c r="J2208" s="1">
        <v>2</v>
      </c>
      <c r="K2208" s="5" t="s">
        <v>6634</v>
      </c>
      <c r="L2208" s="5">
        <f>VLOOKUP(D:D,[1]Munka2!$A:$B,2,FALSE)</f>
        <v>1</v>
      </c>
      <c r="M2208" s="5">
        <f>_xlfn.IFNA(Táblázat1[[#This Row],[Kész2020]],0)</f>
        <v>1</v>
      </c>
      <c r="N2208" s="5">
        <f>IF(Táblázat1[[#This Row],[Karb./akt.év]]-Táblázat1[[#This Row],[Kész2020_2]]&lt;0,0,Táblázat1[[#This Row],[Karb./akt.év]]-Táblázat1[[#This Row],[Kész2020_2]])</f>
        <v>1</v>
      </c>
    </row>
    <row r="2209" spans="1:14" hidden="1" x14ac:dyDescent="0.25">
      <c r="A2209" s="17" t="s">
        <v>12</v>
      </c>
      <c r="B2209" s="17" t="s">
        <v>334</v>
      </c>
      <c r="C2209" s="17" t="s">
        <v>1737</v>
      </c>
      <c r="D2209" s="17" t="s">
        <v>2083</v>
      </c>
      <c r="E2209" s="17" t="s">
        <v>3743</v>
      </c>
      <c r="F2209" s="17" t="s">
        <v>3744</v>
      </c>
      <c r="G2209" s="17" t="s">
        <v>5299</v>
      </c>
      <c r="H2209" t="s">
        <v>7476</v>
      </c>
      <c r="I2209" s="1">
        <v>2</v>
      </c>
      <c r="J2209" s="1">
        <v>2</v>
      </c>
      <c r="K2209" s="5" t="s">
        <v>8102</v>
      </c>
      <c r="L2209" s="5">
        <f>VLOOKUP(D:D,[1]Munka2!$A:$B,2,FALSE)</f>
        <v>1</v>
      </c>
      <c r="M2209" s="5">
        <f>_xlfn.IFNA(Táblázat1[[#This Row],[Kész2020]],0)</f>
        <v>1</v>
      </c>
      <c r="N2209" s="5">
        <f>IF(Táblázat1[[#This Row],[Karb./akt.év]]-Táblázat1[[#This Row],[Kész2020_2]]&lt;0,0,Táblázat1[[#This Row],[Karb./akt.év]]-Táblázat1[[#This Row],[Kész2020_2]])</f>
        <v>1</v>
      </c>
    </row>
    <row r="2210" spans="1:14" hidden="1" x14ac:dyDescent="0.25">
      <c r="A2210" s="17" t="s">
        <v>12</v>
      </c>
      <c r="B2210" s="17" t="s">
        <v>208</v>
      </c>
      <c r="C2210" s="17" t="s">
        <v>1743</v>
      </c>
      <c r="D2210" s="17" t="s">
        <v>1949</v>
      </c>
      <c r="E2210" s="17" t="s">
        <v>3625</v>
      </c>
      <c r="F2210" s="17" t="s">
        <v>3626</v>
      </c>
      <c r="G2210" s="17" t="s">
        <v>5178</v>
      </c>
      <c r="H2210" t="s">
        <v>7476</v>
      </c>
      <c r="I2210" s="1">
        <v>2</v>
      </c>
      <c r="J2210" s="1">
        <v>2</v>
      </c>
      <c r="K2210" s="5" t="s">
        <v>6642</v>
      </c>
      <c r="L2210" s="5">
        <f>VLOOKUP(D:D,[1]Munka2!$A:$B,2,FALSE)</f>
        <v>1</v>
      </c>
      <c r="M2210" s="5">
        <f>_xlfn.IFNA(Táblázat1[[#This Row],[Kész2020]],0)</f>
        <v>1</v>
      </c>
      <c r="N2210" s="5">
        <f>IF(Táblázat1[[#This Row],[Karb./akt.év]]-Táblázat1[[#This Row],[Kész2020_2]]&lt;0,0,Táblázat1[[#This Row],[Karb./akt.év]]-Táblázat1[[#This Row],[Kész2020_2]])</f>
        <v>1</v>
      </c>
    </row>
    <row r="2211" spans="1:14" hidden="1" x14ac:dyDescent="0.25">
      <c r="A2211" s="17" t="s">
        <v>12</v>
      </c>
      <c r="B2211" s="17" t="s">
        <v>1041</v>
      </c>
      <c r="C2211" s="17" t="s">
        <v>1735</v>
      </c>
      <c r="D2211" s="17" t="s">
        <v>2829</v>
      </c>
      <c r="E2211" s="17" t="s">
        <v>4590</v>
      </c>
      <c r="F2211" s="17" t="s">
        <v>3664</v>
      </c>
      <c r="G2211" s="17" t="s">
        <v>5969</v>
      </c>
      <c r="H2211" t="s">
        <v>7476</v>
      </c>
      <c r="I2211" s="1">
        <v>2</v>
      </c>
      <c r="J2211" s="1">
        <v>2</v>
      </c>
      <c r="K2211" s="5" t="s">
        <v>6638</v>
      </c>
      <c r="L2211" s="5">
        <f>VLOOKUP(D:D,[1]Munka2!$A:$B,2,FALSE)</f>
        <v>1</v>
      </c>
      <c r="M2211" s="5">
        <f>_xlfn.IFNA(Táblázat1[[#This Row],[Kész2020]],0)</f>
        <v>1</v>
      </c>
      <c r="N2211" s="5">
        <f>IF(Táblázat1[[#This Row],[Karb./akt.év]]-Táblázat1[[#This Row],[Kész2020_2]]&lt;0,0,Táblázat1[[#This Row],[Karb./akt.év]]-Táblázat1[[#This Row],[Kész2020_2]])</f>
        <v>1</v>
      </c>
    </row>
    <row r="2212" spans="1:14" hidden="1" x14ac:dyDescent="0.25">
      <c r="A2212" s="17" t="s">
        <v>12</v>
      </c>
      <c r="B2212" s="17" t="s">
        <v>43</v>
      </c>
      <c r="C2212" s="17" t="s">
        <v>1736</v>
      </c>
      <c r="D2212" s="17" t="s">
        <v>1781</v>
      </c>
      <c r="E2212" s="17" t="s">
        <v>3619</v>
      </c>
      <c r="F2212" s="17" t="s">
        <v>3620</v>
      </c>
      <c r="G2212" s="17" t="s">
        <v>5020</v>
      </c>
      <c r="H2212" t="s">
        <v>7476</v>
      </c>
      <c r="I2212" s="1">
        <v>2</v>
      </c>
      <c r="J2212" s="1">
        <v>2</v>
      </c>
      <c r="K2212" s="5" t="s">
        <v>6642</v>
      </c>
      <c r="L2212" s="5">
        <f>VLOOKUP(D:D,[1]Munka2!$A:$B,2,FALSE)</f>
        <v>1</v>
      </c>
      <c r="M2212" s="5">
        <f>_xlfn.IFNA(Táblázat1[[#This Row],[Kész2020]],0)</f>
        <v>1</v>
      </c>
      <c r="N2212" s="5">
        <f>IF(Táblázat1[[#This Row],[Karb./akt.év]]-Táblázat1[[#This Row],[Kész2020_2]]&lt;0,0,Táblázat1[[#This Row],[Karb./akt.év]]-Táblázat1[[#This Row],[Kész2020_2]])</f>
        <v>1</v>
      </c>
    </row>
    <row r="2213" spans="1:14" x14ac:dyDescent="0.25">
      <c r="A2213" s="17" t="s">
        <v>12</v>
      </c>
      <c r="B2213" s="17" t="s">
        <v>697</v>
      </c>
      <c r="C2213" s="17" t="s">
        <v>1743</v>
      </c>
      <c r="D2213" s="17" t="s">
        <v>2472</v>
      </c>
      <c r="E2213" s="17" t="s">
        <v>4189</v>
      </c>
      <c r="F2213" s="17" t="s">
        <v>3679</v>
      </c>
      <c r="G2213" s="17" t="s">
        <v>5651</v>
      </c>
      <c r="H2213" t="s">
        <v>7476</v>
      </c>
      <c r="I2213" s="1">
        <v>2</v>
      </c>
      <c r="J2213" s="1">
        <v>2</v>
      </c>
      <c r="K2213" s="5" t="s">
        <v>6635</v>
      </c>
      <c r="L2213" s="5" t="e">
        <f>VLOOKUP(D:D,[1]Munka2!$A:$B,2,FALSE)</f>
        <v>#N/A</v>
      </c>
      <c r="M2213" s="5">
        <f>_xlfn.IFNA(Táblázat1[[#This Row],[Kész2020]],0)</f>
        <v>0</v>
      </c>
      <c r="N2213" s="5">
        <f>IF(Táblázat1[[#This Row],[Karb./akt.év]]-Táblázat1[[#This Row],[Kész2020_2]]&lt;0,0,Táblázat1[[#This Row],[Karb./akt.év]]-Táblázat1[[#This Row],[Kész2020_2]])</f>
        <v>2</v>
      </c>
    </row>
    <row r="2214" spans="1:14" hidden="1" x14ac:dyDescent="0.25">
      <c r="A2214" s="17" t="s">
        <v>12</v>
      </c>
      <c r="B2214" s="17" t="s">
        <v>1275</v>
      </c>
      <c r="C2214" s="17" t="s">
        <v>1735</v>
      </c>
      <c r="D2214" s="17" t="s">
        <v>3087</v>
      </c>
      <c r="E2214" s="17" t="s">
        <v>4773</v>
      </c>
      <c r="F2214" s="17" t="s">
        <v>4774</v>
      </c>
      <c r="G2214" s="17" t="s">
        <v>6197</v>
      </c>
      <c r="H2214" t="s">
        <v>7476</v>
      </c>
      <c r="I2214" s="1">
        <v>2</v>
      </c>
      <c r="J2214" s="1">
        <v>2</v>
      </c>
      <c r="K2214" s="5" t="s">
        <v>7017</v>
      </c>
      <c r="L2214" s="5">
        <f>VLOOKUP(D:D,[1]Munka2!$A:$B,2,FALSE)</f>
        <v>1</v>
      </c>
      <c r="M2214" s="5">
        <f>_xlfn.IFNA(Táblázat1[[#This Row],[Kész2020]],0)</f>
        <v>1</v>
      </c>
      <c r="N2214" s="5">
        <f>IF(Táblázat1[[#This Row],[Karb./akt.év]]-Táblázat1[[#This Row],[Kész2020_2]]&lt;0,0,Táblázat1[[#This Row],[Karb./akt.év]]-Táblázat1[[#This Row],[Kész2020_2]])</f>
        <v>1</v>
      </c>
    </row>
    <row r="2215" spans="1:14" hidden="1" x14ac:dyDescent="0.25">
      <c r="A2215" s="17" t="s">
        <v>12</v>
      </c>
      <c r="B2215" s="17" t="s">
        <v>237</v>
      </c>
      <c r="C2215" s="17" t="s">
        <v>1742</v>
      </c>
      <c r="D2215" s="17" t="s">
        <v>1981</v>
      </c>
      <c r="E2215" s="17" t="s">
        <v>3850</v>
      </c>
      <c r="F2215" s="17" t="s">
        <v>3598</v>
      </c>
      <c r="G2215" s="17" t="s">
        <v>5204</v>
      </c>
      <c r="H2215" t="s">
        <v>7476</v>
      </c>
      <c r="I2215" s="1">
        <v>2</v>
      </c>
      <c r="J2215" s="1">
        <v>2</v>
      </c>
      <c r="K2215" s="5" t="s">
        <v>7017</v>
      </c>
      <c r="L2215" s="5">
        <f>VLOOKUP(D:D,[1]Munka2!$A:$B,2,FALSE)</f>
        <v>1</v>
      </c>
      <c r="M2215" s="5">
        <f>_xlfn.IFNA(Táblázat1[[#This Row],[Kész2020]],0)</f>
        <v>1</v>
      </c>
      <c r="N2215" s="5">
        <f>IF(Táblázat1[[#This Row],[Karb./akt.év]]-Táblázat1[[#This Row],[Kész2020_2]]&lt;0,0,Táblázat1[[#This Row],[Karb./akt.év]]-Táblázat1[[#This Row],[Kész2020_2]])</f>
        <v>1</v>
      </c>
    </row>
    <row r="2216" spans="1:14" hidden="1" x14ac:dyDescent="0.25">
      <c r="A2216" s="17" t="s">
        <v>12</v>
      </c>
      <c r="B2216" s="17" t="s">
        <v>957</v>
      </c>
      <c r="C2216" s="17" t="s">
        <v>1736</v>
      </c>
      <c r="D2216" s="17" t="s">
        <v>2743</v>
      </c>
      <c r="E2216" s="17" t="s">
        <v>4332</v>
      </c>
      <c r="F2216" s="17" t="s">
        <v>3598</v>
      </c>
      <c r="G2216" s="17" t="s">
        <v>5887</v>
      </c>
      <c r="H2216" t="s">
        <v>7476</v>
      </c>
      <c r="I2216" s="1">
        <v>2</v>
      </c>
      <c r="J2216" s="1">
        <v>2</v>
      </c>
      <c r="K2216" s="5" t="s">
        <v>6785</v>
      </c>
      <c r="L2216" s="5">
        <f>VLOOKUP(D:D,[1]Munka2!$A:$B,2,FALSE)</f>
        <v>1</v>
      </c>
      <c r="M2216" s="5">
        <f>_xlfn.IFNA(Táblázat1[[#This Row],[Kész2020]],0)</f>
        <v>1</v>
      </c>
      <c r="N2216" s="5">
        <f>IF(Táblázat1[[#This Row],[Karb./akt.év]]-Táblázat1[[#This Row],[Kész2020_2]]&lt;0,0,Táblázat1[[#This Row],[Karb./akt.év]]-Táblázat1[[#This Row],[Kész2020_2]])</f>
        <v>1</v>
      </c>
    </row>
    <row r="2217" spans="1:14" hidden="1" x14ac:dyDescent="0.25">
      <c r="A2217" s="17" t="s">
        <v>12</v>
      </c>
      <c r="B2217" s="17" t="s">
        <v>1586</v>
      </c>
      <c r="C2217" s="17" t="s">
        <v>1736</v>
      </c>
      <c r="D2217" s="17" t="s">
        <v>3433</v>
      </c>
      <c r="E2217" s="17" t="s">
        <v>3736</v>
      </c>
      <c r="F2217" s="17" t="s">
        <v>3737</v>
      </c>
      <c r="G2217" s="17" t="s">
        <v>6486</v>
      </c>
      <c r="H2217" t="s">
        <v>7476</v>
      </c>
      <c r="I2217" s="1">
        <v>2</v>
      </c>
      <c r="J2217" s="1">
        <v>2</v>
      </c>
      <c r="K2217" s="5" t="s">
        <v>6638</v>
      </c>
      <c r="L2217" s="5">
        <f>VLOOKUP(D:D,[1]Munka2!$A:$B,2,FALSE)</f>
        <v>1</v>
      </c>
      <c r="M2217" s="5">
        <f>_xlfn.IFNA(Táblázat1[[#This Row],[Kész2020]],0)</f>
        <v>1</v>
      </c>
      <c r="N2217" s="5">
        <f>IF(Táblázat1[[#This Row],[Karb./akt.év]]-Táblázat1[[#This Row],[Kész2020_2]]&lt;0,0,Táblázat1[[#This Row],[Karb./akt.év]]-Táblázat1[[#This Row],[Kész2020_2]])</f>
        <v>1</v>
      </c>
    </row>
    <row r="2218" spans="1:14" hidden="1" x14ac:dyDescent="0.25">
      <c r="A2218" s="17" t="s">
        <v>12</v>
      </c>
      <c r="B2218" s="17" t="s">
        <v>1642</v>
      </c>
      <c r="C2218" s="17" t="s">
        <v>1737</v>
      </c>
      <c r="D2218" s="17" t="s">
        <v>3496</v>
      </c>
      <c r="E2218" s="17" t="s">
        <v>3836</v>
      </c>
      <c r="F2218" s="17" t="s">
        <v>3837</v>
      </c>
      <c r="G2218" s="17" t="s">
        <v>6536</v>
      </c>
      <c r="H2218" t="s">
        <v>7476</v>
      </c>
      <c r="I2218" s="1">
        <v>2</v>
      </c>
      <c r="J2218" s="1">
        <v>2</v>
      </c>
      <c r="K2218" s="5" t="s">
        <v>8103</v>
      </c>
      <c r="L2218" s="5">
        <f>VLOOKUP(D:D,[1]Munka2!$A:$B,2,FALSE)</f>
        <v>1</v>
      </c>
      <c r="M2218" s="5">
        <f>_xlfn.IFNA(Táblázat1[[#This Row],[Kész2020]],0)</f>
        <v>1</v>
      </c>
      <c r="N2218" s="5">
        <f>IF(Táblázat1[[#This Row],[Karb./akt.év]]-Táblázat1[[#This Row],[Kész2020_2]]&lt;0,0,Táblázat1[[#This Row],[Karb./akt.év]]-Táblázat1[[#This Row],[Kész2020_2]])</f>
        <v>1</v>
      </c>
    </row>
    <row r="2219" spans="1:14" hidden="1" x14ac:dyDescent="0.25">
      <c r="A2219" s="17" t="s">
        <v>12</v>
      </c>
      <c r="B2219" s="17" t="s">
        <v>603</v>
      </c>
      <c r="C2219" s="17" t="s">
        <v>1737</v>
      </c>
      <c r="D2219" s="17" t="s">
        <v>2376</v>
      </c>
      <c r="E2219" s="17" t="s">
        <v>4218</v>
      </c>
      <c r="F2219" s="17" t="s">
        <v>3598</v>
      </c>
      <c r="G2219" s="17" t="s">
        <v>5564</v>
      </c>
      <c r="H2219" t="s">
        <v>7476</v>
      </c>
      <c r="I2219" s="1">
        <v>2</v>
      </c>
      <c r="J2219" s="1">
        <v>2</v>
      </c>
      <c r="K2219" s="5" t="s">
        <v>7017</v>
      </c>
      <c r="L2219" s="5">
        <f>VLOOKUP(D:D,[1]Munka2!$A:$B,2,FALSE)</f>
        <v>1</v>
      </c>
      <c r="M2219" s="5">
        <f>_xlfn.IFNA(Táblázat1[[#This Row],[Kész2020]],0)</f>
        <v>1</v>
      </c>
      <c r="N2219" s="5">
        <f>IF(Táblázat1[[#This Row],[Karb./akt.év]]-Táblázat1[[#This Row],[Kész2020_2]]&lt;0,0,Táblázat1[[#This Row],[Karb./akt.év]]-Táblázat1[[#This Row],[Kész2020_2]])</f>
        <v>1</v>
      </c>
    </row>
    <row r="2220" spans="1:14" hidden="1" x14ac:dyDescent="0.25">
      <c r="A2220" s="17" t="s">
        <v>12</v>
      </c>
      <c r="B2220" s="17" t="s">
        <v>70</v>
      </c>
      <c r="C2220" s="17" t="s">
        <v>1736</v>
      </c>
      <c r="D2220" s="17" t="s">
        <v>1808</v>
      </c>
      <c r="E2220" s="17" t="s">
        <v>3654</v>
      </c>
      <c r="F2220" s="17" t="s">
        <v>3598</v>
      </c>
      <c r="G2220" s="17" t="s">
        <v>5044</v>
      </c>
      <c r="H2220" t="s">
        <v>7476</v>
      </c>
      <c r="I2220" s="1">
        <v>2</v>
      </c>
      <c r="J2220" s="1">
        <v>2</v>
      </c>
      <c r="K2220" s="5" t="s">
        <v>7017</v>
      </c>
      <c r="L2220" s="5">
        <f>VLOOKUP(D:D,[1]Munka2!$A:$B,2,FALSE)</f>
        <v>1</v>
      </c>
      <c r="M2220" s="5">
        <f>_xlfn.IFNA(Táblázat1[[#This Row],[Kész2020]],0)</f>
        <v>1</v>
      </c>
      <c r="N2220" s="5">
        <f>IF(Táblázat1[[#This Row],[Karb./akt.év]]-Táblázat1[[#This Row],[Kész2020_2]]&lt;0,0,Táblázat1[[#This Row],[Karb./akt.év]]-Táblázat1[[#This Row],[Kész2020_2]])</f>
        <v>1</v>
      </c>
    </row>
    <row r="2221" spans="1:14" hidden="1" x14ac:dyDescent="0.25">
      <c r="A2221" s="17" t="s">
        <v>12</v>
      </c>
      <c r="B2221" s="17" t="s">
        <v>192</v>
      </c>
      <c r="C2221" s="17" t="s">
        <v>1743</v>
      </c>
      <c r="D2221" s="17" t="s">
        <v>1932</v>
      </c>
      <c r="E2221" s="17" t="s">
        <v>3810</v>
      </c>
      <c r="F2221" s="17" t="s">
        <v>3598</v>
      </c>
      <c r="G2221" s="17" t="s">
        <v>5161</v>
      </c>
      <c r="H2221" t="s">
        <v>7476</v>
      </c>
      <c r="I2221" s="1">
        <v>2</v>
      </c>
      <c r="J2221" s="1">
        <v>2</v>
      </c>
      <c r="K2221" s="5" t="s">
        <v>6785</v>
      </c>
      <c r="L2221" s="5">
        <f>VLOOKUP(D:D,[1]Munka2!$A:$B,2,FALSE)</f>
        <v>1</v>
      </c>
      <c r="M2221" s="5">
        <f>_xlfn.IFNA(Táblázat1[[#This Row],[Kész2020]],0)</f>
        <v>1</v>
      </c>
      <c r="N2221" s="5">
        <f>IF(Táblázat1[[#This Row],[Karb./akt.év]]-Táblázat1[[#This Row],[Kész2020_2]]&lt;0,0,Táblázat1[[#This Row],[Karb./akt.év]]-Táblázat1[[#This Row],[Kész2020_2]])</f>
        <v>1</v>
      </c>
    </row>
    <row r="2222" spans="1:14" hidden="1" x14ac:dyDescent="0.25">
      <c r="A2222" s="17" t="s">
        <v>12</v>
      </c>
      <c r="B2222" s="17" t="s">
        <v>1044</v>
      </c>
      <c r="C2222" s="17" t="s">
        <v>1742</v>
      </c>
      <c r="D2222" s="17" t="s">
        <v>2832</v>
      </c>
      <c r="E2222" s="17" t="s">
        <v>4591</v>
      </c>
      <c r="F2222" s="17" t="s">
        <v>3710</v>
      </c>
      <c r="G2222" s="17" t="s">
        <v>5972</v>
      </c>
      <c r="H2222" t="s">
        <v>7476</v>
      </c>
      <c r="I2222" s="1">
        <v>2</v>
      </c>
      <c r="J2222" s="1">
        <v>2</v>
      </c>
      <c r="K2222" s="5" t="s">
        <v>6785</v>
      </c>
      <c r="L2222" s="5">
        <f>VLOOKUP(D:D,[1]Munka2!$A:$B,2,FALSE)</f>
        <v>1</v>
      </c>
      <c r="M2222" s="5">
        <f>_xlfn.IFNA(Táblázat1[[#This Row],[Kész2020]],0)</f>
        <v>1</v>
      </c>
      <c r="N2222" s="5">
        <f>IF(Táblázat1[[#This Row],[Karb./akt.év]]-Táblázat1[[#This Row],[Kész2020_2]]&lt;0,0,Táblázat1[[#This Row],[Karb./akt.év]]-Táblázat1[[#This Row],[Kész2020_2]])</f>
        <v>1</v>
      </c>
    </row>
    <row r="2223" spans="1:14" hidden="1" x14ac:dyDescent="0.25">
      <c r="A2223" s="17" t="s">
        <v>12</v>
      </c>
      <c r="B2223" s="17" t="s">
        <v>958</v>
      </c>
      <c r="C2223" s="17" t="s">
        <v>1737</v>
      </c>
      <c r="D2223" s="17" t="s">
        <v>2744</v>
      </c>
      <c r="E2223" s="17" t="s">
        <v>4332</v>
      </c>
      <c r="F2223" s="17" t="s">
        <v>3598</v>
      </c>
      <c r="G2223" s="17" t="s">
        <v>5887</v>
      </c>
      <c r="H2223" t="s">
        <v>7476</v>
      </c>
      <c r="I2223" s="1">
        <v>2</v>
      </c>
      <c r="J2223" s="1">
        <v>2</v>
      </c>
      <c r="K2223" s="5" t="s">
        <v>6785</v>
      </c>
      <c r="L2223" s="5">
        <f>VLOOKUP(D:D,[1]Munka2!$A:$B,2,FALSE)</f>
        <v>1</v>
      </c>
      <c r="M2223" s="5">
        <f>_xlfn.IFNA(Táblázat1[[#This Row],[Kész2020]],0)</f>
        <v>1</v>
      </c>
      <c r="N2223" s="5">
        <f>IF(Táblázat1[[#This Row],[Karb./akt.év]]-Táblázat1[[#This Row],[Kész2020_2]]&lt;0,0,Táblázat1[[#This Row],[Karb./akt.év]]-Táblázat1[[#This Row],[Kész2020_2]])</f>
        <v>1</v>
      </c>
    </row>
    <row r="2224" spans="1:14" hidden="1" x14ac:dyDescent="0.25">
      <c r="A2224" s="17" t="s">
        <v>12</v>
      </c>
      <c r="B2224" s="17" t="s">
        <v>509</v>
      </c>
      <c r="C2224" s="17" t="s">
        <v>1736</v>
      </c>
      <c r="D2224" s="17" t="s">
        <v>2272</v>
      </c>
      <c r="E2224" s="17" t="s">
        <v>3818</v>
      </c>
      <c r="F2224" s="17" t="s">
        <v>3819</v>
      </c>
      <c r="G2224" s="17" t="s">
        <v>5471</v>
      </c>
      <c r="H2224" t="s">
        <v>7476</v>
      </c>
      <c r="I2224" s="1">
        <v>2</v>
      </c>
      <c r="J2224" s="1">
        <v>2</v>
      </c>
      <c r="K2224" s="5" t="s">
        <v>6634</v>
      </c>
      <c r="L2224" s="5">
        <f>VLOOKUP(D:D,[1]Munka2!$A:$B,2,FALSE)</f>
        <v>1</v>
      </c>
      <c r="M2224" s="5">
        <f>_xlfn.IFNA(Táblázat1[[#This Row],[Kész2020]],0)</f>
        <v>1</v>
      </c>
      <c r="N2224" s="5">
        <f>IF(Táblázat1[[#This Row],[Karb./akt.év]]-Táblázat1[[#This Row],[Kész2020_2]]&lt;0,0,Táblázat1[[#This Row],[Karb./akt.év]]-Táblázat1[[#This Row],[Kész2020_2]])</f>
        <v>1</v>
      </c>
    </row>
    <row r="2225" spans="1:14" hidden="1" x14ac:dyDescent="0.25">
      <c r="A2225" s="17" t="s">
        <v>12</v>
      </c>
      <c r="B2225" s="17" t="s">
        <v>241</v>
      </c>
      <c r="C2225" s="17" t="s">
        <v>1736</v>
      </c>
      <c r="D2225" s="17" t="s">
        <v>1985</v>
      </c>
      <c r="E2225" s="17" t="s">
        <v>3853</v>
      </c>
      <c r="F2225" s="17" t="s">
        <v>3598</v>
      </c>
      <c r="G2225" s="17" t="s">
        <v>5208</v>
      </c>
      <c r="H2225" t="s">
        <v>7476</v>
      </c>
      <c r="I2225" s="1">
        <v>2</v>
      </c>
      <c r="J2225" s="1">
        <v>2</v>
      </c>
      <c r="K2225" s="5" t="s">
        <v>7017</v>
      </c>
      <c r="L2225" s="5">
        <f>VLOOKUP(D:D,[1]Munka2!$A:$B,2,FALSE)</f>
        <v>1</v>
      </c>
      <c r="M2225" s="5">
        <f>_xlfn.IFNA(Táblázat1[[#This Row],[Kész2020]],0)</f>
        <v>1</v>
      </c>
      <c r="N2225" s="5">
        <f>IF(Táblázat1[[#This Row],[Karb./akt.év]]-Táblázat1[[#This Row],[Kész2020_2]]&lt;0,0,Táblázat1[[#This Row],[Karb./akt.év]]-Táblázat1[[#This Row],[Kész2020_2]])</f>
        <v>1</v>
      </c>
    </row>
    <row r="2226" spans="1:14" hidden="1" x14ac:dyDescent="0.25">
      <c r="A2226" s="17" t="s">
        <v>12</v>
      </c>
      <c r="B2226" s="17" t="s">
        <v>1296</v>
      </c>
      <c r="C2226" s="17" t="s">
        <v>1736</v>
      </c>
      <c r="D2226" s="17" t="s">
        <v>3110</v>
      </c>
      <c r="E2226" s="17" t="s">
        <v>4049</v>
      </c>
      <c r="F2226" s="17" t="s">
        <v>3718</v>
      </c>
      <c r="G2226" s="17" t="s">
        <v>6215</v>
      </c>
      <c r="H2226" t="s">
        <v>7476</v>
      </c>
      <c r="I2226" s="1">
        <v>2</v>
      </c>
      <c r="J2226" s="1">
        <v>2</v>
      </c>
      <c r="K2226" s="5" t="s">
        <v>8102</v>
      </c>
      <c r="L2226" s="5">
        <f>VLOOKUP(D:D,[1]Munka2!$A:$B,2,FALSE)</f>
        <v>1</v>
      </c>
      <c r="M2226" s="5">
        <f>_xlfn.IFNA(Táblázat1[[#This Row],[Kész2020]],0)</f>
        <v>1</v>
      </c>
      <c r="N2226" s="5">
        <f>IF(Táblázat1[[#This Row],[Karb./akt.év]]-Táblázat1[[#This Row],[Kész2020_2]]&lt;0,0,Táblázat1[[#This Row],[Karb./akt.év]]-Táblázat1[[#This Row],[Kész2020_2]])</f>
        <v>1</v>
      </c>
    </row>
    <row r="2227" spans="1:14" hidden="1" x14ac:dyDescent="0.25">
      <c r="A2227" s="17" t="s">
        <v>12</v>
      </c>
      <c r="B2227" s="17" t="s">
        <v>1295</v>
      </c>
      <c r="C2227" s="17" t="s">
        <v>1743</v>
      </c>
      <c r="D2227" s="17" t="s">
        <v>3109</v>
      </c>
      <c r="E2227" s="17" t="s">
        <v>4049</v>
      </c>
      <c r="F2227" s="17" t="s">
        <v>3718</v>
      </c>
      <c r="G2227" s="17" t="s">
        <v>6215</v>
      </c>
      <c r="H2227" t="s">
        <v>7476</v>
      </c>
      <c r="I2227" s="1">
        <v>2</v>
      </c>
      <c r="J2227" s="1">
        <v>2</v>
      </c>
      <c r="K2227" s="5" t="s">
        <v>8102</v>
      </c>
      <c r="L2227" s="5">
        <f>VLOOKUP(D:D,[1]Munka2!$A:$B,2,FALSE)</f>
        <v>1</v>
      </c>
      <c r="M2227" s="5">
        <f>_xlfn.IFNA(Táblázat1[[#This Row],[Kész2020]],0)</f>
        <v>1</v>
      </c>
      <c r="N2227" s="5">
        <f>IF(Táblázat1[[#This Row],[Karb./akt.év]]-Táblázat1[[#This Row],[Kész2020_2]]&lt;0,0,Táblázat1[[#This Row],[Karb./akt.év]]-Táblázat1[[#This Row],[Kész2020_2]])</f>
        <v>1</v>
      </c>
    </row>
    <row r="2228" spans="1:14" hidden="1" x14ac:dyDescent="0.25">
      <c r="A2228" s="17" t="s">
        <v>12</v>
      </c>
      <c r="B2228" s="17" t="s">
        <v>434</v>
      </c>
      <c r="C2228" s="17" t="s">
        <v>1743</v>
      </c>
      <c r="D2228" s="17" t="s">
        <v>2191</v>
      </c>
      <c r="E2228" s="17" t="s">
        <v>4050</v>
      </c>
      <c r="F2228" s="17" t="s">
        <v>3598</v>
      </c>
      <c r="G2228" s="17" t="s">
        <v>5400</v>
      </c>
      <c r="H2228" t="s">
        <v>7476</v>
      </c>
      <c r="I2228" s="1">
        <v>2</v>
      </c>
      <c r="J2228" s="1">
        <v>2</v>
      </c>
      <c r="K2228" s="5" t="s">
        <v>8101</v>
      </c>
      <c r="L2228" s="5">
        <f>VLOOKUP(D:D,[1]Munka2!$A:$B,2,FALSE)</f>
        <v>1</v>
      </c>
      <c r="M2228" s="5">
        <f>_xlfn.IFNA(Táblázat1[[#This Row],[Kész2020]],0)</f>
        <v>1</v>
      </c>
      <c r="N2228" s="5">
        <f>IF(Táblázat1[[#This Row],[Karb./akt.év]]-Táblázat1[[#This Row],[Kész2020_2]]&lt;0,0,Táblázat1[[#This Row],[Karb./akt.év]]-Táblázat1[[#This Row],[Kész2020_2]])</f>
        <v>1</v>
      </c>
    </row>
    <row r="2229" spans="1:14" hidden="1" x14ac:dyDescent="0.25">
      <c r="A2229" s="17" t="s">
        <v>12</v>
      </c>
      <c r="B2229" s="17" t="s">
        <v>435</v>
      </c>
      <c r="C2229" s="17" t="s">
        <v>1736</v>
      </c>
      <c r="D2229" s="17" t="s">
        <v>2192</v>
      </c>
      <c r="E2229" s="17" t="s">
        <v>4050</v>
      </c>
      <c r="F2229" s="17" t="s">
        <v>3598</v>
      </c>
      <c r="G2229" s="17" t="s">
        <v>5401</v>
      </c>
      <c r="H2229" t="s">
        <v>7476</v>
      </c>
      <c r="I2229" s="1">
        <v>2</v>
      </c>
      <c r="J2229" s="1">
        <v>2</v>
      </c>
      <c r="K2229" s="5" t="s">
        <v>8101</v>
      </c>
      <c r="L2229" s="5">
        <f>VLOOKUP(D:D,[1]Munka2!$A:$B,2,FALSE)</f>
        <v>1</v>
      </c>
      <c r="M2229" s="5">
        <f>_xlfn.IFNA(Táblázat1[[#This Row],[Kész2020]],0)</f>
        <v>1</v>
      </c>
      <c r="N2229" s="5">
        <f>IF(Táblázat1[[#This Row],[Karb./akt.év]]-Táblázat1[[#This Row],[Kész2020_2]]&lt;0,0,Táblázat1[[#This Row],[Karb./akt.év]]-Táblázat1[[#This Row],[Kész2020_2]])</f>
        <v>1</v>
      </c>
    </row>
    <row r="2230" spans="1:14" hidden="1" x14ac:dyDescent="0.25">
      <c r="A2230" s="17" t="s">
        <v>12</v>
      </c>
      <c r="B2230" s="17" t="s">
        <v>80</v>
      </c>
      <c r="C2230" s="17" t="s">
        <v>1743</v>
      </c>
      <c r="D2230" s="17" t="s">
        <v>1819</v>
      </c>
      <c r="E2230" s="17" t="s">
        <v>3667</v>
      </c>
      <c r="F2230" s="17" t="s">
        <v>3668</v>
      </c>
      <c r="G2230" s="17" t="s">
        <v>5054</v>
      </c>
      <c r="H2230" t="s">
        <v>7476</v>
      </c>
      <c r="I2230" s="1">
        <v>2</v>
      </c>
      <c r="J2230" s="1">
        <v>2</v>
      </c>
      <c r="K2230" s="5" t="s">
        <v>6637</v>
      </c>
      <c r="L2230" s="5">
        <f>VLOOKUP(D:D,[1]Munka2!$A:$B,2,FALSE)</f>
        <v>1</v>
      </c>
      <c r="M2230" s="5">
        <f>_xlfn.IFNA(Táblázat1[[#This Row],[Kész2020]],0)</f>
        <v>1</v>
      </c>
      <c r="N2230" s="5">
        <f>IF(Táblázat1[[#This Row],[Karb./akt.év]]-Táblázat1[[#This Row],[Kész2020_2]]&lt;0,0,Táblázat1[[#This Row],[Karb./akt.év]]-Táblázat1[[#This Row],[Kész2020_2]])</f>
        <v>1</v>
      </c>
    </row>
    <row r="2231" spans="1:14" hidden="1" x14ac:dyDescent="0.25">
      <c r="A2231" s="17" t="s">
        <v>12</v>
      </c>
      <c r="B2231" s="17" t="s">
        <v>81</v>
      </c>
      <c r="C2231" s="17" t="s">
        <v>1736</v>
      </c>
      <c r="D2231" s="17" t="s">
        <v>1820</v>
      </c>
      <c r="E2231" s="17" t="s">
        <v>3667</v>
      </c>
      <c r="F2231" s="17" t="s">
        <v>3668</v>
      </c>
      <c r="G2231" s="17" t="s">
        <v>5054</v>
      </c>
      <c r="H2231" t="s">
        <v>7476</v>
      </c>
      <c r="I2231" s="1">
        <v>2</v>
      </c>
      <c r="J2231" s="1">
        <v>2</v>
      </c>
      <c r="K2231" s="5" t="s">
        <v>6637</v>
      </c>
      <c r="L2231" s="5">
        <f>VLOOKUP(D:D,[1]Munka2!$A:$B,2,FALSE)</f>
        <v>1</v>
      </c>
      <c r="M2231" s="5">
        <f>_xlfn.IFNA(Táblázat1[[#This Row],[Kész2020]],0)</f>
        <v>1</v>
      </c>
      <c r="N2231" s="5">
        <f>IF(Táblázat1[[#This Row],[Karb./akt.év]]-Táblázat1[[#This Row],[Kész2020_2]]&lt;0,0,Táblázat1[[#This Row],[Karb./akt.év]]-Táblázat1[[#This Row],[Kész2020_2]])</f>
        <v>1</v>
      </c>
    </row>
    <row r="2232" spans="1:14" hidden="1" x14ac:dyDescent="0.25">
      <c r="A2232" s="17" t="s">
        <v>12</v>
      </c>
      <c r="B2232" s="17" t="s">
        <v>1097</v>
      </c>
      <c r="C2232" s="17" t="s">
        <v>1736</v>
      </c>
      <c r="D2232" s="17" t="s">
        <v>2889</v>
      </c>
      <c r="E2232" s="17" t="s">
        <v>4617</v>
      </c>
      <c r="F2232" s="17" t="s">
        <v>3598</v>
      </c>
      <c r="G2232" s="17" t="s">
        <v>6025</v>
      </c>
      <c r="H2232" t="s">
        <v>7476</v>
      </c>
      <c r="I2232" s="1">
        <v>2</v>
      </c>
      <c r="J2232" s="1">
        <v>2</v>
      </c>
      <c r="K2232" s="5" t="s">
        <v>6785</v>
      </c>
      <c r="L2232" s="5">
        <f>VLOOKUP(D:D,[1]Munka2!$A:$B,2,FALSE)</f>
        <v>1</v>
      </c>
      <c r="M2232" s="5">
        <f>_xlfn.IFNA(Táblázat1[[#This Row],[Kész2020]],0)</f>
        <v>1</v>
      </c>
      <c r="N2232" s="5">
        <f>IF(Táblázat1[[#This Row],[Karb./akt.év]]-Táblázat1[[#This Row],[Kész2020_2]]&lt;0,0,Táblázat1[[#This Row],[Karb./akt.év]]-Táblázat1[[#This Row],[Kész2020_2]])</f>
        <v>1</v>
      </c>
    </row>
    <row r="2233" spans="1:14" x14ac:dyDescent="0.25">
      <c r="A2233" s="17" t="s">
        <v>12</v>
      </c>
      <c r="B2233" s="17" t="s">
        <v>605</v>
      </c>
      <c r="C2233" s="17" t="s">
        <v>1743</v>
      </c>
      <c r="D2233" s="17" t="s">
        <v>2378</v>
      </c>
      <c r="E2233" s="17" t="s">
        <v>3625</v>
      </c>
      <c r="F2233" s="17" t="s">
        <v>3626</v>
      </c>
      <c r="G2233" s="17" t="s">
        <v>5566</v>
      </c>
      <c r="H2233" t="s">
        <v>7476</v>
      </c>
      <c r="I2233" s="1">
        <v>2</v>
      </c>
      <c r="J2233" s="1">
        <v>2</v>
      </c>
      <c r="K2233" s="5" t="s">
        <v>6642</v>
      </c>
      <c r="L2233" s="5" t="e">
        <f>VLOOKUP(D:D,[1]Munka2!$A:$B,2,FALSE)</f>
        <v>#N/A</v>
      </c>
      <c r="M2233" s="5">
        <f>_xlfn.IFNA(Táblázat1[[#This Row],[Kész2020]],0)</f>
        <v>0</v>
      </c>
      <c r="N2233" s="5">
        <f>IF(Táblázat1[[#This Row],[Karb./akt.év]]-Táblázat1[[#This Row],[Kész2020_2]]&lt;0,0,Táblázat1[[#This Row],[Karb./akt.év]]-Táblázat1[[#This Row],[Kész2020_2]])</f>
        <v>2</v>
      </c>
    </row>
    <row r="2234" spans="1:14" hidden="1" x14ac:dyDescent="0.25">
      <c r="A2234" s="17" t="s">
        <v>12</v>
      </c>
      <c r="B2234" s="17" t="s">
        <v>1280</v>
      </c>
      <c r="C2234" s="17" t="s">
        <v>1736</v>
      </c>
      <c r="D2234" s="17" t="s">
        <v>3093</v>
      </c>
      <c r="E2234" s="17" t="s">
        <v>3773</v>
      </c>
      <c r="F2234" s="17" t="s">
        <v>3774</v>
      </c>
      <c r="G2234" s="17" t="s">
        <v>6202</v>
      </c>
      <c r="H2234" t="s">
        <v>7476</v>
      </c>
      <c r="I2234" s="1">
        <v>2</v>
      </c>
      <c r="J2234" s="1">
        <v>2</v>
      </c>
      <c r="K2234" s="5" t="s">
        <v>7014</v>
      </c>
      <c r="L2234" s="5">
        <f>VLOOKUP(D:D,[1]Munka2!$A:$B,2,FALSE)</f>
        <v>1</v>
      </c>
      <c r="M2234" s="5">
        <f>_xlfn.IFNA(Táblázat1[[#This Row],[Kész2020]],0)</f>
        <v>1</v>
      </c>
      <c r="N2234" s="5">
        <f>IF(Táblázat1[[#This Row],[Karb./akt.év]]-Táblázat1[[#This Row],[Kész2020_2]]&lt;0,0,Táblázat1[[#This Row],[Karb./akt.év]]-Táblázat1[[#This Row],[Kész2020_2]])</f>
        <v>1</v>
      </c>
    </row>
    <row r="2235" spans="1:14" hidden="1" x14ac:dyDescent="0.25">
      <c r="A2235" s="17" t="s">
        <v>12</v>
      </c>
      <c r="B2235" s="17" t="s">
        <v>99</v>
      </c>
      <c r="C2235" s="17" t="s">
        <v>1737</v>
      </c>
      <c r="D2235" s="17" t="s">
        <v>1838</v>
      </c>
      <c r="E2235" s="17" t="s">
        <v>3683</v>
      </c>
      <c r="F2235" s="17" t="s">
        <v>3684</v>
      </c>
      <c r="G2235" s="17" t="s">
        <v>5071</v>
      </c>
      <c r="H2235" t="s">
        <v>7476</v>
      </c>
      <c r="I2235" s="1">
        <v>2</v>
      </c>
      <c r="J2235" s="1">
        <v>2</v>
      </c>
      <c r="K2235" s="5" t="s">
        <v>6784</v>
      </c>
      <c r="L2235" s="5">
        <f>VLOOKUP(D:D,[1]Munka2!$A:$B,2,FALSE)</f>
        <v>1</v>
      </c>
      <c r="M2235" s="5">
        <f>_xlfn.IFNA(Táblázat1[[#This Row],[Kész2020]],0)</f>
        <v>1</v>
      </c>
      <c r="N2235" s="5">
        <f>IF(Táblázat1[[#This Row],[Karb./akt.év]]-Táblázat1[[#This Row],[Kész2020_2]]&lt;0,0,Táblázat1[[#This Row],[Karb./akt.év]]-Táblázat1[[#This Row],[Kész2020_2]])</f>
        <v>1</v>
      </c>
    </row>
    <row r="2236" spans="1:14" x14ac:dyDescent="0.25">
      <c r="A2236" s="17" t="s">
        <v>12</v>
      </c>
      <c r="B2236" s="17" t="s">
        <v>818</v>
      </c>
      <c r="C2236" s="17" t="s">
        <v>1737</v>
      </c>
      <c r="D2236" s="17" t="s">
        <v>2595</v>
      </c>
      <c r="E2236" s="17" t="s">
        <v>3711</v>
      </c>
      <c r="F2236" s="17" t="s">
        <v>3712</v>
      </c>
      <c r="G2236" s="17" t="s">
        <v>5757</v>
      </c>
      <c r="H2236" t="s">
        <v>7476</v>
      </c>
      <c r="I2236" s="1">
        <v>2</v>
      </c>
      <c r="J2236" s="1">
        <v>2</v>
      </c>
      <c r="K2236" s="5" t="s">
        <v>6633</v>
      </c>
      <c r="L2236" s="5" t="e">
        <f>VLOOKUP(D:D,[1]Munka2!$A:$B,2,FALSE)</f>
        <v>#N/A</v>
      </c>
      <c r="M2236" s="5">
        <f>_xlfn.IFNA(Táblázat1[[#This Row],[Kész2020]],0)</f>
        <v>0</v>
      </c>
      <c r="N2236" s="5">
        <f>IF(Táblázat1[[#This Row],[Karb./akt.év]]-Táblázat1[[#This Row],[Kész2020_2]]&lt;0,0,Táblázat1[[#This Row],[Karb./akt.év]]-Táblázat1[[#This Row],[Kész2020_2]])</f>
        <v>2</v>
      </c>
    </row>
    <row r="2237" spans="1:14" hidden="1" x14ac:dyDescent="0.25">
      <c r="A2237" s="17" t="s">
        <v>12</v>
      </c>
      <c r="B2237" s="17" t="s">
        <v>7011</v>
      </c>
      <c r="C2237" s="17" t="s">
        <v>1736</v>
      </c>
      <c r="D2237" s="17" t="s">
        <v>7012</v>
      </c>
      <c r="E2237" s="17" t="s">
        <v>4063</v>
      </c>
      <c r="F2237" s="17" t="s">
        <v>3598</v>
      </c>
      <c r="G2237" s="17" t="s">
        <v>5958</v>
      </c>
      <c r="H2237" t="s">
        <v>7476</v>
      </c>
      <c r="I2237" s="1">
        <v>2</v>
      </c>
      <c r="J2237" s="1">
        <v>2</v>
      </c>
      <c r="K2237" s="5" t="s">
        <v>7017</v>
      </c>
      <c r="L2237" s="5">
        <f>VLOOKUP(D:D,[1]Munka2!$A:$B,2,FALSE)</f>
        <v>1</v>
      </c>
      <c r="M2237" s="5">
        <f>_xlfn.IFNA(Táblázat1[[#This Row],[Kész2020]],0)</f>
        <v>1</v>
      </c>
      <c r="N2237" s="5">
        <f>IF(Táblázat1[[#This Row],[Karb./akt.év]]-Táblázat1[[#This Row],[Kész2020_2]]&lt;0,0,Táblázat1[[#This Row],[Karb./akt.év]]-Táblázat1[[#This Row],[Kész2020_2]])</f>
        <v>1</v>
      </c>
    </row>
    <row r="2238" spans="1:14" hidden="1" x14ac:dyDescent="0.25">
      <c r="A2238" s="17" t="s">
        <v>12</v>
      </c>
      <c r="B2238" s="17" t="s">
        <v>484</v>
      </c>
      <c r="C2238" s="17" t="s">
        <v>1736</v>
      </c>
      <c r="D2238" s="17" t="s">
        <v>2244</v>
      </c>
      <c r="E2238" s="17" t="s">
        <v>4087</v>
      </c>
      <c r="F2238" s="17" t="s">
        <v>4088</v>
      </c>
      <c r="G2238" s="17" t="s">
        <v>5445</v>
      </c>
      <c r="H2238" t="s">
        <v>7476</v>
      </c>
      <c r="I2238" s="1">
        <v>2</v>
      </c>
      <c r="J2238" s="1">
        <v>2</v>
      </c>
      <c r="K2238" s="5" t="s">
        <v>7017</v>
      </c>
      <c r="L2238" s="5">
        <f>VLOOKUP(D:D,[1]Munka2!$A:$B,2,FALSE)</f>
        <v>1</v>
      </c>
      <c r="M2238" s="5">
        <f>_xlfn.IFNA(Táblázat1[[#This Row],[Kész2020]],0)</f>
        <v>1</v>
      </c>
      <c r="N2238" s="5">
        <f>IF(Táblázat1[[#This Row],[Karb./akt.év]]-Táblázat1[[#This Row],[Kész2020_2]]&lt;0,0,Táblázat1[[#This Row],[Karb./akt.év]]-Táblázat1[[#This Row],[Kész2020_2]])</f>
        <v>1</v>
      </c>
    </row>
    <row r="2239" spans="1:14" hidden="1" x14ac:dyDescent="0.25">
      <c r="A2239" s="17" t="s">
        <v>12</v>
      </c>
      <c r="B2239" s="17" t="s">
        <v>230</v>
      </c>
      <c r="C2239" s="17" t="s">
        <v>1743</v>
      </c>
      <c r="D2239" s="17" t="s">
        <v>1974</v>
      </c>
      <c r="E2239" s="17" t="s">
        <v>3844</v>
      </c>
      <c r="F2239" s="17" t="s">
        <v>3598</v>
      </c>
      <c r="G2239" s="17" t="s">
        <v>5198</v>
      </c>
      <c r="H2239" t="s">
        <v>7476</v>
      </c>
      <c r="I2239" s="1">
        <v>2</v>
      </c>
      <c r="J2239" s="1">
        <v>2</v>
      </c>
      <c r="K2239" s="5" t="s">
        <v>7017</v>
      </c>
      <c r="L2239" s="5">
        <f>VLOOKUP(D:D,[1]Munka2!$A:$B,2,FALSE)</f>
        <v>1</v>
      </c>
      <c r="M2239" s="5">
        <f>_xlfn.IFNA(Táblázat1[[#This Row],[Kész2020]],0)</f>
        <v>1</v>
      </c>
      <c r="N2239" s="5">
        <f>IF(Táblázat1[[#This Row],[Karb./akt.év]]-Táblázat1[[#This Row],[Kész2020_2]]&lt;0,0,Táblázat1[[#This Row],[Karb./akt.év]]-Táblázat1[[#This Row],[Kész2020_2]])</f>
        <v>1</v>
      </c>
    </row>
    <row r="2240" spans="1:14" hidden="1" x14ac:dyDescent="0.25">
      <c r="A2240" s="17" t="s">
        <v>12</v>
      </c>
      <c r="B2240" s="17" t="s">
        <v>345</v>
      </c>
      <c r="C2240" s="17" t="s">
        <v>1736</v>
      </c>
      <c r="D2240" s="17" t="s">
        <v>2098</v>
      </c>
      <c r="E2240" s="17" t="s">
        <v>3689</v>
      </c>
      <c r="F2240" s="17" t="s">
        <v>3690</v>
      </c>
      <c r="G2240" s="17" t="s">
        <v>5310</v>
      </c>
      <c r="H2240" t="s">
        <v>7476</v>
      </c>
      <c r="I2240" s="1">
        <v>2</v>
      </c>
      <c r="J2240" s="1">
        <v>2</v>
      </c>
      <c r="K2240" s="5" t="s">
        <v>6784</v>
      </c>
      <c r="L2240" s="5">
        <f>VLOOKUP(D:D,[1]Munka2!$A:$B,2,FALSE)</f>
        <v>1</v>
      </c>
      <c r="M2240" s="5">
        <f>_xlfn.IFNA(Táblázat1[[#This Row],[Kész2020]],0)</f>
        <v>1</v>
      </c>
      <c r="N2240" s="5">
        <f>IF(Táblázat1[[#This Row],[Karb./akt.év]]-Táblázat1[[#This Row],[Kész2020_2]]&lt;0,0,Táblázat1[[#This Row],[Karb./akt.év]]-Táblázat1[[#This Row],[Kész2020_2]])</f>
        <v>1</v>
      </c>
    </row>
    <row r="2241" spans="1:14" hidden="1" x14ac:dyDescent="0.25">
      <c r="A2241" s="17" t="s">
        <v>12</v>
      </c>
      <c r="B2241" s="17" t="s">
        <v>212</v>
      </c>
      <c r="C2241" s="17" t="s">
        <v>1736</v>
      </c>
      <c r="D2241" s="17" t="s">
        <v>1953</v>
      </c>
      <c r="E2241" s="17" t="s">
        <v>3693</v>
      </c>
      <c r="F2241" s="17" t="s">
        <v>3694</v>
      </c>
      <c r="G2241" s="17" t="s">
        <v>5180</v>
      </c>
      <c r="H2241" t="s">
        <v>7476</v>
      </c>
      <c r="I2241" s="1">
        <v>2</v>
      </c>
      <c r="J2241" s="1">
        <v>2</v>
      </c>
      <c r="K2241" s="5" t="s">
        <v>6641</v>
      </c>
      <c r="L2241" s="5">
        <f>VLOOKUP(D:D,[1]Munka2!$A:$B,2,FALSE)</f>
        <v>1</v>
      </c>
      <c r="M2241" s="5">
        <f>_xlfn.IFNA(Táblázat1[[#This Row],[Kész2020]],0)</f>
        <v>1</v>
      </c>
      <c r="N2241" s="5">
        <f>IF(Táblázat1[[#This Row],[Karb./akt.év]]-Táblázat1[[#This Row],[Kész2020_2]]&lt;0,0,Táblázat1[[#This Row],[Karb./akt.év]]-Táblázat1[[#This Row],[Kész2020_2]])</f>
        <v>1</v>
      </c>
    </row>
    <row r="2242" spans="1:14" hidden="1" x14ac:dyDescent="0.25">
      <c r="A2242" s="17" t="s">
        <v>12</v>
      </c>
      <c r="B2242" s="17" t="s">
        <v>1359</v>
      </c>
      <c r="C2242" s="17" t="s">
        <v>1743</v>
      </c>
      <c r="D2242" s="17" t="s">
        <v>3177</v>
      </c>
      <c r="E2242" s="17" t="s">
        <v>3643</v>
      </c>
      <c r="F2242" s="17" t="s">
        <v>3598</v>
      </c>
      <c r="G2242" s="17" t="s">
        <v>6270</v>
      </c>
      <c r="H2242" t="s">
        <v>7476</v>
      </c>
      <c r="I2242" s="1">
        <v>2</v>
      </c>
      <c r="J2242" s="1">
        <v>2</v>
      </c>
      <c r="K2242" s="5" t="s">
        <v>8101</v>
      </c>
      <c r="L2242" s="5">
        <f>VLOOKUP(D:D,[1]Munka2!$A:$B,2,FALSE)</f>
        <v>1</v>
      </c>
      <c r="M2242" s="5">
        <f>_xlfn.IFNA(Táblázat1[[#This Row],[Kész2020]],0)</f>
        <v>1</v>
      </c>
      <c r="N2242" s="5">
        <f>IF(Táblázat1[[#This Row],[Karb./akt.év]]-Táblázat1[[#This Row],[Kész2020_2]]&lt;0,0,Táblázat1[[#This Row],[Karb./akt.év]]-Táblázat1[[#This Row],[Kész2020_2]])</f>
        <v>1</v>
      </c>
    </row>
    <row r="2243" spans="1:14" hidden="1" x14ac:dyDescent="0.25">
      <c r="A2243" s="17" t="s">
        <v>12</v>
      </c>
      <c r="B2243" s="17" t="s">
        <v>1360</v>
      </c>
      <c r="C2243" s="17" t="s">
        <v>1736</v>
      </c>
      <c r="D2243" s="17" t="s">
        <v>3178</v>
      </c>
      <c r="E2243" s="17" t="s">
        <v>3643</v>
      </c>
      <c r="F2243" s="17" t="s">
        <v>3598</v>
      </c>
      <c r="G2243" s="17" t="s">
        <v>6271</v>
      </c>
      <c r="H2243" t="s">
        <v>7476</v>
      </c>
      <c r="I2243" s="1">
        <v>2</v>
      </c>
      <c r="J2243" s="1">
        <v>2</v>
      </c>
      <c r="K2243" s="5" t="s">
        <v>8101</v>
      </c>
      <c r="L2243" s="5">
        <f>VLOOKUP(D:D,[1]Munka2!$A:$B,2,FALSE)</f>
        <v>1</v>
      </c>
      <c r="M2243" s="5">
        <f>_xlfn.IFNA(Táblázat1[[#This Row],[Kész2020]],0)</f>
        <v>1</v>
      </c>
      <c r="N2243" s="5">
        <f>IF(Táblázat1[[#This Row],[Karb./akt.év]]-Táblázat1[[#This Row],[Kész2020_2]]&lt;0,0,Táblázat1[[#This Row],[Karb./akt.év]]-Táblázat1[[#This Row],[Kész2020_2]])</f>
        <v>1</v>
      </c>
    </row>
    <row r="2244" spans="1:14" hidden="1" x14ac:dyDescent="0.25">
      <c r="A2244" s="17" t="s">
        <v>12</v>
      </c>
      <c r="B2244" s="17" t="s">
        <v>646</v>
      </c>
      <c r="C2244" s="17" t="s">
        <v>1736</v>
      </c>
      <c r="D2244" s="17" t="s">
        <v>2420</v>
      </c>
      <c r="E2244" s="17" t="s">
        <v>4265</v>
      </c>
      <c r="F2244" s="17" t="s">
        <v>3598</v>
      </c>
      <c r="G2244" s="17" t="s">
        <v>5603</v>
      </c>
      <c r="H2244" t="s">
        <v>7476</v>
      </c>
      <c r="I2244" s="1">
        <v>2</v>
      </c>
      <c r="J2244" s="1">
        <v>2</v>
      </c>
      <c r="K2244" s="5" t="s">
        <v>6641</v>
      </c>
      <c r="L2244" s="5">
        <f>VLOOKUP(D:D,[1]Munka2!$A:$B,2,FALSE)</f>
        <v>1</v>
      </c>
      <c r="M2244" s="5">
        <f>_xlfn.IFNA(Táblázat1[[#This Row],[Kész2020]],0)</f>
        <v>1</v>
      </c>
      <c r="N2244" s="5">
        <f>IF(Táblázat1[[#This Row],[Karb./akt.év]]-Táblázat1[[#This Row],[Kész2020_2]]&lt;0,0,Táblázat1[[#This Row],[Karb./akt.év]]-Táblázat1[[#This Row],[Kész2020_2]])</f>
        <v>1</v>
      </c>
    </row>
    <row r="2245" spans="1:14" hidden="1" x14ac:dyDescent="0.25">
      <c r="A2245" s="17" t="s">
        <v>12</v>
      </c>
      <c r="B2245" s="17" t="s">
        <v>584</v>
      </c>
      <c r="C2245" s="17" t="s">
        <v>1743</v>
      </c>
      <c r="D2245" s="17" t="s">
        <v>2357</v>
      </c>
      <c r="E2245" s="17" t="s">
        <v>4209</v>
      </c>
      <c r="F2245" s="17" t="s">
        <v>3598</v>
      </c>
      <c r="G2245" s="17" t="s">
        <v>5548</v>
      </c>
      <c r="H2245" t="s">
        <v>7476</v>
      </c>
      <c r="I2245" s="1">
        <v>2</v>
      </c>
      <c r="J2245" s="1">
        <v>2</v>
      </c>
      <c r="K2245" s="5" t="s">
        <v>6641</v>
      </c>
      <c r="L2245" s="5">
        <f>VLOOKUP(D:D,[1]Munka2!$A:$B,2,FALSE)</f>
        <v>1</v>
      </c>
      <c r="M2245" s="5">
        <f>_xlfn.IFNA(Táblázat1[[#This Row],[Kész2020]],0)</f>
        <v>1</v>
      </c>
      <c r="N2245" s="5">
        <f>IF(Táblázat1[[#This Row],[Karb./akt.év]]-Táblázat1[[#This Row],[Kész2020_2]]&lt;0,0,Táblázat1[[#This Row],[Karb./akt.év]]-Táblázat1[[#This Row],[Kész2020_2]])</f>
        <v>1</v>
      </c>
    </row>
    <row r="2246" spans="1:14" hidden="1" x14ac:dyDescent="0.25">
      <c r="A2246" s="17" t="s">
        <v>12</v>
      </c>
      <c r="B2246" s="17" t="s">
        <v>1580</v>
      </c>
      <c r="C2246" s="17" t="s">
        <v>1736</v>
      </c>
      <c r="D2246" s="17" t="s">
        <v>3427</v>
      </c>
      <c r="E2246" s="17" t="s">
        <v>3928</v>
      </c>
      <c r="F2246" s="17" t="s">
        <v>3929</v>
      </c>
      <c r="G2246" s="17" t="s">
        <v>6482</v>
      </c>
      <c r="H2246" t="s">
        <v>7476</v>
      </c>
      <c r="I2246" s="1">
        <v>2</v>
      </c>
      <c r="J2246" s="1">
        <v>2</v>
      </c>
      <c r="K2246" s="5" t="s">
        <v>8102</v>
      </c>
      <c r="L2246" s="5">
        <f>VLOOKUP(D:D,[1]Munka2!$A:$B,2,FALSE)</f>
        <v>1</v>
      </c>
      <c r="M2246" s="5">
        <f>_xlfn.IFNA(Táblázat1[[#This Row],[Kész2020]],0)</f>
        <v>1</v>
      </c>
      <c r="N2246" s="5">
        <f>IF(Táblázat1[[#This Row],[Karb./akt.év]]-Táblázat1[[#This Row],[Kész2020_2]]&lt;0,0,Táblázat1[[#This Row],[Karb./akt.év]]-Táblázat1[[#This Row],[Kész2020_2]])</f>
        <v>1</v>
      </c>
    </row>
    <row r="2247" spans="1:14" hidden="1" x14ac:dyDescent="0.25">
      <c r="A2247" s="17" t="s">
        <v>12</v>
      </c>
      <c r="B2247" s="17" t="s">
        <v>666</v>
      </c>
      <c r="C2247" s="17" t="s">
        <v>1736</v>
      </c>
      <c r="D2247" s="17" t="s">
        <v>2440</v>
      </c>
      <c r="E2247" s="17" t="s">
        <v>4279</v>
      </c>
      <c r="F2247" s="17" t="s">
        <v>3598</v>
      </c>
      <c r="G2247" s="17" t="s">
        <v>5623</v>
      </c>
      <c r="H2247" t="s">
        <v>7476</v>
      </c>
      <c r="I2247" s="1">
        <v>2</v>
      </c>
      <c r="J2247" s="1">
        <v>2</v>
      </c>
      <c r="K2247" s="5" t="s">
        <v>7017</v>
      </c>
      <c r="L2247" s="5">
        <f>VLOOKUP(D:D,[1]Munka2!$A:$B,2,FALSE)</f>
        <v>1</v>
      </c>
      <c r="M2247" s="5">
        <f>_xlfn.IFNA(Táblázat1[[#This Row],[Kész2020]],0)</f>
        <v>1</v>
      </c>
      <c r="N2247" s="5">
        <f>IF(Táblázat1[[#This Row],[Karb./akt.év]]-Táblázat1[[#This Row],[Kész2020_2]]&lt;0,0,Táblázat1[[#This Row],[Karb./akt.év]]-Táblázat1[[#This Row],[Kész2020_2]])</f>
        <v>1</v>
      </c>
    </row>
    <row r="2248" spans="1:14" hidden="1" x14ac:dyDescent="0.25">
      <c r="A2248" s="17" t="s">
        <v>12</v>
      </c>
      <c r="B2248" s="17" t="s">
        <v>856</v>
      </c>
      <c r="C2248" s="17" t="s">
        <v>1736</v>
      </c>
      <c r="D2248" s="17" t="s">
        <v>2637</v>
      </c>
      <c r="E2248" s="17" t="s">
        <v>4026</v>
      </c>
      <c r="F2248" s="17" t="s">
        <v>4027</v>
      </c>
      <c r="G2248" s="17" t="s">
        <v>5795</v>
      </c>
      <c r="H2248" t="s">
        <v>7476</v>
      </c>
      <c r="I2248" s="1">
        <v>2</v>
      </c>
      <c r="J2248" s="1">
        <v>2</v>
      </c>
      <c r="K2248" s="5" t="s">
        <v>7014</v>
      </c>
      <c r="L2248" s="5">
        <f>VLOOKUP(D:D,[1]Munka2!$A:$B,2,FALSE)</f>
        <v>1</v>
      </c>
      <c r="M2248" s="5">
        <f>_xlfn.IFNA(Táblázat1[[#This Row],[Kész2020]],0)</f>
        <v>1</v>
      </c>
      <c r="N2248" s="5">
        <f>IF(Táblázat1[[#This Row],[Karb./akt.év]]-Táblázat1[[#This Row],[Kész2020_2]]&lt;0,0,Táblázat1[[#This Row],[Karb./akt.év]]-Táblázat1[[#This Row],[Kész2020_2]])</f>
        <v>1</v>
      </c>
    </row>
    <row r="2249" spans="1:14" hidden="1" x14ac:dyDescent="0.25">
      <c r="A2249" s="17" t="s">
        <v>12</v>
      </c>
      <c r="B2249" s="17" t="s">
        <v>315</v>
      </c>
      <c r="C2249" s="17" t="s">
        <v>1736</v>
      </c>
      <c r="D2249" s="17" t="s">
        <v>2064</v>
      </c>
      <c r="E2249" s="17" t="s">
        <v>3939</v>
      </c>
      <c r="F2249" s="17" t="s">
        <v>3940</v>
      </c>
      <c r="G2249" s="17" t="s">
        <v>5282</v>
      </c>
      <c r="H2249" t="s">
        <v>7476</v>
      </c>
      <c r="I2249" s="1">
        <v>2</v>
      </c>
      <c r="J2249" s="1">
        <v>2</v>
      </c>
      <c r="K2249" s="5" t="s">
        <v>6633</v>
      </c>
      <c r="L2249" s="5">
        <f>VLOOKUP(D:D,[1]Munka2!$A:$B,2,FALSE)</f>
        <v>1</v>
      </c>
      <c r="M2249" s="5">
        <f>_xlfn.IFNA(Táblázat1[[#This Row],[Kész2020]],0)</f>
        <v>1</v>
      </c>
      <c r="N2249" s="5">
        <f>IF(Táblázat1[[#This Row],[Karb./akt.év]]-Táblázat1[[#This Row],[Kész2020_2]]&lt;0,0,Táblázat1[[#This Row],[Karb./akt.év]]-Táblázat1[[#This Row],[Kész2020_2]])</f>
        <v>1</v>
      </c>
    </row>
    <row r="2250" spans="1:14" hidden="1" x14ac:dyDescent="0.25">
      <c r="A2250" s="17" t="s">
        <v>12</v>
      </c>
      <c r="B2250" s="17" t="s">
        <v>1712</v>
      </c>
      <c r="C2250" s="17" t="s">
        <v>1736</v>
      </c>
      <c r="D2250" s="17" t="s">
        <v>3570</v>
      </c>
      <c r="E2250" s="17" t="s">
        <v>4312</v>
      </c>
      <c r="F2250" s="17" t="s">
        <v>3598</v>
      </c>
      <c r="G2250" s="17" t="s">
        <v>6606</v>
      </c>
      <c r="H2250" t="s">
        <v>7476</v>
      </c>
      <c r="I2250" s="1">
        <v>2</v>
      </c>
      <c r="J2250" s="1">
        <v>2</v>
      </c>
      <c r="K2250" s="5" t="s">
        <v>7014</v>
      </c>
      <c r="L2250" s="5">
        <f>VLOOKUP(D:D,[1]Munka2!$A:$B,2,FALSE)</f>
        <v>1</v>
      </c>
      <c r="M2250" s="5">
        <f>_xlfn.IFNA(Táblázat1[[#This Row],[Kész2020]],0)</f>
        <v>1</v>
      </c>
      <c r="N2250" s="5">
        <f>IF(Táblázat1[[#This Row],[Karb./akt.év]]-Táblázat1[[#This Row],[Kész2020_2]]&lt;0,0,Táblázat1[[#This Row],[Karb./akt.év]]-Táblázat1[[#This Row],[Kész2020_2]])</f>
        <v>1</v>
      </c>
    </row>
    <row r="2251" spans="1:14" hidden="1" x14ac:dyDescent="0.25">
      <c r="A2251" s="17" t="s">
        <v>12</v>
      </c>
      <c r="B2251" s="17" t="s">
        <v>1711</v>
      </c>
      <c r="C2251" s="17" t="s">
        <v>1743</v>
      </c>
      <c r="D2251" s="17" t="s">
        <v>3569</v>
      </c>
      <c r="E2251" s="17" t="s">
        <v>4312</v>
      </c>
      <c r="F2251" s="17" t="s">
        <v>3598</v>
      </c>
      <c r="G2251" s="17" t="s">
        <v>6606</v>
      </c>
      <c r="H2251" t="s">
        <v>7476</v>
      </c>
      <c r="I2251" s="1">
        <v>2</v>
      </c>
      <c r="J2251" s="1">
        <v>2</v>
      </c>
      <c r="K2251" s="5" t="s">
        <v>7014</v>
      </c>
      <c r="L2251" s="5">
        <f>VLOOKUP(D:D,[1]Munka2!$A:$B,2,FALSE)</f>
        <v>1</v>
      </c>
      <c r="M2251" s="5">
        <f>_xlfn.IFNA(Táblázat1[[#This Row],[Kész2020]],0)</f>
        <v>1</v>
      </c>
      <c r="N2251" s="5">
        <f>IF(Táblázat1[[#This Row],[Karb./akt.év]]-Táblázat1[[#This Row],[Kész2020_2]]&lt;0,0,Táblázat1[[#This Row],[Karb./akt.év]]-Táblázat1[[#This Row],[Kész2020_2]])</f>
        <v>1</v>
      </c>
    </row>
    <row r="2252" spans="1:14" hidden="1" x14ac:dyDescent="0.25">
      <c r="A2252" s="17" t="s">
        <v>12</v>
      </c>
      <c r="B2252" s="17" t="s">
        <v>1609</v>
      </c>
      <c r="C2252" s="17" t="s">
        <v>1736</v>
      </c>
      <c r="D2252" s="17" t="s">
        <v>3460</v>
      </c>
      <c r="E2252" s="17" t="s">
        <v>3892</v>
      </c>
      <c r="F2252" s="17" t="s">
        <v>3598</v>
      </c>
      <c r="G2252" s="17" t="s">
        <v>6511</v>
      </c>
      <c r="H2252" t="s">
        <v>7476</v>
      </c>
      <c r="I2252" s="1">
        <v>2</v>
      </c>
      <c r="J2252" s="1">
        <v>2</v>
      </c>
      <c r="K2252" s="5" t="s">
        <v>7014</v>
      </c>
      <c r="L2252" s="5">
        <f>VLOOKUP(D:D,[1]Munka2!$A:$B,2,FALSE)</f>
        <v>1</v>
      </c>
      <c r="M2252" s="5">
        <f>_xlfn.IFNA(Táblázat1[[#This Row],[Kész2020]],0)</f>
        <v>1</v>
      </c>
      <c r="N2252" s="5">
        <f>IF(Táblázat1[[#This Row],[Karb./akt.év]]-Táblázat1[[#This Row],[Kész2020_2]]&lt;0,0,Táblázat1[[#This Row],[Karb./akt.év]]-Táblázat1[[#This Row],[Kész2020_2]])</f>
        <v>1</v>
      </c>
    </row>
    <row r="2253" spans="1:14" hidden="1" x14ac:dyDescent="0.25">
      <c r="A2253" s="17" t="s">
        <v>12</v>
      </c>
      <c r="B2253" s="17" t="s">
        <v>1468</v>
      </c>
      <c r="C2253" s="17" t="s">
        <v>1743</v>
      </c>
      <c r="D2253" s="17" t="s">
        <v>3301</v>
      </c>
      <c r="E2253" s="17" t="s">
        <v>3677</v>
      </c>
      <c r="F2253" s="17" t="s">
        <v>3598</v>
      </c>
      <c r="G2253" s="17" t="s">
        <v>6376</v>
      </c>
      <c r="H2253" t="s">
        <v>7476</v>
      </c>
      <c r="I2253" s="1">
        <v>2</v>
      </c>
      <c r="J2253" s="1">
        <v>2</v>
      </c>
      <c r="K2253" s="5" t="s">
        <v>8101</v>
      </c>
      <c r="L2253" s="5">
        <f>VLOOKUP(D:D,[1]Munka2!$A:$B,2,FALSE)</f>
        <v>1</v>
      </c>
      <c r="M2253" s="5">
        <f>_xlfn.IFNA(Táblázat1[[#This Row],[Kész2020]],0)</f>
        <v>1</v>
      </c>
      <c r="N2253" s="5">
        <f>IF(Táblázat1[[#This Row],[Karb./akt.év]]-Táblázat1[[#This Row],[Kész2020_2]]&lt;0,0,Táblázat1[[#This Row],[Karb./akt.év]]-Táblázat1[[#This Row],[Kész2020_2]])</f>
        <v>1</v>
      </c>
    </row>
    <row r="2254" spans="1:14" hidden="1" x14ac:dyDescent="0.25">
      <c r="A2254" s="17" t="s">
        <v>12</v>
      </c>
      <c r="B2254" s="17" t="s">
        <v>7522</v>
      </c>
      <c r="C2254" s="17" t="s">
        <v>1737</v>
      </c>
      <c r="D2254" s="17" t="s">
        <v>6700</v>
      </c>
      <c r="E2254" s="17" t="s">
        <v>3677</v>
      </c>
      <c r="F2254" s="17" t="s">
        <v>3598</v>
      </c>
      <c r="G2254" s="17" t="s">
        <v>6376</v>
      </c>
      <c r="H2254" t="s">
        <v>7476</v>
      </c>
      <c r="I2254" s="1">
        <v>2</v>
      </c>
      <c r="J2254" s="1">
        <v>2</v>
      </c>
      <c r="K2254" s="5" t="s">
        <v>8101</v>
      </c>
      <c r="L2254" s="5">
        <f>VLOOKUP(D:D,[1]Munka2!$A:$B,2,FALSE)</f>
        <v>1</v>
      </c>
      <c r="M2254" s="5">
        <f>_xlfn.IFNA(Táblázat1[[#This Row],[Kész2020]],0)</f>
        <v>1</v>
      </c>
      <c r="N2254" s="5">
        <f>IF(Táblázat1[[#This Row],[Karb./akt.év]]-Táblázat1[[#This Row],[Kész2020_2]]&lt;0,0,Táblázat1[[#This Row],[Karb./akt.év]]-Táblázat1[[#This Row],[Kész2020_2]])</f>
        <v>1</v>
      </c>
    </row>
    <row r="2255" spans="1:14" hidden="1" x14ac:dyDescent="0.25">
      <c r="A2255" s="17" t="s">
        <v>12</v>
      </c>
      <c r="B2255" s="17" t="s">
        <v>1356</v>
      </c>
      <c r="C2255" s="17" t="s">
        <v>1736</v>
      </c>
      <c r="D2255" s="17" t="s">
        <v>3173</v>
      </c>
      <c r="E2255" s="17" t="s">
        <v>4061</v>
      </c>
      <c r="F2255" s="17" t="s">
        <v>4062</v>
      </c>
      <c r="G2255" s="17" t="s">
        <v>6267</v>
      </c>
      <c r="H2255" t="s">
        <v>7476</v>
      </c>
      <c r="I2255" s="1">
        <v>2</v>
      </c>
      <c r="J2255" s="1">
        <v>2</v>
      </c>
      <c r="K2255" s="5" t="s">
        <v>6636</v>
      </c>
      <c r="L2255" s="5">
        <f>VLOOKUP(D:D,[1]Munka2!$A:$B,2,FALSE)</f>
        <v>1</v>
      </c>
      <c r="M2255" s="5">
        <f>_xlfn.IFNA(Táblázat1[[#This Row],[Kész2020]],0)</f>
        <v>1</v>
      </c>
      <c r="N2255" s="5">
        <f>IF(Táblázat1[[#This Row],[Karb./akt.év]]-Táblázat1[[#This Row],[Kész2020_2]]&lt;0,0,Táblázat1[[#This Row],[Karb./akt.év]]-Táblázat1[[#This Row],[Kész2020_2]])</f>
        <v>1</v>
      </c>
    </row>
    <row r="2256" spans="1:14" hidden="1" x14ac:dyDescent="0.25">
      <c r="A2256" s="17" t="s">
        <v>12</v>
      </c>
      <c r="B2256" s="17" t="s">
        <v>1627</v>
      </c>
      <c r="C2256" s="17" t="s">
        <v>1736</v>
      </c>
      <c r="D2256" s="17" t="s">
        <v>3478</v>
      </c>
      <c r="E2256" s="17" t="s">
        <v>3597</v>
      </c>
      <c r="F2256" s="17" t="s">
        <v>3598</v>
      </c>
      <c r="G2256" s="17" t="s">
        <v>6523</v>
      </c>
      <c r="H2256" t="s">
        <v>7476</v>
      </c>
      <c r="I2256" s="1">
        <v>2</v>
      </c>
      <c r="J2256" s="1">
        <v>2</v>
      </c>
      <c r="K2256" s="5" t="s">
        <v>6633</v>
      </c>
      <c r="L2256" s="5">
        <f>VLOOKUP(D:D,[1]Munka2!$A:$B,2,FALSE)</f>
        <v>1</v>
      </c>
      <c r="M2256" s="5">
        <f>_xlfn.IFNA(Táblázat1[[#This Row],[Kész2020]],0)</f>
        <v>1</v>
      </c>
      <c r="N2256" s="5">
        <f>IF(Táblázat1[[#This Row],[Karb./akt.év]]-Táblázat1[[#This Row],[Kész2020_2]]&lt;0,0,Táblázat1[[#This Row],[Karb./akt.év]]-Táblázat1[[#This Row],[Kész2020_2]])</f>
        <v>1</v>
      </c>
    </row>
    <row r="2257" spans="1:14" hidden="1" x14ac:dyDescent="0.25">
      <c r="A2257" s="17" t="s">
        <v>12</v>
      </c>
      <c r="B2257" s="17" t="s">
        <v>429</v>
      </c>
      <c r="C2257" s="17" t="s">
        <v>1743</v>
      </c>
      <c r="D2257" s="17" t="s">
        <v>2186</v>
      </c>
      <c r="E2257" s="17" t="s">
        <v>3693</v>
      </c>
      <c r="F2257" s="17" t="s">
        <v>3694</v>
      </c>
      <c r="G2257" s="17" t="s">
        <v>5395</v>
      </c>
      <c r="H2257" t="s">
        <v>7476</v>
      </c>
      <c r="I2257" s="1">
        <v>2</v>
      </c>
      <c r="J2257" s="1">
        <v>2</v>
      </c>
      <c r="K2257" s="5" t="s">
        <v>6641</v>
      </c>
      <c r="L2257" s="5">
        <f>VLOOKUP(D:D,[1]Munka2!$A:$B,2,FALSE)</f>
        <v>1</v>
      </c>
      <c r="M2257" s="5">
        <f>_xlfn.IFNA(Táblázat1[[#This Row],[Kész2020]],0)</f>
        <v>1</v>
      </c>
      <c r="N2257" s="5">
        <f>IF(Táblázat1[[#This Row],[Karb./akt.év]]-Táblázat1[[#This Row],[Kész2020_2]]&lt;0,0,Táblázat1[[#This Row],[Karb./akt.év]]-Táblázat1[[#This Row],[Kész2020_2]])</f>
        <v>1</v>
      </c>
    </row>
    <row r="2258" spans="1:14" x14ac:dyDescent="0.25">
      <c r="A2258" s="17" t="s">
        <v>12</v>
      </c>
      <c r="B2258" s="17" t="s">
        <v>209</v>
      </c>
      <c r="C2258" s="17" t="s">
        <v>1736</v>
      </c>
      <c r="D2258" s="17" t="s">
        <v>1950</v>
      </c>
      <c r="E2258" s="17" t="s">
        <v>3682</v>
      </c>
      <c r="F2258" s="17" t="s">
        <v>3679</v>
      </c>
      <c r="G2258" s="17" t="s">
        <v>5179</v>
      </c>
      <c r="H2258" t="s">
        <v>7476</v>
      </c>
      <c r="I2258" s="1">
        <v>2</v>
      </c>
      <c r="J2258" s="1">
        <v>2</v>
      </c>
      <c r="K2258" s="5" t="s">
        <v>6635</v>
      </c>
      <c r="L2258" s="5" t="e">
        <f>VLOOKUP(D:D,[1]Munka2!$A:$B,2,FALSE)</f>
        <v>#N/A</v>
      </c>
      <c r="M2258" s="5">
        <f>_xlfn.IFNA(Táblázat1[[#This Row],[Kész2020]],0)</f>
        <v>0</v>
      </c>
      <c r="N2258" s="5">
        <f>IF(Táblázat1[[#This Row],[Karb./akt.év]]-Táblázat1[[#This Row],[Kész2020_2]]&lt;0,0,Táblázat1[[#This Row],[Karb./akt.év]]-Táblázat1[[#This Row],[Kész2020_2]])</f>
        <v>2</v>
      </c>
    </row>
    <row r="2259" spans="1:14" hidden="1" x14ac:dyDescent="0.25">
      <c r="A2259" s="17" t="s">
        <v>12</v>
      </c>
      <c r="B2259" s="17" t="s">
        <v>8160</v>
      </c>
      <c r="C2259" s="17" t="s">
        <v>1735</v>
      </c>
      <c r="D2259" s="17" t="s">
        <v>8163</v>
      </c>
      <c r="E2259" s="17" t="s">
        <v>3625</v>
      </c>
      <c r="F2259" s="17" t="s">
        <v>3626</v>
      </c>
      <c r="G2259" s="17" t="s">
        <v>8166</v>
      </c>
      <c r="H2259" t="s">
        <v>7476</v>
      </c>
      <c r="I2259" s="1">
        <v>2</v>
      </c>
      <c r="J2259" s="1">
        <v>1</v>
      </c>
      <c r="K2259" s="5" t="s">
        <v>6642</v>
      </c>
      <c r="L2259" s="5" t="e">
        <f>VLOOKUP(D:D,[1]Munka2!$A:$B,2,FALSE)</f>
        <v>#N/A</v>
      </c>
      <c r="M2259" s="5">
        <f>_xlfn.IFNA(Táblázat1[[#This Row],[Kész2020]],0)</f>
        <v>0</v>
      </c>
      <c r="N2259" s="5">
        <f>IF(Táblázat1[[#This Row],[Karb./akt.év]]-Táblázat1[[#This Row],[Kész2020_2]]&lt;0,0,Táblázat1[[#This Row],[Karb./akt.év]]-Táblázat1[[#This Row],[Kész2020_2]])</f>
        <v>1</v>
      </c>
    </row>
    <row r="2260" spans="1:14" hidden="1" x14ac:dyDescent="0.25">
      <c r="A2260" s="17" t="s">
        <v>12</v>
      </c>
      <c r="B2260" s="17" t="s">
        <v>1208</v>
      </c>
      <c r="C2260" s="17" t="s">
        <v>1737</v>
      </c>
      <c r="D2260" s="17" t="s">
        <v>3014</v>
      </c>
      <c r="E2260" s="17" t="s">
        <v>3834</v>
      </c>
      <c r="F2260" s="17" t="s">
        <v>3835</v>
      </c>
      <c r="G2260" s="17" t="s">
        <v>6137</v>
      </c>
      <c r="H2260" t="s">
        <v>7476</v>
      </c>
      <c r="I2260" s="1">
        <v>2</v>
      </c>
      <c r="J2260" s="1">
        <v>2</v>
      </c>
      <c r="K2260" s="5" t="s">
        <v>7014</v>
      </c>
      <c r="L2260" s="5">
        <f>VLOOKUP(D:D,[1]Munka2!$A:$B,2,FALSE)</f>
        <v>1</v>
      </c>
      <c r="M2260" s="5">
        <f>_xlfn.IFNA(Táblázat1[[#This Row],[Kész2020]],0)</f>
        <v>1</v>
      </c>
      <c r="N2260" s="5">
        <f>IF(Táblázat1[[#This Row],[Karb./akt.év]]-Táblázat1[[#This Row],[Kész2020_2]]&lt;0,0,Táblázat1[[#This Row],[Karb./akt.év]]-Táblázat1[[#This Row],[Kész2020_2]])</f>
        <v>1</v>
      </c>
    </row>
    <row r="2261" spans="1:14" hidden="1" x14ac:dyDescent="0.25">
      <c r="A2261" s="17" t="s">
        <v>12</v>
      </c>
      <c r="B2261" s="17" t="s">
        <v>6852</v>
      </c>
      <c r="C2261" s="17" t="s">
        <v>1743</v>
      </c>
      <c r="D2261" s="17" t="s">
        <v>6883</v>
      </c>
      <c r="E2261" s="17" t="s">
        <v>3834</v>
      </c>
      <c r="F2261" s="17" t="s">
        <v>3835</v>
      </c>
      <c r="G2261" s="17" t="s">
        <v>6921</v>
      </c>
      <c r="H2261" t="s">
        <v>7476</v>
      </c>
      <c r="I2261" s="1">
        <v>2</v>
      </c>
      <c r="J2261" s="1">
        <v>2</v>
      </c>
      <c r="K2261" s="5" t="s">
        <v>7014</v>
      </c>
      <c r="L2261" s="5">
        <f>VLOOKUP(D:D,[1]Munka2!$A:$B,2,FALSE)</f>
        <v>1</v>
      </c>
      <c r="M2261" s="5">
        <f>_xlfn.IFNA(Táblázat1[[#This Row],[Kész2020]],0)</f>
        <v>1</v>
      </c>
      <c r="N2261" s="5">
        <f>IF(Táblázat1[[#This Row],[Karb./akt.év]]-Táblázat1[[#This Row],[Kész2020_2]]&lt;0,0,Táblázat1[[#This Row],[Karb./akt.év]]-Táblázat1[[#This Row],[Kész2020_2]])</f>
        <v>1</v>
      </c>
    </row>
    <row r="2262" spans="1:14" hidden="1" x14ac:dyDescent="0.25">
      <c r="A2262" s="17" t="s">
        <v>12</v>
      </c>
      <c r="B2262" s="17" t="s">
        <v>6696</v>
      </c>
      <c r="C2262" s="17" t="s">
        <v>1743</v>
      </c>
      <c r="D2262" s="17" t="s">
        <v>6697</v>
      </c>
      <c r="E2262" s="17" t="s">
        <v>6698</v>
      </c>
      <c r="F2262" s="17" t="s">
        <v>4649</v>
      </c>
      <c r="G2262" s="17" t="s">
        <v>6699</v>
      </c>
      <c r="H2262" t="s">
        <v>7476</v>
      </c>
      <c r="I2262" s="1">
        <v>2</v>
      </c>
      <c r="J2262" s="1">
        <v>2</v>
      </c>
      <c r="K2262" s="5" t="s">
        <v>7014</v>
      </c>
      <c r="L2262" s="5">
        <f>VLOOKUP(D:D,[1]Munka2!$A:$B,2,FALSE)</f>
        <v>1</v>
      </c>
      <c r="M2262" s="5">
        <f>_xlfn.IFNA(Táblázat1[[#This Row],[Kész2020]],0)</f>
        <v>1</v>
      </c>
      <c r="N2262" s="5">
        <f>IF(Táblázat1[[#This Row],[Karb./akt.év]]-Táblázat1[[#This Row],[Kész2020_2]]&lt;0,0,Táblázat1[[#This Row],[Karb./akt.év]]-Táblázat1[[#This Row],[Kész2020_2]])</f>
        <v>1</v>
      </c>
    </row>
    <row r="2263" spans="1:14" hidden="1" x14ac:dyDescent="0.25">
      <c r="A2263" s="17" t="s">
        <v>12</v>
      </c>
      <c r="B2263" s="17" t="s">
        <v>423</v>
      </c>
      <c r="C2263" s="17" t="s">
        <v>1735</v>
      </c>
      <c r="D2263" s="17" t="s">
        <v>2178</v>
      </c>
      <c r="E2263" s="17" t="s">
        <v>3824</v>
      </c>
      <c r="F2263" s="17" t="s">
        <v>3598</v>
      </c>
      <c r="G2263" s="17" t="s">
        <v>5388</v>
      </c>
      <c r="H2263" t="s">
        <v>7476</v>
      </c>
      <c r="I2263" s="1">
        <v>2</v>
      </c>
      <c r="J2263" s="1">
        <v>2</v>
      </c>
      <c r="K2263" s="5" t="s">
        <v>6785</v>
      </c>
      <c r="L2263" s="5">
        <f>VLOOKUP(D:D,[1]Munka2!$A:$B,2,FALSE)</f>
        <v>1</v>
      </c>
      <c r="M2263" s="5">
        <f>_xlfn.IFNA(Táblázat1[[#This Row],[Kész2020]],0)</f>
        <v>1</v>
      </c>
      <c r="N2263" s="5">
        <f>IF(Táblázat1[[#This Row],[Karb./akt.év]]-Táblázat1[[#This Row],[Kész2020_2]]&lt;0,0,Táblázat1[[#This Row],[Karb./akt.év]]-Táblázat1[[#This Row],[Kész2020_2]])</f>
        <v>1</v>
      </c>
    </row>
    <row r="2264" spans="1:14" hidden="1" x14ac:dyDescent="0.25">
      <c r="A2264" s="17" t="s">
        <v>12</v>
      </c>
      <c r="B2264" s="17" t="s">
        <v>599</v>
      </c>
      <c r="C2264" s="17" t="s">
        <v>1736</v>
      </c>
      <c r="D2264" s="17" t="s">
        <v>2372</v>
      </c>
      <c r="E2264" s="17" t="s">
        <v>3824</v>
      </c>
      <c r="F2264" s="17" t="s">
        <v>3598</v>
      </c>
      <c r="G2264" s="17" t="s">
        <v>5561</v>
      </c>
      <c r="H2264" t="s">
        <v>7476</v>
      </c>
      <c r="I2264" s="1">
        <v>2</v>
      </c>
      <c r="J2264" s="1">
        <v>2</v>
      </c>
      <c r="K2264" s="5" t="s">
        <v>6785</v>
      </c>
      <c r="L2264" s="5">
        <f>VLOOKUP(D:D,[1]Munka2!$A:$B,2,FALSE)</f>
        <v>2</v>
      </c>
      <c r="M2264" s="5">
        <f>_xlfn.IFNA(Táblázat1[[#This Row],[Kész2020]],0)</f>
        <v>2</v>
      </c>
      <c r="N2264" s="5">
        <f>IF(Táblázat1[[#This Row],[Karb./akt.év]]-Táblázat1[[#This Row],[Kész2020_2]]&lt;0,0,Táblázat1[[#This Row],[Karb./akt.év]]-Táblázat1[[#This Row],[Kész2020_2]])</f>
        <v>0</v>
      </c>
    </row>
    <row r="2265" spans="1:14" hidden="1" x14ac:dyDescent="0.25">
      <c r="A2265" s="17" t="s">
        <v>12</v>
      </c>
      <c r="B2265" s="17" t="s">
        <v>1626</v>
      </c>
      <c r="C2265" s="17" t="s">
        <v>1736</v>
      </c>
      <c r="D2265" s="17" t="s">
        <v>3477</v>
      </c>
      <c r="E2265" s="17" t="s">
        <v>3597</v>
      </c>
      <c r="F2265" s="17" t="s">
        <v>3598</v>
      </c>
      <c r="G2265" s="17" t="s">
        <v>6523</v>
      </c>
      <c r="H2265" t="s">
        <v>7476</v>
      </c>
      <c r="I2265" s="1">
        <v>2</v>
      </c>
      <c r="J2265" s="1">
        <v>2</v>
      </c>
      <c r="K2265" s="5" t="s">
        <v>6633</v>
      </c>
      <c r="L2265" s="5">
        <f>VLOOKUP(D:D,[1]Munka2!$A:$B,2,FALSE)</f>
        <v>1</v>
      </c>
      <c r="M2265" s="5">
        <f>_xlfn.IFNA(Táblázat1[[#This Row],[Kész2020]],0)</f>
        <v>1</v>
      </c>
      <c r="N2265" s="5">
        <f>IF(Táblázat1[[#This Row],[Karb./akt.év]]-Táblázat1[[#This Row],[Kész2020_2]]&lt;0,0,Táblázat1[[#This Row],[Karb./akt.év]]-Táblázat1[[#This Row],[Kész2020_2]])</f>
        <v>1</v>
      </c>
    </row>
    <row r="2266" spans="1:14" hidden="1" x14ac:dyDescent="0.25">
      <c r="A2266" s="17" t="s">
        <v>12</v>
      </c>
      <c r="B2266" s="17" t="s">
        <v>1463</v>
      </c>
      <c r="C2266" s="17" t="s">
        <v>1736</v>
      </c>
      <c r="D2266" s="17" t="s">
        <v>3296</v>
      </c>
      <c r="E2266" s="17" t="s">
        <v>4899</v>
      </c>
      <c r="F2266" s="17" t="s">
        <v>3598</v>
      </c>
      <c r="G2266" s="17" t="s">
        <v>6371</v>
      </c>
      <c r="H2266" t="s">
        <v>7476</v>
      </c>
      <c r="I2266" s="1">
        <v>2</v>
      </c>
      <c r="J2266" s="1">
        <v>2</v>
      </c>
      <c r="K2266" s="5" t="s">
        <v>6633</v>
      </c>
      <c r="L2266" s="5">
        <f>VLOOKUP(D:D,[1]Munka2!$A:$B,2,FALSE)</f>
        <v>1</v>
      </c>
      <c r="M2266" s="5">
        <f>_xlfn.IFNA(Táblázat1[[#This Row],[Kész2020]],0)</f>
        <v>1</v>
      </c>
      <c r="N2266" s="5">
        <f>IF(Táblázat1[[#This Row],[Karb./akt.év]]-Táblázat1[[#This Row],[Kész2020_2]]&lt;0,0,Táblázat1[[#This Row],[Karb./akt.év]]-Táblázat1[[#This Row],[Kész2020_2]])</f>
        <v>1</v>
      </c>
    </row>
  </sheetData>
  <pageMargins left="0.7" right="0.7" top="0.75" bottom="0.75" header="0.3" footer="0.3"/>
  <pageSetup paperSize="9" orientation="portrait" verticalDpi="0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>
      <selection activeCell="B12" sqref="B12"/>
    </sheetView>
  </sheetViews>
  <sheetFormatPr defaultRowHeight="15" x14ac:dyDescent="0.25"/>
  <cols>
    <col min="1" max="1" width="35.42578125" bestFit="1" customWidth="1"/>
  </cols>
  <sheetData>
    <row r="1" spans="1:2" x14ac:dyDescent="0.25">
      <c r="A1" s="2" t="s">
        <v>0</v>
      </c>
      <c r="B1" s="2" t="s">
        <v>4</v>
      </c>
    </row>
    <row r="2" spans="1:2" x14ac:dyDescent="0.25">
      <c r="A2" t="s">
        <v>18</v>
      </c>
      <c r="B2" t="s">
        <v>3595</v>
      </c>
    </row>
    <row r="3" spans="1:2" x14ac:dyDescent="0.25">
      <c r="A3" t="s">
        <v>7</v>
      </c>
      <c r="B3" t="s">
        <v>3595</v>
      </c>
    </row>
    <row r="4" spans="1:2" x14ac:dyDescent="0.25">
      <c r="A4" t="s">
        <v>28</v>
      </c>
      <c r="B4" t="s">
        <v>3595</v>
      </c>
    </row>
    <row r="5" spans="1:2" x14ac:dyDescent="0.25">
      <c r="A5" t="s">
        <v>31</v>
      </c>
      <c r="B5">
        <v>2</v>
      </c>
    </row>
    <row r="6" spans="1:2" x14ac:dyDescent="0.25">
      <c r="A6" t="s">
        <v>14</v>
      </c>
      <c r="B6">
        <v>2</v>
      </c>
    </row>
    <row r="7" spans="1:2" x14ac:dyDescent="0.25">
      <c r="A7" t="s">
        <v>20</v>
      </c>
      <c r="B7">
        <v>1</v>
      </c>
    </row>
    <row r="8" spans="1:2" x14ac:dyDescent="0.25">
      <c r="A8" t="s">
        <v>19</v>
      </c>
      <c r="B8">
        <v>4</v>
      </c>
    </row>
    <row r="9" spans="1:2" x14ac:dyDescent="0.25">
      <c r="A9" t="s">
        <v>23</v>
      </c>
      <c r="B9">
        <v>1</v>
      </c>
    </row>
    <row r="10" spans="1:2" x14ac:dyDescent="0.25">
      <c r="A10" t="s">
        <v>6</v>
      </c>
      <c r="B10">
        <v>2</v>
      </c>
    </row>
    <row r="11" spans="1:2" x14ac:dyDescent="0.25">
      <c r="A11" t="s">
        <v>16</v>
      </c>
      <c r="B11">
        <v>1</v>
      </c>
    </row>
    <row r="12" spans="1:2" x14ac:dyDescent="0.25">
      <c r="A12" t="s">
        <v>25</v>
      </c>
      <c r="B12">
        <v>1</v>
      </c>
    </row>
    <row r="13" spans="1:2" x14ac:dyDescent="0.25">
      <c r="A13" t="s">
        <v>29</v>
      </c>
      <c r="B13" t="s">
        <v>3595</v>
      </c>
    </row>
    <row r="14" spans="1:2" x14ac:dyDescent="0.25">
      <c r="A14" t="s">
        <v>10</v>
      </c>
      <c r="B14">
        <v>2</v>
      </c>
    </row>
    <row r="15" spans="1:2" x14ac:dyDescent="0.25">
      <c r="A15" t="s">
        <v>17</v>
      </c>
      <c r="B15" t="s">
        <v>3595</v>
      </c>
    </row>
    <row r="16" spans="1:2" x14ac:dyDescent="0.25">
      <c r="A16" t="s">
        <v>11</v>
      </c>
      <c r="B16" t="s">
        <v>3595</v>
      </c>
    </row>
    <row r="17" spans="1:2" x14ac:dyDescent="0.25">
      <c r="A17" t="s">
        <v>22</v>
      </c>
      <c r="B17">
        <v>2</v>
      </c>
    </row>
    <row r="18" spans="1:2" x14ac:dyDescent="0.25">
      <c r="A18" t="s">
        <v>30</v>
      </c>
      <c r="B18">
        <v>1</v>
      </c>
    </row>
    <row r="19" spans="1:2" x14ac:dyDescent="0.25">
      <c r="A19" t="s">
        <v>15</v>
      </c>
      <c r="B19">
        <v>2</v>
      </c>
    </row>
    <row r="20" spans="1:2" x14ac:dyDescent="0.25">
      <c r="A20" t="s">
        <v>21</v>
      </c>
      <c r="B20" t="s">
        <v>3595</v>
      </c>
    </row>
    <row r="21" spans="1:2" x14ac:dyDescent="0.25">
      <c r="A21" t="s">
        <v>26</v>
      </c>
      <c r="B21">
        <v>1</v>
      </c>
    </row>
    <row r="22" spans="1:2" x14ac:dyDescent="0.25">
      <c r="A22" t="s">
        <v>8</v>
      </c>
      <c r="B22">
        <v>2</v>
      </c>
    </row>
    <row r="23" spans="1:2" x14ac:dyDescent="0.25">
      <c r="A23" t="s">
        <v>9</v>
      </c>
      <c r="B23">
        <v>2</v>
      </c>
    </row>
    <row r="24" spans="1:2" x14ac:dyDescent="0.25">
      <c r="A24" t="s">
        <v>27</v>
      </c>
      <c r="B24">
        <v>2</v>
      </c>
    </row>
    <row r="25" spans="1:2" x14ac:dyDescent="0.25">
      <c r="A25" t="s">
        <v>24</v>
      </c>
      <c r="B25">
        <v>2</v>
      </c>
    </row>
    <row r="26" spans="1:2" x14ac:dyDescent="0.25">
      <c r="A26" t="s">
        <v>13</v>
      </c>
      <c r="B26" t="s">
        <v>3595</v>
      </c>
    </row>
    <row r="27" spans="1:2" x14ac:dyDescent="0.25">
      <c r="A27" t="s">
        <v>12</v>
      </c>
      <c r="B2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92F1289BE9E146865572CFCEDDDC50" ma:contentTypeVersion="0" ma:contentTypeDescription="Create a new document." ma:contentTypeScope="" ma:versionID="ef3a49d639c52c1191bcc5540d5743e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EE8351-C5B8-4D6E-8687-4EAE16CEF166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0D0EA73-F3D2-4521-958C-C98CDDB6C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FF5492A-738C-42C5-A871-2AF1DAA009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PIVOT</vt:lpstr>
      <vt:lpstr>PIVOT_Karb.állás</vt:lpstr>
      <vt:lpstr>Elmaradás ügyfelenként</vt:lpstr>
      <vt:lpstr>Elmaradás technikusonként</vt:lpstr>
      <vt:lpstr>Ügyfelenként</vt:lpstr>
      <vt:lpstr>ADATOK</vt:lpstr>
      <vt:lpstr>Szerz.adatok</vt:lpstr>
    </vt:vector>
  </TitlesOfParts>
  <Company>Diebold,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Lazar, Zsuzsanna</dc:creator>
  <cp:lastModifiedBy>Tamas</cp:lastModifiedBy>
  <dcterms:created xsi:type="dcterms:W3CDTF">2018-03-19T12:01:12Z</dcterms:created>
  <dcterms:modified xsi:type="dcterms:W3CDTF">2020-06-18T09:20:15Z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4XLRetrievePerWS">
    <vt:lpwstr>Y</vt:lpwstr>
  </property>
  <property fmtid="{D5CDD505-2E9C-101B-9397-08002B2CF9AE}" pid="3" name="K4XLScatterRefresh">
    <vt:lpwstr>N</vt:lpwstr>
  </property>
  <property fmtid="{D5CDD505-2E9C-101B-9397-08002B2CF9AE}" pid="4" name="K4XLVersion">
    <vt:lpwstr>7.2.4.3017.1</vt:lpwstr>
  </property>
  <property fmtid="{D5CDD505-2E9C-101B-9397-08002B2CF9AE}" pid="5" name="K4XL KID">
    <vt:lpwstr>LVLOBProd</vt:lpwstr>
  </property>
  <property fmtid="{D5CDD505-2E9C-101B-9397-08002B2CF9AE}" pid="6" name="K4XL DBKID">
    <vt:lpwstr>LVLOBPROD</vt:lpwstr>
  </property>
  <property fmtid="{D5CDD505-2E9C-101B-9397-08002B2CF9AE}" pid="7" name="ContentTypeId">
    <vt:lpwstr>0x0101008792F1289BE9E146865572CFCEDDDC50</vt:lpwstr>
  </property>
</Properties>
</file>